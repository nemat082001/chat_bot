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 sheetId="1" r:id="rId4"/>
    <sheet state="visible" name="Monitoring (Brief)" sheetId="2" r:id="rId5"/>
    <sheet state="visible" name="Monitoring (Detail)" sheetId="3" r:id="rId6"/>
    <sheet state="visible" name="Results" sheetId="4" r:id="rId7"/>
  </sheets>
  <definedNames/>
  <calcPr/>
</workbook>
</file>

<file path=xl/sharedStrings.xml><?xml version="1.0" encoding="utf-8"?>
<sst xmlns="http://schemas.openxmlformats.org/spreadsheetml/2006/main" count="95" uniqueCount="65">
  <si>
    <t>All about TSS (Total Suspended Solids)</t>
  </si>
  <si>
    <t>#</t>
  </si>
  <si>
    <t>QUESTION</t>
  </si>
  <si>
    <t>ANSWER</t>
  </si>
  <si>
    <t>What is it?</t>
  </si>
  <si>
    <t xml:space="preserve">TSS stands for Total Suspended Solids. It measures the amount of solids floating or suspended (not dissolved) in a certain quantity of water. </t>
  </si>
  <si>
    <t>Why does it matter?</t>
  </si>
  <si>
    <t>TSS is a critical pollution parameter. The more the TSS, the more solids your water's got, the more polluted it is!</t>
  </si>
  <si>
    <t>What does it include?</t>
  </si>
  <si>
    <t>TSS includes any solids that don't dissolve. They are over 2 microns in size. TSS could include inert solids like sand and clay, or living (volatile) solids like bacteria and other bugs.</t>
  </si>
  <si>
    <t>What are its impacts?</t>
  </si>
  <si>
    <t>Too much TSS in a water body harms aquatic life. 
1. The solids block sunlight from penetrating the water, which slows down the algae and plankton from producing food. This affects the entire food chain.  
2. Also, the solids absorb heat from the sunlight and increase the water temperature. This reduce the dissolved oxygen (DO) available for small fish. The pH of the water could get affected too. Fish and other species are known to be sensitive to changes in pH.</t>
  </si>
  <si>
    <t>How do I look out for it?</t>
  </si>
  <si>
    <t>Suspended or floating solids affect the clarity of your water. Check if your water looks too cloudy or muddy.</t>
  </si>
  <si>
    <t>How do I monitor for it and measure it?</t>
  </si>
  <si>
    <t>TSS can be monitored and measured in three ways :
1. TSS sensors or monitors
2. Lab Test (Gravimetric Filtration) - Standard Methods 2540 D, APHA
3. Decanter Centrifuge
The next module will take you through details of each of these ways.</t>
  </si>
  <si>
    <t>What are its units of measurement?</t>
  </si>
  <si>
    <t>mg/L (miligrams per litre) or ppm (parts per million)</t>
  </si>
  <si>
    <t>How much should I keep it down to?</t>
  </si>
  <si>
    <r>
      <rPr>
        <rFont val="Arial"/>
        <color theme="1"/>
      </rPr>
      <t xml:space="preserve">TSS in raw water (influent) entering the treatment facility is usually 150 - 350 mg/L. A typical value is 250 mg/L.
A good treatment plant removes 75-85% of TSS coming in. Primary treatment typically removes 40-50%.
If you are discharging into a creek or any other water body, aim to keep your TSS to under </t>
    </r>
    <r>
      <rPr>
        <rFont val="Arial"/>
        <b/>
        <color theme="1"/>
      </rPr>
      <t>30 mg/L</t>
    </r>
    <r>
      <rPr>
        <rFont val="Arial"/>
        <color theme="1"/>
      </rPr>
      <t xml:space="preserve"> (monthly average), and under </t>
    </r>
    <r>
      <rPr>
        <rFont val="Arial"/>
        <b/>
        <color theme="1"/>
      </rPr>
      <t>45 mg/L</t>
    </r>
    <r>
      <rPr>
        <rFont val="Arial"/>
        <color theme="1"/>
      </rPr>
      <t xml:space="preserve"> (weekly average).</t>
    </r>
  </si>
  <si>
    <t>MONITORING METHODS FOR TSS</t>
  </si>
  <si>
    <t>DESCRIPTION</t>
  </si>
  <si>
    <t>1. DIGITAL DEVICE : SENSOR / METER</t>
  </si>
  <si>
    <t>2. LAB METHOD : Gravimetric Filtration (Standard Methods 2540 D, APHA or USGS I-3765-85)</t>
  </si>
  <si>
    <t>3. DECANTER CENTRIFUGE</t>
  </si>
  <si>
    <t>About</t>
  </si>
  <si>
    <t>There are portable, hand-held meters, sensors, monitors and analyzers available in the market for measuring TSS and a host of other polluting parameters.</t>
  </si>
  <si>
    <t>The sample (whole bottle sample or well mixed sub-sample) is filtered, with rinsing, through a pre-weighed glass fiber filter, and the residue on the filter is dried to constant weight at 103°-105°C.</t>
  </si>
  <si>
    <t>Centrifugation is a technique used to separate phases of different densities.</t>
  </si>
  <si>
    <t>Advantages</t>
  </si>
  <si>
    <t>Accurate, Saves time and money in the long run, considering TSS is a critical parameter you have to keep monitoring regularly.</t>
  </si>
  <si>
    <t>Established method, Cheaper</t>
  </si>
  <si>
    <t>Convenient, Fast, Can be used to analyze a large number of samples.</t>
  </si>
  <si>
    <t>Disadvantages</t>
  </si>
  <si>
    <t>Electronic device might malfunction, probes could lose sensitivity, require calibration, etc.</t>
  </si>
  <si>
    <t>More chances of error, Takes more time and effort</t>
  </si>
  <si>
    <t>Susceptible to errors as accuracy is affected by sludge compactability</t>
  </si>
  <si>
    <t>Procedure</t>
  </si>
  <si>
    <t>Click here to read the detailed testing procedure</t>
  </si>
  <si>
    <t>Precautions / Sources of Error</t>
  </si>
  <si>
    <t>a. Make sure to test for TSS correctly as described above. The monitoring location must be uniform (homogenous), so it can be representative.
b. Keep the probes clean. Rinse and dry them regularly.
c. Check the technical manual for guidance on maintenance and calibration.</t>
  </si>
  <si>
    <t>a. Make sure to sample for TSS correctly as described above. The monitoring location must be uniform (homogenous), so it can be representative.
b. Make sure your containers and appartus are always cleaned, rinsed with deionized water, and dried before use. 
c. Sample temperature should be chilled to ≤ 10°C immediately after sampling and during transit to the laboratory. In the laboratory, samples must be refrigerated at ≤ 6°C. Avoid freezing to prevent sample breakage.
d. Choose the right filter : Filtration must utilize a glass fiber filter with nominal pore size of ~ 1.5 μm, e.g. using filters such as Whatman 934AH, Gelman A/E, Millipore AP40, Ahlstrom 161, Environmental Express Pro Weigh, or equivalent.
d. Drying of filters must be conducted at 103 - 105 ̊C.
e. Make sure to transfer the effluent sample gently between appartus. 
f. Make sure your vacuum suction flask is functioning consistently well.
g. Identify any sample that yields a residue mass &lt; 2.5 mg or &gt; 200 mg and report the results as an “estimate” because the mass has exceeded the criteria of this analysis.</t>
  </si>
  <si>
    <t>a. Make sure to sample for TSS correctly as described above. The monitoring location must be uniform (homogenous), so it can be representative.
b. Make sure your containers and appartus are always cleaned, rinsed with deionized water, and dried before use. 
c. Sample temperature should be chilled to ≤ 10°C immediately after sampling and during transit to the laboratory. In the laboratory, samples must be refrigerated at ≤ 6°C. Avoid freezing to prevent sample breakage.
d. Use polypropylene centrifuge tubes with a blue screw cap, not white. Never use glass test tubes. 
e. Screw on the tube tightly. Check cap for cracks or protrusions.
f. Do not fill the centrifuge tube beyond 10 mL.
g. When loading your samples into the rotor, ensure it's balances. Tubes of equal weight must be loaded opposite each other. Use water if you don't have another sample to balance the weight.
h. Check the technical manual or project guide to know how long the rotor should run, and for guidance on maintenance.
i. Don't remove the tubes quickly or shake them violently. Remove the supernatant carefully without disturbing the residue at the bottom.</t>
  </si>
  <si>
    <t>Calculation</t>
  </si>
  <si>
    <t>Read from meter.
Report as TSS (Total Suspended Solids) : ______ mg/L</t>
  </si>
  <si>
    <r>
      <rPr>
        <rFont val="Arial"/>
        <b/>
        <color theme="1"/>
      </rPr>
      <t>TSS = (W2 - W1) x 1000 / V</t>
    </r>
    <r>
      <rPr>
        <rFont val="Arial"/>
        <color theme="1"/>
      </rPr>
      <t xml:space="preserve"> where, 
W2 = final 103°C weight of the dried residue + the tared filter, in milligrams (mg),
W1 = tared filter weight, in milligrams (mg),
V = Sample volume in Litres (L).
Report as TSS (Total Suspended Solids) : ______ mg/L</t>
    </r>
  </si>
  <si>
    <t>Report as TSS (Total Suspended Solids) : ______ % by volume</t>
  </si>
  <si>
    <t>Make sure your probes are rinsed and dried before use. Monitor for TSS at a handful of locations in the vicinity. The readings shouldn't fluctuate (change) too much. Your monitoring locations should have :
a. Well-mixed water (the water looks uniform)
b. Steady flow, not violent (turbulent)
c. No accumulation (build-up) of sediments</t>
  </si>
  <si>
    <r>
      <rPr>
        <rFont val="Arial"/>
        <b/>
        <color theme="1"/>
      </rPr>
      <t xml:space="preserve">Sampling : </t>
    </r>
    <r>
      <rPr>
        <rFont val="Arial"/>
        <color theme="1"/>
      </rPr>
      <t>Make sure your sampling containers are rinsed, dried and labelled before use. Monitor for TSS at a handful of locations in the vicinity. Your monitoring locations should have :
a. Well-mixed water (the water looks uniform)
b. Steady flow, not violent (turbulent)
c. No accumulation (build-up) of sediments</t>
    </r>
    <r>
      <rPr>
        <rFont val="Arial"/>
        <b/>
        <color theme="1"/>
      </rPr>
      <t xml:space="preserve">
Apparatus &amp; Materials required</t>
    </r>
    <r>
      <rPr>
        <rFont val="Arial"/>
        <color theme="1"/>
      </rPr>
      <t xml:space="preserve"> </t>
    </r>
    <r>
      <rPr>
        <rFont val="Arial"/>
        <b/>
        <color theme="1"/>
      </rPr>
      <t>:</t>
    </r>
    <r>
      <rPr>
        <rFont val="Arial"/>
        <color theme="1"/>
      </rPr>
      <t xml:space="preserve"> Sampling containers, Glass-fiber filter, Wide-bore pippet, Graduated cylinder, Forceps, Dessicator, Convection Oven, Vacuum suction flask, Analytical Balance, Distilled or Deionized water
</t>
    </r>
    <r>
      <rPr>
        <rFont val="Arial"/>
        <b/>
        <color theme="1"/>
      </rPr>
      <t xml:space="preserve">Method : 
</t>
    </r>
    <r>
      <rPr>
        <rFont val="Arial"/>
        <color theme="1"/>
      </rPr>
      <t>a. Pre-wash glass fiber filters (nominal 1.5 μm pore size) with de-ionized water, bake at 103- 105°C (or hotter) for at least 1 hour, and pre-weigh using an analytical balance (4-place minimum).
b. Homogenize water sample well by vigorous mixing immediately prior to sub-sampling (or use whole bottle if whole bottle sampling is requested). c. Accurately measure the required sample volume, and transfer to a filtration apparatus containing a pre-weighed filter. Under optimal conditions, a 200 mL sample size can typically support an MDL of 3 mg/L using a 4-place balance.
d. Rinse filter with 3 volumes of 10 mL deionized water, or as-required to ensure full rinsing of dissolved salts from all portions of the filter paper using the selected apparatus.
e. Dry the filter to constant weight in an oven at 103° - 105°C. Cool and accurately measure the post-weight of the filter. Report the mass increase of the filter per litre of sample as TSS (mg/L).
For NPDES or CWA reporting, consult Standard Methods 2540D or USGS I-3765-85 for more details.</t>
    </r>
  </si>
  <si>
    <r>
      <rPr>
        <rFont val="Arial"/>
        <b/>
        <color theme="1"/>
      </rPr>
      <t>Sampling</t>
    </r>
    <r>
      <rPr>
        <rFont val="Arial"/>
        <color theme="1"/>
      </rPr>
      <t xml:space="preserve"> </t>
    </r>
    <r>
      <rPr>
        <rFont val="Arial"/>
        <b/>
        <color theme="1"/>
      </rPr>
      <t>:</t>
    </r>
    <r>
      <rPr>
        <rFont val="Arial"/>
        <color theme="1"/>
      </rPr>
      <t xml:space="preserve"> Make sure your sampling containers and centrifuge tubes are rinsed, dried and labelled before use. Monitor for TSS at a handful of locations in the vicinity. Your monitoring locations should have :
a. Well-mixed water (the water looks uniform)
b. Steady flow, not violent (turbulent)
c. No accumulation (build-up) of sediments
</t>
    </r>
    <r>
      <rPr>
        <rFont val="Arial"/>
        <b/>
        <color theme="1"/>
      </rPr>
      <t>Apparatus &amp; Materials required :</t>
    </r>
    <r>
      <rPr>
        <rFont val="Arial"/>
        <color theme="1"/>
      </rPr>
      <t xml:space="preserve"> Sampling container, Centrifuge tubes, Decanter Centrifuge Rotor, Transfer pipette, Conical flasks, Analytical balance
</t>
    </r>
    <r>
      <rPr>
        <rFont val="Arial"/>
        <b/>
        <color theme="1"/>
      </rPr>
      <t xml:space="preserve">Method :
</t>
    </r>
    <r>
      <rPr>
        <rFont val="Arial"/>
        <color theme="1"/>
      </rPr>
      <t>a. Draw 10 ml aliquot from a well-mixed container, 
b. Centrifuge for ten minutes at 4000 rpm, 
c. Pour off supernatant, separating and drying the retained solids 
d. Weigh the solids</t>
    </r>
  </si>
  <si>
    <r>
      <rPr>
        <rFont val="Arial"/>
        <b/>
        <color theme="1"/>
      </rPr>
      <t>TSS = (W2 - W1) x 1000 / V</t>
    </r>
    <r>
      <rPr>
        <rFont val="Arial"/>
        <color theme="1"/>
      </rPr>
      <t xml:space="preserve"> where, 
W2 = final 103°C weight of the dried residue + the tared filter, in milligrams (mg),
W1 = tared filter weight, in milligrams (mg),
V = Sample volume in Litres (L).
Report as TSS (Total Suspended Solids) : ______ mg/L</t>
    </r>
  </si>
  <si>
    <t>Enter Weekly Discharge Limits for TSS.
Then enter Effluent TSS concentrations of the last 7 days, using any of the monitoring methods suggested.</t>
  </si>
  <si>
    <t>Discharge Limit</t>
  </si>
  <si>
    <t>TSS (mg/L or ppm)</t>
  </si>
  <si>
    <t>Weekly Discharge Limit</t>
  </si>
  <si>
    <t>Samples</t>
  </si>
  <si>
    <t>Day 1</t>
  </si>
  <si>
    <t>Day 2</t>
  </si>
  <si>
    <t>Day 3</t>
  </si>
  <si>
    <t>Day 4</t>
  </si>
  <si>
    <t>Day 5</t>
  </si>
  <si>
    <t>Day 6</t>
  </si>
  <si>
    <t>Day 7</t>
  </si>
  <si>
    <t>Weekly Avg concentration</t>
  </si>
  <si>
    <t>Evaluation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</si>
</sst>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rgb="FFFF0000"/>
      <name val="Arial"/>
      <scheme val="minor"/>
    </font>
    <font/>
    <font>
      <b/>
      <color rgb="FF0000FF"/>
      <name val="Arial"/>
      <scheme val="minor"/>
    </font>
    <font>
      <color theme="1"/>
      <name val="Arial"/>
      <scheme val="minor"/>
    </font>
    <font>
      <b/>
      <color theme="1"/>
      <name val="Arial"/>
      <scheme val="minor"/>
    </font>
    <font>
      <u/>
      <color rgb="FF1155CC"/>
    </font>
    <font>
      <sz val="11.0"/>
      <color rgb="FFFF0000"/>
      <name val="Arial"/>
      <scheme val="minor"/>
    </font>
    <font>
      <b/>
      <sz val="11.0"/>
      <color rgb="FF0000FF"/>
      <name val="Arial"/>
      <scheme val="minor"/>
    </font>
    <font>
      <color rgb="FFFF0000"/>
      <name val="Arial"/>
      <scheme val="minor"/>
    </font>
  </fonts>
  <fills count="4">
    <fill>
      <patternFill patternType="none"/>
    </fill>
    <fill>
      <patternFill patternType="lightGray"/>
    </fill>
    <fill>
      <patternFill patternType="solid">
        <fgColor rgb="FFFFF2CC"/>
        <bgColor rgb="FFFFF2CC"/>
      </patternFill>
    </fill>
    <fill>
      <patternFill patternType="solid">
        <fgColor rgb="FFCFE2F3"/>
        <bgColor rgb="FFCFE2F3"/>
      </patternFill>
    </fill>
  </fills>
  <borders count="8">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ttom style="thin">
        <color rgb="FF000000"/>
      </bottom>
    </border>
    <border>
      <right style="thin">
        <color rgb="FF000000"/>
      </right>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2" numFmtId="0" xfId="0" applyBorder="1" applyFont="1"/>
    <xf borderId="2" fillId="0" fontId="3" numFmtId="0" xfId="0" applyAlignment="1" applyBorder="1" applyFont="1">
      <alignment horizontal="center" readingOrder="0" shrinkToFit="0" vertical="top" wrapText="1"/>
    </xf>
    <xf borderId="2" fillId="0" fontId="3" numFmtId="0" xfId="0" applyAlignment="1" applyBorder="1" applyFont="1">
      <alignment readingOrder="0" shrinkToFit="0" vertical="top" wrapText="1"/>
    </xf>
    <xf borderId="0" fillId="0" fontId="4" numFmtId="0" xfId="0" applyAlignment="1" applyFont="1">
      <alignment horizontal="center" readingOrder="0" shrinkToFit="0" vertical="top" wrapText="1"/>
    </xf>
    <xf borderId="3"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1" fillId="0" fontId="3" numFmtId="0" xfId="0" applyAlignment="1" applyBorder="1" applyFont="1">
      <alignment horizontal="center" readingOrder="0" shrinkToFit="0" vertical="top" wrapText="1"/>
    </xf>
    <xf borderId="4" fillId="0" fontId="3" numFmtId="0" xfId="0" applyAlignment="1" applyBorder="1" applyFont="1">
      <alignment readingOrder="0" shrinkToFit="0" vertical="top" wrapText="1"/>
    </xf>
    <xf borderId="5" fillId="0" fontId="5" numFmtId="0" xfId="0" applyAlignment="1" applyBorder="1" applyFont="1">
      <alignment readingOrder="0" shrinkToFit="0" vertical="top" wrapText="1"/>
    </xf>
    <xf borderId="5" fillId="0" fontId="4" numFmtId="0" xfId="0" applyAlignment="1" applyBorder="1" applyFont="1">
      <alignment readingOrder="0" shrinkToFit="0" vertical="top" wrapText="1"/>
    </xf>
    <xf borderId="5" fillId="0" fontId="6" numFmtId="0" xfId="0" applyAlignment="1" applyBorder="1" applyFont="1">
      <alignment readingOrder="0" shrinkToFit="0" vertical="top" wrapText="1"/>
    </xf>
    <xf borderId="1" fillId="0" fontId="7" numFmtId="0" xfId="0" applyAlignment="1" applyBorder="1" applyFont="1">
      <alignment horizontal="left" readingOrder="0" shrinkToFit="0" vertical="top" wrapText="1"/>
    </xf>
    <xf borderId="6" fillId="0" fontId="8" numFmtId="3" xfId="0" applyAlignment="1" applyBorder="1" applyFont="1" applyNumberFormat="1">
      <alignment readingOrder="0" vertical="top"/>
    </xf>
    <xf borderId="7" fillId="0" fontId="8" numFmtId="164" xfId="0" applyAlignment="1" applyBorder="1" applyFont="1" applyNumberFormat="1">
      <alignment horizontal="center" readingOrder="0" vertical="top"/>
    </xf>
    <xf borderId="4" fillId="0" fontId="4" numFmtId="0" xfId="0" applyAlignment="1" applyBorder="1" applyFont="1">
      <alignment readingOrder="0" vertical="top"/>
    </xf>
    <xf borderId="1" fillId="2" fontId="4" numFmtId="164" xfId="0" applyAlignment="1" applyBorder="1" applyFill="1" applyFont="1" applyNumberFormat="1">
      <alignment horizontal="center" readingOrder="0" vertical="top"/>
    </xf>
    <xf borderId="0" fillId="0" fontId="7" numFmtId="0" xfId="0" applyAlignment="1" applyFont="1">
      <alignment horizontal="left" readingOrder="0" shrinkToFit="0" vertical="top" wrapText="1"/>
    </xf>
    <xf borderId="5" fillId="0" fontId="4" numFmtId="0" xfId="0" applyAlignment="1" applyBorder="1" applyFont="1">
      <alignment readingOrder="0" vertical="top"/>
    </xf>
    <xf borderId="0" fillId="2" fontId="4" numFmtId="164" xfId="0" applyAlignment="1" applyFont="1" applyNumberFormat="1">
      <alignment horizontal="center" readingOrder="0" vertical="top"/>
    </xf>
    <xf borderId="2" fillId="0" fontId="4" numFmtId="0" xfId="0" applyAlignment="1" applyBorder="1" applyFont="1">
      <alignment readingOrder="0" vertical="top"/>
    </xf>
    <xf borderId="6" fillId="3" fontId="4" numFmtId="164" xfId="0" applyAlignment="1" applyBorder="1" applyFill="1" applyFont="1" applyNumberFormat="1">
      <alignment horizontal="center" vertical="top"/>
    </xf>
    <xf borderId="5" fillId="0" fontId="4" numFmtId="0" xfId="0" applyBorder="1" applyFont="1"/>
    <xf borderId="5" fillId="0" fontId="5" numFmtId="0" xfId="0" applyAlignment="1" applyBorder="1" applyFont="1">
      <alignment readingOrder="0" vertical="top"/>
    </xf>
    <xf borderId="0" fillId="0" fontId="9" numFmtId="164" xfId="0" applyAlignment="1" applyFont="1" applyNumberFormat="1">
      <alignment horizontal="center" shrinkToFit="0" vertical="top" wrapText="1"/>
    </xf>
  </cellXfs>
  <cellStyles count="1">
    <cellStyle xfId="0" name="Normal" builtinId="0"/>
  </cellStyles>
  <dxfs count="2">
    <dxf>
      <font>
        <color theme="7"/>
      </font>
      <fill>
        <patternFill patternType="solid">
          <fgColor theme="0"/>
          <bgColor theme="0"/>
        </patternFill>
      </fill>
      <border/>
    </dxf>
    <dxf>
      <font>
        <b/>
        <color rgb="FFFF0000"/>
      </font>
      <fill>
        <patternFill patternType="solid">
          <fgColor theme="0"/>
          <bgColor theme="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9.0"/>
    <col customWidth="1" min="3" max="3" width="129.75"/>
  </cols>
  <sheetData>
    <row r="1">
      <c r="A1" s="1" t="s">
        <v>0</v>
      </c>
      <c r="B1" s="2"/>
      <c r="C1" s="2"/>
    </row>
    <row r="2">
      <c r="A2" s="3" t="s">
        <v>1</v>
      </c>
      <c r="B2" s="4" t="s">
        <v>2</v>
      </c>
      <c r="C2" s="4" t="s">
        <v>3</v>
      </c>
    </row>
    <row r="3">
      <c r="A3" s="5">
        <v>1.0</v>
      </c>
      <c r="B3" s="6" t="s">
        <v>4</v>
      </c>
      <c r="C3" s="7" t="s">
        <v>5</v>
      </c>
    </row>
    <row r="4">
      <c r="A4" s="5">
        <v>2.0</v>
      </c>
      <c r="B4" s="6" t="s">
        <v>6</v>
      </c>
      <c r="C4" s="7" t="s">
        <v>7</v>
      </c>
    </row>
    <row r="5">
      <c r="A5" s="5">
        <v>3.0</v>
      </c>
      <c r="B5" s="6" t="s">
        <v>8</v>
      </c>
      <c r="C5" s="7" t="s">
        <v>9</v>
      </c>
    </row>
    <row r="6">
      <c r="A6" s="5">
        <v>4.0</v>
      </c>
      <c r="B6" s="6" t="s">
        <v>10</v>
      </c>
      <c r="C6" s="7" t="s">
        <v>11</v>
      </c>
    </row>
    <row r="7">
      <c r="A7" s="5">
        <v>5.0</v>
      </c>
      <c r="B7" s="6" t="s">
        <v>12</v>
      </c>
      <c r="C7" s="7" t="s">
        <v>13</v>
      </c>
    </row>
    <row r="8">
      <c r="A8" s="5">
        <v>6.0</v>
      </c>
      <c r="B8" s="6" t="s">
        <v>14</v>
      </c>
      <c r="C8" s="7" t="s">
        <v>15</v>
      </c>
    </row>
    <row r="9">
      <c r="A9" s="5">
        <v>7.0</v>
      </c>
      <c r="B9" s="6" t="s">
        <v>16</v>
      </c>
      <c r="C9" s="7" t="s">
        <v>17</v>
      </c>
    </row>
    <row r="10">
      <c r="A10" s="5">
        <v>8.0</v>
      </c>
      <c r="B10" s="6" t="s">
        <v>18</v>
      </c>
      <c r="C10" s="7" t="s">
        <v>19</v>
      </c>
    </row>
  </sheetData>
  <mergeCells count="1">
    <mergeCell ref="A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12.88"/>
    <col customWidth="1" min="3" max="3" width="42.88"/>
    <col customWidth="1" min="4" max="4" width="84.75"/>
    <col customWidth="1" min="5" max="5" width="75.25"/>
  </cols>
  <sheetData>
    <row r="1">
      <c r="A1" s="1" t="s">
        <v>20</v>
      </c>
      <c r="B1" s="2"/>
      <c r="C1" s="2"/>
      <c r="D1" s="2"/>
      <c r="E1" s="2"/>
    </row>
    <row r="2">
      <c r="A2" s="8" t="s">
        <v>1</v>
      </c>
      <c r="B2" s="9" t="s">
        <v>21</v>
      </c>
      <c r="C2" s="9" t="s">
        <v>22</v>
      </c>
      <c r="D2" s="9" t="s">
        <v>23</v>
      </c>
      <c r="E2" s="9" t="s">
        <v>24</v>
      </c>
    </row>
    <row r="3">
      <c r="A3" s="5">
        <v>1.0</v>
      </c>
      <c r="B3" s="10" t="s">
        <v>25</v>
      </c>
      <c r="C3" s="11" t="s">
        <v>26</v>
      </c>
      <c r="D3" s="11" t="s">
        <v>27</v>
      </c>
      <c r="E3" s="11" t="s">
        <v>28</v>
      </c>
    </row>
    <row r="4">
      <c r="A4" s="5">
        <v>2.0</v>
      </c>
      <c r="B4" s="10" t="s">
        <v>29</v>
      </c>
      <c r="C4" s="11" t="s">
        <v>30</v>
      </c>
      <c r="D4" s="11" t="s">
        <v>31</v>
      </c>
      <c r="E4" s="11" t="s">
        <v>32</v>
      </c>
    </row>
    <row r="5">
      <c r="A5" s="5">
        <v>3.0</v>
      </c>
      <c r="B5" s="10" t="s">
        <v>33</v>
      </c>
      <c r="C5" s="11" t="s">
        <v>34</v>
      </c>
      <c r="D5" s="11" t="s">
        <v>35</v>
      </c>
      <c r="E5" s="11" t="s">
        <v>36</v>
      </c>
    </row>
    <row r="6">
      <c r="A6" s="5">
        <v>4.0</v>
      </c>
      <c r="B6" s="10" t="s">
        <v>37</v>
      </c>
      <c r="C6" s="12" t="s">
        <v>38</v>
      </c>
      <c r="D6" s="12" t="s">
        <v>38</v>
      </c>
      <c r="E6" s="12" t="s">
        <v>38</v>
      </c>
    </row>
    <row r="7">
      <c r="A7" s="5">
        <v>5.0</v>
      </c>
      <c r="B7" s="10" t="s">
        <v>39</v>
      </c>
      <c r="C7" s="11" t="s">
        <v>40</v>
      </c>
      <c r="D7" s="11" t="s">
        <v>41</v>
      </c>
      <c r="E7" s="11" t="s">
        <v>42</v>
      </c>
    </row>
    <row r="8">
      <c r="A8" s="5">
        <v>6.0</v>
      </c>
      <c r="B8" s="10" t="s">
        <v>43</v>
      </c>
      <c r="C8" s="11" t="s">
        <v>44</v>
      </c>
      <c r="D8" s="11" t="s">
        <v>45</v>
      </c>
      <c r="E8" s="11" t="s">
        <v>46</v>
      </c>
    </row>
  </sheetData>
  <mergeCells count="1">
    <mergeCell ref="A1:E1"/>
  </mergeCells>
  <hyperlinks>
    <hyperlink display="Click here to read the detailed testing procedure" location="'Monitoring (Detail)'!C6" ref="C6"/>
    <hyperlink display="Click here to read the detailed testing procedure" location="'Monitoring (Detail)'!D6" ref="D6"/>
    <hyperlink display="Click here to read the detailed testing procedure" location="'Monitoring (Detail)'!E6" ref="E6"/>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12.88"/>
    <col customWidth="1" min="3" max="3" width="42.88"/>
    <col customWidth="1" min="4" max="4" width="84.75"/>
    <col customWidth="1" min="5" max="5" width="75.25"/>
  </cols>
  <sheetData>
    <row r="1">
      <c r="A1" s="1" t="s">
        <v>20</v>
      </c>
      <c r="B1" s="2"/>
      <c r="C1" s="2"/>
      <c r="D1" s="2"/>
      <c r="E1" s="2"/>
    </row>
    <row r="2">
      <c r="A2" s="8" t="s">
        <v>1</v>
      </c>
      <c r="B2" s="9" t="s">
        <v>21</v>
      </c>
      <c r="C2" s="9" t="s">
        <v>22</v>
      </c>
      <c r="D2" s="9" t="s">
        <v>23</v>
      </c>
      <c r="E2" s="9" t="s">
        <v>24</v>
      </c>
    </row>
    <row r="3">
      <c r="A3" s="5">
        <v>1.0</v>
      </c>
      <c r="B3" s="10" t="s">
        <v>25</v>
      </c>
      <c r="C3" s="11" t="s">
        <v>26</v>
      </c>
      <c r="D3" s="11" t="s">
        <v>27</v>
      </c>
      <c r="E3" s="11" t="s">
        <v>28</v>
      </c>
    </row>
    <row r="4">
      <c r="A4" s="5">
        <v>2.0</v>
      </c>
      <c r="B4" s="10" t="s">
        <v>29</v>
      </c>
      <c r="C4" s="11" t="s">
        <v>30</v>
      </c>
      <c r="D4" s="11" t="s">
        <v>31</v>
      </c>
      <c r="E4" s="11" t="s">
        <v>32</v>
      </c>
    </row>
    <row r="5">
      <c r="A5" s="5">
        <v>3.0</v>
      </c>
      <c r="B5" s="10" t="s">
        <v>33</v>
      </c>
      <c r="C5" s="11" t="s">
        <v>34</v>
      </c>
      <c r="D5" s="11" t="s">
        <v>35</v>
      </c>
      <c r="E5" s="11" t="s">
        <v>36</v>
      </c>
    </row>
    <row r="6">
      <c r="A6" s="5">
        <v>4.0</v>
      </c>
      <c r="B6" s="10" t="s">
        <v>37</v>
      </c>
      <c r="C6" s="11" t="s">
        <v>47</v>
      </c>
      <c r="D6" s="11" t="s">
        <v>48</v>
      </c>
      <c r="E6" s="11" t="s">
        <v>49</v>
      </c>
    </row>
    <row r="7">
      <c r="A7" s="5">
        <v>5.0</v>
      </c>
      <c r="B7" s="10" t="s">
        <v>39</v>
      </c>
      <c r="C7" s="11" t="s">
        <v>40</v>
      </c>
      <c r="D7" s="11" t="s">
        <v>41</v>
      </c>
      <c r="E7" s="11" t="s">
        <v>42</v>
      </c>
    </row>
    <row r="8">
      <c r="A8" s="5">
        <v>6.0</v>
      </c>
      <c r="B8" s="10" t="s">
        <v>43</v>
      </c>
      <c r="C8" s="11" t="s">
        <v>44</v>
      </c>
      <c r="D8" s="11" t="s">
        <v>50</v>
      </c>
      <c r="E8" s="11" t="s">
        <v>46</v>
      </c>
    </row>
  </sheetData>
  <mergeCells count="1">
    <mergeCell ref="A1:E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34.63"/>
  </cols>
  <sheetData>
    <row r="1">
      <c r="A1" s="13" t="s">
        <v>51</v>
      </c>
      <c r="B1" s="2"/>
    </row>
    <row r="2">
      <c r="A2" s="14" t="s">
        <v>52</v>
      </c>
      <c r="B2" s="15" t="s">
        <v>53</v>
      </c>
    </row>
    <row r="3">
      <c r="A3" s="16" t="s">
        <v>54</v>
      </c>
      <c r="B3" s="17">
        <v>45.0</v>
      </c>
    </row>
    <row r="4">
      <c r="A4" s="18"/>
    </row>
    <row r="5">
      <c r="A5" s="14" t="s">
        <v>55</v>
      </c>
      <c r="B5" s="15" t="s">
        <v>53</v>
      </c>
    </row>
    <row r="6">
      <c r="A6" s="19" t="s">
        <v>56</v>
      </c>
      <c r="B6" s="20">
        <v>50.0</v>
      </c>
    </row>
    <row r="7">
      <c r="A7" s="19" t="s">
        <v>57</v>
      </c>
      <c r="B7" s="20">
        <v>60.0</v>
      </c>
    </row>
    <row r="8">
      <c r="A8" s="19" t="s">
        <v>58</v>
      </c>
      <c r="B8" s="20">
        <v>55.0</v>
      </c>
    </row>
    <row r="9">
      <c r="A9" s="19" t="s">
        <v>59</v>
      </c>
      <c r="B9" s="20">
        <v>70.0</v>
      </c>
    </row>
    <row r="10">
      <c r="A10" s="19" t="s">
        <v>60</v>
      </c>
      <c r="B10" s="20">
        <v>45.0</v>
      </c>
    </row>
    <row r="11">
      <c r="A11" s="19" t="s">
        <v>61</v>
      </c>
      <c r="B11" s="20">
        <v>35.0</v>
      </c>
    </row>
    <row r="12">
      <c r="A12" s="19" t="s">
        <v>62</v>
      </c>
      <c r="B12" s="20">
        <v>29.0</v>
      </c>
    </row>
    <row r="13">
      <c r="A13" s="21" t="s">
        <v>63</v>
      </c>
      <c r="B13" s="22">
        <f>IF(B6="","",AVERAGE(B6:B12))</f>
        <v>49.14285714</v>
      </c>
    </row>
    <row r="14">
      <c r="A14" s="23"/>
    </row>
    <row r="15">
      <c r="A15" s="24" t="s">
        <v>64</v>
      </c>
      <c r="B15" s="25" t="str">
        <f>IF(AVERAGE(B6:B12)&gt;B3,"Avg Effluent TSS exceeds Weekly Discharge Limit. Problem confirmed.","Avg Effluent TSS does not exceed the Weekly Discharge Limit.")</f>
        <v>Avg Effluent TSS exceeds Weekly Discharge Limit. Problem confirmed.</v>
      </c>
    </row>
  </sheetData>
  <mergeCells count="2">
    <mergeCell ref="A1:B1"/>
    <mergeCell ref="A4:B4"/>
  </mergeCells>
  <conditionalFormatting sqref="B15">
    <cfRule type="containsText" dxfId="0" priority="1" operator="containsText" text="not higher">
      <formula>NOT(ISERROR(SEARCH(("not higher"),(B15))))</formula>
    </cfRule>
  </conditionalFormatting>
  <conditionalFormatting sqref="B15">
    <cfRule type="containsText" dxfId="1" priority="2" operator="containsText" text="High">
      <formula>NOT(ISERROR(SEARCH(("High"),(B15))))</formula>
    </cfRule>
  </conditionalFormatting>
  <drawing r:id="rId1"/>
</worksheet>
</file>