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ility" sheetId="1" r:id="rId4"/>
    <sheet state="visible" name="Design &amp; Op" sheetId="2" r:id="rId5"/>
    <sheet state="visible" name="Calculated" sheetId="3" r:id="rId6"/>
    <sheet state="visible" name="Analysis Problem (Place holder)" sheetId="4" r:id="rId7"/>
  </sheets>
  <definedNames/>
  <calcPr/>
</workbook>
</file>

<file path=xl/sharedStrings.xml><?xml version="1.0" encoding="utf-8"?>
<sst xmlns="http://schemas.openxmlformats.org/spreadsheetml/2006/main" count="212" uniqueCount="146">
  <si>
    <t>#</t>
  </si>
  <si>
    <t>Question</t>
  </si>
  <si>
    <t>Answer</t>
  </si>
  <si>
    <t>Unit</t>
  </si>
  <si>
    <t>Facility Information</t>
  </si>
  <si>
    <t>Enter Highest Treatment Stage, before discharge</t>
  </si>
  <si>
    <t>Secondary</t>
  </si>
  <si>
    <t>Does your permit mandate you to remove Nitrogen and Phosphorus before discharge?</t>
  </si>
  <si>
    <t>Yes</t>
  </si>
  <si>
    <t>What is your Priority Design Number? (the design number you try to maintain through the process)
Use the following for reference :
SRT : Solids Retention Time - Excludes solids in Clarifier
MCRT : Mean Cell Residence - Includes solids in Clarifier
MLSS : Mixed Liquor Suspended Solids - Aeration Tank Concentration (ATC)
F:M Ratio : Food-to-Microorganism Ratio - Amount of Food (BOD) to the Amount of Bugs (MLSS)</t>
  </si>
  <si>
    <t>Aeration Basin</t>
  </si>
  <si>
    <t>Process configuration</t>
  </si>
  <si>
    <t>Plug Flow</t>
  </si>
  <si>
    <t>Type of Aeration System</t>
  </si>
  <si>
    <t>Jet Aeration</t>
  </si>
  <si>
    <t>Is your Aeration Basin discharge from the bottom of the tank?</t>
  </si>
  <si>
    <t>No</t>
  </si>
  <si>
    <t>Total Volume of Aeration Basin</t>
  </si>
  <si>
    <t>gal</t>
  </si>
  <si>
    <t>Total Surface Area of Aeration Basin</t>
  </si>
  <si>
    <t>sq. feet</t>
  </si>
  <si>
    <t>Clarifiers</t>
  </si>
  <si>
    <t>Total Volume of Secondary Clarifiers</t>
  </si>
  <si>
    <t>Total Surface Area of Secondary Clarifiers</t>
  </si>
  <si>
    <t>Avg. Sidewater Depth of Secondary Clarifiers</t>
  </si>
  <si>
    <t>feet</t>
  </si>
  <si>
    <t>Total Length of Weirs in Secondary Clarifiers</t>
  </si>
  <si>
    <t>Total Volume of Primary Clarifiers</t>
  </si>
  <si>
    <t>Total Surface Area of Primary Clarifiers</t>
  </si>
  <si>
    <t>Total Length of Weirs in Primary Clarifiers</t>
  </si>
  <si>
    <t>Sidestreams</t>
  </si>
  <si>
    <t>Do you have Sidestreams bypassing Tertiary Treatment?</t>
  </si>
  <si>
    <t>Does Not Apply</t>
  </si>
  <si>
    <t>Do you have Sidestreams bypassing Secondary Treatment?</t>
  </si>
  <si>
    <t>Do you have Sidestreams bypassing Primary Treatment?</t>
  </si>
  <si>
    <t>Enter Source of Tertiary Bypass Sidestream</t>
  </si>
  <si>
    <t>Enter Source of Secondary Bypass Sidestream</t>
  </si>
  <si>
    <t>Primary Effluent</t>
  </si>
  <si>
    <t>Enter Source of Primary Bypass Sidestream</t>
  </si>
  <si>
    <t>Sludge Thickening / Dewatering</t>
  </si>
  <si>
    <t>What treatment stage do you send your Filtrate from Sludge thickening operations to?</t>
  </si>
  <si>
    <t>Primary</t>
  </si>
  <si>
    <t>DESIGN &amp; OPERATING DATA</t>
  </si>
  <si>
    <t>Parameters</t>
  </si>
  <si>
    <t>WEEK 1</t>
  </si>
  <si>
    <t>WEEK 2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</si>
  <si>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</si>
  <si>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</si>
  <si>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</si>
  <si>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</si>
  <si>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</si>
  <si>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</si>
  <si>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</si>
  <si>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</si>
  <si>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</si>
  <si>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</si>
  <si>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</si>
  <si>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</si>
  <si>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</si>
  <si>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</si>
  <si>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Design</t>
  </si>
  <si>
    <t>Design or Target MLSS concentration</t>
  </si>
  <si>
    <t>mg/L or ppm</t>
  </si>
  <si>
    <t>Design or Target F/M Ratio</t>
  </si>
  <si>
    <t>lbs BOD/ 
lbs VSS</t>
  </si>
  <si>
    <t>Design or Target SRT (excludes solids in clarifier)</t>
  </si>
  <si>
    <t>days</t>
  </si>
  <si>
    <t>Design or Target MCRT (includes solids in clarifier)</t>
  </si>
  <si>
    <t>Design or Target Yield Coefficient</t>
  </si>
  <si>
    <t>lbs VSS/ 
lbs BOD</t>
  </si>
  <si>
    <t>Operations</t>
  </si>
  <si>
    <t>Flows</t>
  </si>
  <si>
    <t>Raw Influent Flow</t>
  </si>
  <si>
    <t>MGD</t>
  </si>
  <si>
    <t>Diverted Flow bypassing Aeration Basin</t>
  </si>
  <si>
    <t>RAS Flow</t>
  </si>
  <si>
    <t>Primary WAS Flow</t>
  </si>
  <si>
    <t>gpm (gal/min)</t>
  </si>
  <si>
    <t>Secondary WAS Flow</t>
  </si>
  <si>
    <t>Filtrate from Sludge dewatering</t>
  </si>
  <si>
    <t>Concentrations</t>
  </si>
  <si>
    <t>Avg. BOD concentration in Aeration Basin Influent</t>
  </si>
  <si>
    <t>Avg. TSS concentration in Aeration Basin Influent</t>
  </si>
  <si>
    <t>Avg. MLSS concentration</t>
  </si>
  <si>
    <t>Avg. MLVSS concntration</t>
  </si>
  <si>
    <t>Avg. DO concentration in Aeration Basin</t>
  </si>
  <si>
    <t>Avg. RAS Concentration</t>
  </si>
  <si>
    <t>Other</t>
  </si>
  <si>
    <t>Avg. Aeration rate</t>
  </si>
  <si>
    <t>cfm</t>
  </si>
  <si>
    <t>Minutes of operation of Primary WAS pump per hour, on average</t>
  </si>
  <si>
    <t>mins</t>
  </si>
  <si>
    <t>Minutes of operation of Secondary WAS pump per hour, on average</t>
  </si>
  <si>
    <t>Avg. Sludge Blanket Depth</t>
  </si>
  <si>
    <t>Dosing</t>
  </si>
  <si>
    <t>Acid Dosing</t>
  </si>
  <si>
    <t>lpm</t>
  </si>
  <si>
    <t>Caustic Dosing</t>
  </si>
  <si>
    <t>Nutrient Dosing</t>
  </si>
  <si>
    <t>Coagulant Dosing</t>
  </si>
  <si>
    <t>Polymer Dosing</t>
  </si>
  <si>
    <t>Chlorine Dosing</t>
  </si>
  <si>
    <t>Secondary Effluent</t>
  </si>
  <si>
    <t>Avg. BOD concentration at Weirs of Secondary Clarifiers</t>
  </si>
  <si>
    <t>Avg. TSS concentration at Weirs of Secondary Clarifiers</t>
  </si>
  <si>
    <t>Avg. TSS concentration before discharge</t>
  </si>
  <si>
    <t>Avg. TDS concentration</t>
  </si>
  <si>
    <t>Total Coliforms</t>
  </si>
  <si>
    <t>MPN</t>
  </si>
  <si>
    <t>Total Nitrogen</t>
  </si>
  <si>
    <t>Total Phosphorus</t>
  </si>
  <si>
    <t>Sulfate</t>
  </si>
  <si>
    <t>Free Chlorine</t>
  </si>
  <si>
    <t>Color</t>
  </si>
  <si>
    <t>pH</t>
  </si>
  <si>
    <t>Temperature</t>
  </si>
  <si>
    <t>°F</t>
  </si>
  <si>
    <t>DERIVED DATA : The following are computed based on your inputs.</t>
  </si>
  <si>
    <t>Typical Values</t>
  </si>
  <si>
    <t>BOD entering Aeration Basin</t>
  </si>
  <si>
    <t>lbs/day</t>
  </si>
  <si>
    <t>MLVSS</t>
  </si>
  <si>
    <t>lbs</t>
  </si>
  <si>
    <t>F/M Ratio</t>
  </si>
  <si>
    <t>F/M-DO Ratio</t>
  </si>
  <si>
    <t>Solids Inventory, Aeration Basin</t>
  </si>
  <si>
    <t>lbs / day</t>
  </si>
  <si>
    <t>Solids Inventory, Secondary Clarifiers</t>
  </si>
  <si>
    <t>Solids leaving secondary treatment</t>
  </si>
  <si>
    <t>Yield coefficient</t>
  </si>
  <si>
    <t>lbs BOD / lbs WAS</t>
  </si>
  <si>
    <t>SRT (excludes solids in clarifier)</t>
  </si>
  <si>
    <t>MCRT (includes solids in clarifier)</t>
  </si>
  <si>
    <t>HLR, Aeration Basin</t>
  </si>
  <si>
    <t>gal / day / sq. ft.</t>
  </si>
  <si>
    <t>OLR, Aeration Basin</t>
  </si>
  <si>
    <t>lbs / day / sq. ft.</t>
  </si>
  <si>
    <t>HRT, Aeration Basin</t>
  </si>
  <si>
    <t>hours</t>
  </si>
  <si>
    <t>SDT, Aeration Basin</t>
  </si>
  <si>
    <t>SOR, Secondary Clarifier</t>
  </si>
  <si>
    <t>WOR, Secondary Clarifier</t>
  </si>
  <si>
    <t>gal / day / linear ft.</t>
  </si>
  <si>
    <t>SLR, Secondary Clarifier</t>
  </si>
  <si>
    <t>HRT, Secondary Clarifier</t>
  </si>
  <si>
    <t>SDT, Secondary Clariifer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</si>
</sst>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9">
    <font>
      <sz val="10.0"/>
      <color rgb="FF000000"/>
      <name val="Arial"/>
      <scheme val="minor"/>
    </font>
    <font>
      <b/>
      <sz val="11.0"/>
      <color rgb="FFFF0000"/>
      <name val="Arial"/>
    </font>
    <font/>
    <font>
      <b/>
      <sz val="11.0"/>
      <color theme="1"/>
      <name val="Arial"/>
    </font>
    <font>
      <b/>
      <color rgb="FF0000FF"/>
      <name val="Arial"/>
    </font>
    <font>
      <color theme="1"/>
      <name val="Arial"/>
    </font>
    <font>
      <color theme="1"/>
      <name val="Arial"/>
      <scheme val="minor"/>
    </font>
    <font>
      <b/>
      <sz val="11.0"/>
      <color rgb="FF0000FF"/>
      <name val="Arial"/>
    </font>
    <font>
      <b/>
      <color rgb="FF98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vertical="top" wrapText="1"/>
    </xf>
    <xf borderId="3" fillId="2" fontId="3" numFmtId="0" xfId="0" applyAlignment="1" applyBorder="1" applyFont="1">
      <alignment shrinkToFit="0" vertical="top" wrapText="1"/>
    </xf>
    <xf borderId="2" fillId="2" fontId="3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2" numFmtId="0" xfId="0" applyBorder="1" applyFont="1"/>
    <xf borderId="5" fillId="0" fontId="2" numFmtId="0" xfId="0" applyBorder="1" applyFont="1"/>
    <xf borderId="1" fillId="0" fontId="5" numFmtId="0" xfId="0" applyAlignment="1" applyBorder="1" applyFont="1">
      <alignment horizontal="center" readingOrder="0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3" fontId="5" numFmtId="3" xfId="0" applyAlignment="1" applyBorder="1" applyFill="1" applyFont="1" applyNumberFormat="1">
      <alignment horizontal="left" shrinkToFit="0" vertical="top" wrapText="1"/>
    </xf>
    <xf borderId="1" fillId="4" fontId="5" numFmtId="3" xfId="0" applyAlignment="1" applyBorder="1" applyFill="1" applyFont="1" applyNumberFormat="1">
      <alignment horizontal="left" readingOrder="0" shrinkToFit="0" vertical="top" wrapText="1"/>
    </xf>
    <xf borderId="6" fillId="3" fontId="5" numFmtId="3" xfId="0" applyAlignment="1" applyBorder="1" applyFont="1" applyNumberFormat="1">
      <alignment horizontal="left" readingOrder="0" shrinkToFit="0" vertical="top" wrapText="1"/>
    </xf>
    <xf borderId="1" fillId="4" fontId="5" numFmtId="3" xfId="0" applyAlignment="1" applyBorder="1" applyFont="1" applyNumberFormat="1">
      <alignment horizontal="left" shrinkToFit="0" vertical="top" wrapText="1"/>
    </xf>
    <xf borderId="6" fillId="3" fontId="5" numFmtId="0" xfId="0" applyAlignment="1" applyBorder="1" applyFont="1">
      <alignment horizontal="left" readingOrder="0" vertical="top"/>
    </xf>
    <xf borderId="1" fillId="4" fontId="5" numFmtId="0" xfId="0" applyAlignment="1" applyBorder="1" applyFont="1">
      <alignment horizontal="left" readingOrder="0" vertical="top"/>
    </xf>
    <xf borderId="7" fillId="0" fontId="4" numFmtId="0" xfId="0" applyAlignment="1" applyBorder="1" applyFont="1">
      <alignment horizontal="left" readingOrder="0" shrinkToFit="0" vertical="top" wrapText="1"/>
    </xf>
    <xf borderId="7" fillId="0" fontId="2" numFmtId="0" xfId="0" applyBorder="1" applyFont="1"/>
    <xf borderId="8" fillId="0" fontId="2" numFmtId="0" xfId="0" applyBorder="1" applyFont="1"/>
    <xf borderId="1" fillId="0" fontId="5" numFmtId="0" xfId="0" applyAlignment="1" applyBorder="1" applyFont="1">
      <alignment readingOrder="0" shrinkToFit="0" vertical="top" wrapText="1"/>
    </xf>
    <xf borderId="0" fillId="3" fontId="5" numFmtId="3" xfId="0" applyAlignment="1" applyFont="1" applyNumberFormat="1">
      <alignment horizontal="left" readingOrder="0" shrinkToFit="0" vertical="top" wrapText="1"/>
    </xf>
    <xf borderId="1" fillId="5" fontId="5" numFmtId="3" xfId="0" applyAlignment="1" applyBorder="1" applyFill="1" applyFont="1" applyNumberFormat="1">
      <alignment horizontal="left" readingOrder="0" shrinkToFit="0" vertical="top" wrapText="1"/>
    </xf>
    <xf borderId="6" fillId="3" fontId="5" numFmtId="3" xfId="0" applyAlignment="1" applyBorder="1" applyFont="1" applyNumberFormat="1">
      <alignment horizontal="left" readingOrder="0" vertical="top"/>
    </xf>
    <xf borderId="9" fillId="3" fontId="5" numFmtId="3" xfId="0" applyAlignment="1" applyBorder="1" applyFont="1" applyNumberFormat="1">
      <alignment horizontal="left" readingOrder="0" vertical="top"/>
    </xf>
    <xf borderId="1" fillId="5" fontId="5" numFmtId="3" xfId="0" applyAlignment="1" applyBorder="1" applyFont="1" applyNumberFormat="1">
      <alignment horizontal="left" readingOrder="0" vertical="top"/>
    </xf>
    <xf borderId="5" fillId="0" fontId="5" numFmtId="0" xfId="0" applyAlignment="1" applyBorder="1" applyFont="1">
      <alignment horizontal="center" readingOrder="0" shrinkToFit="0" vertical="top" wrapText="1"/>
    </xf>
    <xf borderId="6" fillId="0" fontId="5" numFmtId="0" xfId="0" applyAlignment="1" applyBorder="1" applyFont="1">
      <alignment shrinkToFit="0" vertical="top" wrapText="1"/>
    </xf>
    <xf borderId="1" fillId="4" fontId="5" numFmtId="3" xfId="0" applyAlignment="1" applyBorder="1" applyFont="1" applyNumberFormat="1">
      <alignment horizontal="left" readingOrder="0" vertical="top"/>
    </xf>
    <xf borderId="1" fillId="0" fontId="6" numFmtId="0" xfId="0" applyBorder="1" applyFont="1"/>
    <xf borderId="0" fillId="0" fontId="1" numFmtId="0" xfId="0" applyAlignment="1" applyFont="1">
      <alignment horizontal="left" readingOrder="0" shrinkToFit="0" vertical="top" wrapText="0"/>
    </xf>
    <xf borderId="10" fillId="2" fontId="3" numFmtId="0" xfId="0" applyAlignment="1" applyBorder="1" applyFont="1">
      <alignment horizontal="center" readingOrder="0" shrinkToFit="0" vertical="center" wrapText="1"/>
    </xf>
    <xf borderId="10" fillId="2" fontId="3" numFmtId="0" xfId="0" applyAlignment="1" applyBorder="1" applyFont="1">
      <alignment readingOrder="0" shrinkToFit="0" vertical="center" wrapText="1"/>
    </xf>
    <xf borderId="3" fillId="2" fontId="7" numFmtId="164" xfId="0" applyAlignment="1" applyBorder="1" applyFont="1" applyNumberFormat="1">
      <alignment horizontal="center" readingOrder="0"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11" fillId="0" fontId="2" numFmtId="0" xfId="0" applyBorder="1" applyFont="1"/>
    <xf borderId="2" fillId="2" fontId="3" numFmtId="164" xfId="0" applyAlignment="1" applyBorder="1" applyFont="1" applyNumberForma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12" fillId="4" fontId="5" numFmtId="3" xfId="0" applyAlignment="1" applyBorder="1" applyFont="1" applyNumberFormat="1">
      <alignment horizontal="left" readingOrder="0" shrinkToFit="0" vertical="top" wrapText="1"/>
    </xf>
    <xf borderId="0" fillId="3" fontId="5" numFmtId="164" xfId="0" applyAlignment="1" applyFont="1" applyNumberFormat="1">
      <alignment horizontal="center" readingOrder="0" shrinkToFit="0" vertical="top" wrapText="1"/>
    </xf>
    <xf borderId="0" fillId="3" fontId="5" numFmtId="3" xfId="0" applyAlignment="1" applyFont="1" applyNumberFormat="1">
      <alignment horizontal="center" readingOrder="0" shrinkToFit="0" vertical="top" wrapText="1"/>
    </xf>
    <xf borderId="1" fillId="3" fontId="5" numFmtId="3" xfId="0" applyAlignment="1" applyBorder="1" applyFont="1" applyNumberFormat="1">
      <alignment horizontal="center" readingOrder="0" shrinkToFit="0" vertical="top" wrapText="1"/>
    </xf>
    <xf borderId="4" fillId="0" fontId="8" numFmtId="0" xfId="0" applyAlignment="1" applyBorder="1" applyFont="1">
      <alignment horizontal="left" readingOrder="0" shrinkToFit="0" vertical="top" wrapText="1"/>
    </xf>
    <xf borderId="7" fillId="0" fontId="8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12" fillId="0" fontId="6" numFmtId="0" xfId="0" applyAlignment="1" applyBorder="1" applyFont="1">
      <alignment readingOrder="0"/>
    </xf>
    <xf borderId="10" fillId="2" fontId="3" numFmtId="164" xfId="0" applyAlignment="1" applyBorder="1" applyFont="1" applyNumberFormat="1">
      <alignment horizontal="left" readingOrder="0" shrinkToFit="0" vertical="center" wrapText="1"/>
    </xf>
    <xf borderId="1" fillId="6" fontId="5" numFmtId="164" xfId="0" applyAlignment="1" applyBorder="1" applyFill="1" applyFont="1" applyNumberFormat="1">
      <alignment horizontal="left" readingOrder="0" shrinkToFit="0" vertical="top" wrapText="1"/>
    </xf>
    <xf borderId="0" fillId="6" fontId="5" numFmtId="3" xfId="0" applyAlignment="1" applyFont="1" applyNumberFormat="1">
      <alignment horizontal="center" readingOrder="0" shrinkToFit="0" vertical="top" wrapText="1"/>
    </xf>
    <xf borderId="1" fillId="6" fontId="5" numFmtId="3" xfId="0" applyAlignment="1" applyBorder="1" applyFont="1" applyNumberFormat="1">
      <alignment horizontal="center" readingOrder="0" shrinkToFit="0" vertical="top" wrapText="1"/>
    </xf>
    <xf borderId="0" fillId="6" fontId="5" numFmtId="164" xfId="0" applyAlignment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38"/>
    <col customWidth="1" min="2" max="2" width="71.25"/>
    <col customWidth="1" min="3" max="3" width="17.5"/>
    <col customWidth="1" min="4" max="4" width="10.5"/>
  </cols>
  <sheetData>
    <row r="1">
      <c r="A1" s="1">
        <v>0.0</v>
      </c>
      <c r="D1" s="2"/>
    </row>
    <row r="2">
      <c r="A2" s="3" t="s">
        <v>0</v>
      </c>
      <c r="B2" s="4" t="s">
        <v>1</v>
      </c>
      <c r="C2" s="5" t="s">
        <v>2</v>
      </c>
      <c r="D2" s="6" t="s">
        <v>3</v>
      </c>
    </row>
    <row r="3">
      <c r="A3" s="7" t="s">
        <v>4</v>
      </c>
      <c r="B3" s="8"/>
      <c r="C3" s="8"/>
      <c r="D3" s="9"/>
    </row>
    <row r="4">
      <c r="A4" s="10">
        <v>1.0</v>
      </c>
      <c r="B4" s="11" t="s">
        <v>5</v>
      </c>
      <c r="C4" s="12" t="s">
        <v>6</v>
      </c>
      <c r="D4" s="13"/>
    </row>
    <row r="5">
      <c r="A5" s="10">
        <v>2.0</v>
      </c>
      <c r="B5" s="11" t="s">
        <v>7</v>
      </c>
      <c r="C5" s="14" t="s">
        <v>8</v>
      </c>
      <c r="D5" s="15"/>
    </row>
    <row r="6">
      <c r="A6" s="10">
        <v>3.0</v>
      </c>
      <c r="B6" s="11" t="s">
        <v>9</v>
      </c>
      <c r="C6" s="16"/>
      <c r="D6" s="17"/>
    </row>
    <row r="7">
      <c r="A7" s="18" t="s">
        <v>10</v>
      </c>
      <c r="B7" s="19"/>
      <c r="C7" s="19"/>
      <c r="D7" s="20"/>
    </row>
    <row r="8">
      <c r="A8" s="10">
        <v>4.0</v>
      </c>
      <c r="B8" s="21" t="s">
        <v>11</v>
      </c>
      <c r="C8" s="22" t="s">
        <v>12</v>
      </c>
      <c r="D8" s="23"/>
    </row>
    <row r="9">
      <c r="A9" s="10">
        <v>5.0</v>
      </c>
      <c r="B9" s="21" t="s">
        <v>13</v>
      </c>
      <c r="C9" s="14" t="s">
        <v>14</v>
      </c>
      <c r="D9" s="23"/>
    </row>
    <row r="10">
      <c r="A10" s="10">
        <v>6.0</v>
      </c>
      <c r="B10" s="11" t="s">
        <v>15</v>
      </c>
      <c r="C10" s="14" t="s">
        <v>16</v>
      </c>
      <c r="D10" s="23"/>
    </row>
    <row r="11">
      <c r="A11" s="10">
        <v>7.0</v>
      </c>
      <c r="B11" s="11" t="s">
        <v>17</v>
      </c>
      <c r="C11" s="24">
        <v>450000.0</v>
      </c>
      <c r="D11" s="23" t="s">
        <v>18</v>
      </c>
    </row>
    <row r="12">
      <c r="A12" s="10">
        <v>8.0</v>
      </c>
      <c r="B12" s="11" t="s">
        <v>19</v>
      </c>
      <c r="C12" s="25">
        <v>3000.0</v>
      </c>
      <c r="D12" s="17" t="s">
        <v>20</v>
      </c>
    </row>
    <row r="13">
      <c r="A13" s="18" t="s">
        <v>21</v>
      </c>
      <c r="B13" s="19"/>
      <c r="C13" s="19"/>
      <c r="D13" s="20"/>
    </row>
    <row r="14">
      <c r="A14" s="10">
        <v>9.0</v>
      </c>
      <c r="B14" s="11" t="s">
        <v>22</v>
      </c>
      <c r="C14" s="14">
        <v>250000.0</v>
      </c>
      <c r="D14" s="23" t="s">
        <v>18</v>
      </c>
    </row>
    <row r="15">
      <c r="A15" s="10">
        <v>10.0</v>
      </c>
      <c r="B15" s="11" t="s">
        <v>23</v>
      </c>
      <c r="C15" s="24">
        <v>2500.0</v>
      </c>
      <c r="D15" s="26" t="s">
        <v>20</v>
      </c>
    </row>
    <row r="16">
      <c r="A16" s="10">
        <v>11.0</v>
      </c>
      <c r="B16" s="11" t="s">
        <v>24</v>
      </c>
      <c r="C16" s="24">
        <v>10.0</v>
      </c>
      <c r="D16" s="26" t="s">
        <v>25</v>
      </c>
    </row>
    <row r="17">
      <c r="A17" s="10">
        <v>12.0</v>
      </c>
      <c r="B17" s="11" t="s">
        <v>26</v>
      </c>
      <c r="C17" s="24">
        <v>750.0</v>
      </c>
      <c r="D17" s="26" t="s">
        <v>25</v>
      </c>
    </row>
    <row r="18">
      <c r="A18" s="10">
        <v>13.0</v>
      </c>
      <c r="B18" s="11" t="s">
        <v>27</v>
      </c>
      <c r="C18" s="24"/>
      <c r="D18" s="23" t="s">
        <v>18</v>
      </c>
    </row>
    <row r="19">
      <c r="A19" s="10">
        <v>14.0</v>
      </c>
      <c r="B19" s="11" t="s">
        <v>28</v>
      </c>
      <c r="C19" s="24"/>
      <c r="D19" s="26" t="s">
        <v>20</v>
      </c>
    </row>
    <row r="20">
      <c r="A20" s="27">
        <v>15.0</v>
      </c>
      <c r="B20" s="11" t="s">
        <v>29</v>
      </c>
      <c r="C20" s="25"/>
      <c r="D20" s="26" t="s">
        <v>25</v>
      </c>
    </row>
    <row r="21">
      <c r="A21" s="18" t="s">
        <v>30</v>
      </c>
      <c r="B21" s="19"/>
      <c r="C21" s="19"/>
      <c r="D21" s="20"/>
    </row>
    <row r="22">
      <c r="A22" s="10">
        <v>16.0</v>
      </c>
      <c r="B22" s="28" t="s">
        <v>31</v>
      </c>
      <c r="C22" s="16" t="s">
        <v>32</v>
      </c>
      <c r="D22" s="17"/>
    </row>
    <row r="23">
      <c r="A23" s="10">
        <v>17.0</v>
      </c>
      <c r="B23" s="28" t="s">
        <v>33</v>
      </c>
      <c r="C23" s="16" t="s">
        <v>8</v>
      </c>
      <c r="D23" s="17"/>
    </row>
    <row r="24">
      <c r="A24" s="10">
        <v>18.0</v>
      </c>
      <c r="B24" s="28" t="s">
        <v>34</v>
      </c>
      <c r="C24" s="16" t="s">
        <v>16</v>
      </c>
      <c r="D24" s="17"/>
    </row>
    <row r="25">
      <c r="A25" s="10">
        <v>19.0</v>
      </c>
      <c r="B25" s="28" t="s">
        <v>35</v>
      </c>
      <c r="C25" s="24" t="s">
        <v>32</v>
      </c>
      <c r="D25" s="29"/>
    </row>
    <row r="26">
      <c r="A26" s="10">
        <v>20.0</v>
      </c>
      <c r="B26" s="28" t="s">
        <v>36</v>
      </c>
      <c r="C26" s="24" t="s">
        <v>37</v>
      </c>
      <c r="D26" s="29"/>
    </row>
    <row r="27">
      <c r="A27" s="10">
        <v>21.0</v>
      </c>
      <c r="B27" s="28" t="s">
        <v>38</v>
      </c>
      <c r="C27" s="24" t="s">
        <v>32</v>
      </c>
      <c r="D27" s="29"/>
    </row>
    <row r="28">
      <c r="A28" s="18" t="s">
        <v>39</v>
      </c>
      <c r="B28" s="19"/>
      <c r="C28" s="19"/>
      <c r="D28" s="20"/>
    </row>
    <row r="29">
      <c r="A29" s="10">
        <v>22.0</v>
      </c>
      <c r="B29" s="11" t="s">
        <v>40</v>
      </c>
      <c r="C29" s="14" t="s">
        <v>41</v>
      </c>
      <c r="D29" s="30"/>
    </row>
  </sheetData>
  <mergeCells count="6">
    <mergeCell ref="A1:D1"/>
    <mergeCell ref="A3:D3"/>
    <mergeCell ref="A7:D7"/>
    <mergeCell ref="A13:D13"/>
    <mergeCell ref="A21:D21"/>
    <mergeCell ref="A28:D28"/>
  </mergeCells>
  <dataValidations>
    <dataValidation type="list" allowBlank="1" showInputMessage="1" showErrorMessage="1" prompt="Select from the options below." sqref="C6">
      <formula1>"SRT,MCRT,MLSS,F/M Ratio"</formula1>
    </dataValidation>
    <dataValidation type="list" allowBlank="1" showInputMessage="1" showErrorMessage="1" prompt="Select from the options below." sqref="C25">
      <formula1>"Secondary Effluent,Primary Effluent,Raw Influent,Does Not Apply"</formula1>
    </dataValidation>
    <dataValidation type="list" allowBlank="1" showInputMessage="1" showErrorMessage="1" prompt="Select from the options below." sqref="C5 C10">
      <formula1>"Yes,No"</formula1>
    </dataValidation>
    <dataValidation type="list" allowBlank="1" showInputMessage="1" showErrorMessage="1" prompt="Select from the options below." sqref="C9">
      <formula1>"Diffused Aeration,Mechanical Surface Aeration,Jet Aeration,Other"</formula1>
    </dataValidation>
    <dataValidation type="list" allowBlank="1" showInputMessage="1" showErrorMessage="1" prompt="Select from the options below." sqref="C26">
      <formula1>"Primary Effluent,Raw Influent,Does Not Apply"</formula1>
    </dataValidation>
    <dataValidation type="list" allowBlank="1" showInputMessage="1" showErrorMessage="1" prompt="Select from the options below." sqref="C4">
      <formula1>"Primary,Secondary,Tertiary"</formula1>
    </dataValidation>
    <dataValidation type="list" allowBlank="1" showInputMessage="1" showErrorMessage="1" prompt="Select from the options below." sqref="C8">
      <formula1>"Plug Flow,Completely Mixed,Step-Feed,Extended Aeration,Contact Stabilization,Other"</formula1>
    </dataValidation>
    <dataValidation type="list" allowBlank="1" showInputMessage="1" showErrorMessage="1" prompt="Select from the options below." sqref="C29">
      <formula1>"Primary,Secondary,Tertiary,Discharged to final effluent,Does Not Apply"</formula1>
    </dataValidation>
    <dataValidation type="list" allowBlank="1" showInputMessage="1" showErrorMessage="1" prompt="Select from the options below." sqref="C22:C24">
      <formula1>"Yes,No,Does Not Apply"</formula1>
    </dataValidation>
    <dataValidation type="list" allowBlank="1" showInputMessage="1" showErrorMessage="1" prompt="Select from the options below." sqref="C27">
      <formula1>"Raw Influent,Does Not Apply"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5"/>
    <col customWidth="1" min="2" max="2" width="43.25"/>
    <col customWidth="1" min="3" max="3" width="10.63"/>
    <col customWidth="1" min="4" max="17" width="8.88"/>
  </cols>
  <sheetData>
    <row r="1">
      <c r="A1" s="31" t="s">
        <v>42</v>
      </c>
      <c r="Q1" s="2"/>
    </row>
    <row r="2">
      <c r="A2" s="32" t="s">
        <v>0</v>
      </c>
      <c r="B2" s="33" t="s">
        <v>43</v>
      </c>
      <c r="C2" s="33" t="s">
        <v>3</v>
      </c>
      <c r="D2" s="34" t="s">
        <v>44</v>
      </c>
      <c r="E2" s="19"/>
      <c r="F2" s="19"/>
      <c r="G2" s="19"/>
      <c r="H2" s="19"/>
      <c r="I2" s="19"/>
      <c r="J2" s="20"/>
      <c r="K2" s="35" t="s">
        <v>45</v>
      </c>
      <c r="L2" s="19"/>
      <c r="M2" s="19"/>
      <c r="N2" s="19"/>
      <c r="O2" s="19"/>
      <c r="P2" s="19"/>
      <c r="Q2" s="20"/>
    </row>
    <row r="3">
      <c r="A3" s="36"/>
      <c r="B3" s="36"/>
      <c r="C3" s="36"/>
      <c r="D3" s="37" t="s">
        <v>46</v>
      </c>
      <c r="E3" s="38" t="s">
        <v>47</v>
      </c>
      <c r="F3" s="38" t="s">
        <v>48</v>
      </c>
      <c r="G3" s="38" t="s">
        <v>49</v>
      </c>
      <c r="H3" s="38" t="s">
        <v>50</v>
      </c>
      <c r="I3" s="38" t="s">
        <v>51</v>
      </c>
      <c r="J3" s="38" t="s">
        <v>52</v>
      </c>
      <c r="K3" s="38" t="s">
        <v>53</v>
      </c>
      <c r="L3" s="38" t="s">
        <v>54</v>
      </c>
      <c r="M3" s="38" t="s">
        <v>55</v>
      </c>
      <c r="N3" s="38" t="s">
        <v>56</v>
      </c>
      <c r="O3" s="38" t="s">
        <v>57</v>
      </c>
      <c r="P3" s="38" t="s">
        <v>58</v>
      </c>
      <c r="Q3" s="38" t="s">
        <v>59</v>
      </c>
    </row>
    <row r="4">
      <c r="A4" s="7" t="s">
        <v>60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</row>
    <row r="5">
      <c r="A5" s="10"/>
      <c r="B5" s="39" t="s">
        <v>61</v>
      </c>
      <c r="C5" s="21" t="s">
        <v>62</v>
      </c>
      <c r="D5" s="40"/>
      <c r="E5" s="41"/>
      <c r="F5" s="41"/>
      <c r="G5" s="41"/>
      <c r="H5" s="41"/>
      <c r="I5" s="41"/>
      <c r="J5" s="42"/>
      <c r="K5" s="41"/>
      <c r="L5" s="41"/>
      <c r="M5" s="41"/>
      <c r="N5" s="41"/>
      <c r="O5" s="41"/>
      <c r="P5" s="41"/>
      <c r="Q5" s="42"/>
    </row>
    <row r="6">
      <c r="A6" s="10"/>
      <c r="B6" s="39" t="s">
        <v>63</v>
      </c>
      <c r="C6" s="21" t="s">
        <v>64</v>
      </c>
      <c r="D6" s="40"/>
      <c r="E6" s="41"/>
      <c r="F6" s="41"/>
      <c r="G6" s="41"/>
      <c r="H6" s="41"/>
      <c r="I6" s="41"/>
      <c r="J6" s="42"/>
      <c r="K6" s="41"/>
      <c r="L6" s="41"/>
      <c r="M6" s="41"/>
      <c r="N6" s="41"/>
      <c r="O6" s="41"/>
      <c r="P6" s="41"/>
      <c r="Q6" s="42"/>
    </row>
    <row r="7">
      <c r="A7" s="10"/>
      <c r="B7" s="39" t="s">
        <v>65</v>
      </c>
      <c r="C7" s="21" t="s">
        <v>66</v>
      </c>
      <c r="D7" s="40"/>
      <c r="E7" s="41"/>
      <c r="F7" s="41"/>
      <c r="G7" s="41"/>
      <c r="H7" s="41"/>
      <c r="I7" s="41"/>
      <c r="J7" s="42"/>
      <c r="K7" s="41"/>
      <c r="L7" s="41"/>
      <c r="M7" s="41"/>
      <c r="N7" s="41"/>
      <c r="O7" s="41"/>
      <c r="P7" s="41"/>
      <c r="Q7" s="42"/>
    </row>
    <row r="8">
      <c r="A8" s="10"/>
      <c r="B8" s="39" t="s">
        <v>67</v>
      </c>
      <c r="C8" s="21" t="s">
        <v>66</v>
      </c>
      <c r="D8" s="40"/>
      <c r="E8" s="41"/>
      <c r="F8" s="41"/>
      <c r="G8" s="41"/>
      <c r="H8" s="41"/>
      <c r="I8" s="41"/>
      <c r="J8" s="42"/>
      <c r="K8" s="41"/>
      <c r="L8" s="41"/>
      <c r="M8" s="41"/>
      <c r="N8" s="41"/>
      <c r="O8" s="41"/>
      <c r="P8" s="41"/>
      <c r="Q8" s="42"/>
    </row>
    <row r="9">
      <c r="A9" s="10"/>
      <c r="B9" s="13" t="s">
        <v>68</v>
      </c>
      <c r="C9" s="21" t="s">
        <v>69</v>
      </c>
      <c r="D9" s="40"/>
      <c r="E9" s="41"/>
      <c r="F9" s="41"/>
      <c r="G9" s="41"/>
      <c r="H9" s="41"/>
      <c r="I9" s="41"/>
      <c r="J9" s="42"/>
      <c r="K9" s="41"/>
      <c r="L9" s="41"/>
      <c r="M9" s="41"/>
      <c r="N9" s="41"/>
      <c r="O9" s="41"/>
      <c r="P9" s="41"/>
      <c r="Q9" s="42"/>
    </row>
    <row r="10">
      <c r="A10" s="18" t="s">
        <v>70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20"/>
    </row>
    <row r="11">
      <c r="A11" s="43" t="s">
        <v>71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>
      <c r="A12" s="10"/>
      <c r="B12" s="39" t="s">
        <v>72</v>
      </c>
      <c r="C12" s="21" t="s">
        <v>73</v>
      </c>
      <c r="D12" s="40">
        <v>1.0</v>
      </c>
      <c r="E12" s="41"/>
      <c r="F12" s="41"/>
      <c r="G12" s="41"/>
      <c r="H12" s="41"/>
      <c r="I12" s="41"/>
      <c r="J12" s="42"/>
      <c r="K12" s="41"/>
      <c r="L12" s="41"/>
      <c r="M12" s="41"/>
      <c r="N12" s="41"/>
      <c r="O12" s="41"/>
      <c r="P12" s="41"/>
      <c r="Q12" s="42"/>
    </row>
    <row r="13">
      <c r="A13" s="10"/>
      <c r="B13" s="39" t="s">
        <v>74</v>
      </c>
      <c r="C13" s="21" t="s">
        <v>73</v>
      </c>
      <c r="D13" s="40">
        <v>0.1</v>
      </c>
      <c r="E13" s="41"/>
      <c r="F13" s="41"/>
      <c r="G13" s="41"/>
      <c r="H13" s="41"/>
      <c r="I13" s="41"/>
      <c r="J13" s="42"/>
      <c r="K13" s="41"/>
      <c r="L13" s="41"/>
      <c r="M13" s="41"/>
      <c r="N13" s="41"/>
      <c r="O13" s="41"/>
      <c r="P13" s="41"/>
      <c r="Q13" s="42"/>
    </row>
    <row r="14">
      <c r="A14" s="10"/>
      <c r="B14" s="39" t="s">
        <v>75</v>
      </c>
      <c r="C14" s="21" t="s">
        <v>73</v>
      </c>
      <c r="D14" s="40">
        <v>0.5</v>
      </c>
      <c r="E14" s="41"/>
      <c r="F14" s="41"/>
      <c r="G14" s="41"/>
      <c r="H14" s="41"/>
      <c r="I14" s="41"/>
      <c r="J14" s="42"/>
      <c r="K14" s="41"/>
      <c r="L14" s="41"/>
      <c r="M14" s="41"/>
      <c r="N14" s="41"/>
      <c r="O14" s="41"/>
      <c r="P14" s="41"/>
      <c r="Q14" s="42"/>
    </row>
    <row r="15">
      <c r="A15" s="10"/>
      <c r="B15" s="39" t="s">
        <v>76</v>
      </c>
      <c r="C15" s="21" t="s">
        <v>77</v>
      </c>
      <c r="D15" s="40"/>
      <c r="E15" s="41"/>
      <c r="F15" s="41"/>
      <c r="G15" s="41"/>
      <c r="H15" s="41"/>
      <c r="I15" s="41"/>
      <c r="J15" s="42"/>
      <c r="K15" s="41"/>
      <c r="L15" s="41"/>
      <c r="M15" s="41"/>
      <c r="N15" s="41"/>
      <c r="O15" s="41"/>
      <c r="P15" s="41"/>
      <c r="Q15" s="42"/>
    </row>
    <row r="16">
      <c r="A16" s="10"/>
      <c r="B16" s="39" t="s">
        <v>78</v>
      </c>
      <c r="C16" s="21" t="s">
        <v>77</v>
      </c>
      <c r="D16" s="41">
        <v>60.0</v>
      </c>
      <c r="E16" s="41"/>
      <c r="F16" s="41"/>
      <c r="G16" s="41"/>
      <c r="H16" s="41"/>
      <c r="I16" s="41"/>
      <c r="J16" s="42"/>
      <c r="K16" s="41"/>
      <c r="L16" s="41"/>
      <c r="M16" s="41"/>
      <c r="N16" s="41"/>
      <c r="O16" s="41"/>
      <c r="P16" s="41"/>
      <c r="Q16" s="42"/>
    </row>
    <row r="17">
      <c r="A17" s="10"/>
      <c r="B17" s="39" t="s">
        <v>79</v>
      </c>
      <c r="C17" s="21" t="s">
        <v>77</v>
      </c>
      <c r="D17" s="41"/>
      <c r="E17" s="41"/>
      <c r="F17" s="41"/>
      <c r="G17" s="41"/>
      <c r="H17" s="41"/>
      <c r="I17" s="41"/>
      <c r="J17" s="42"/>
      <c r="K17" s="41"/>
      <c r="L17" s="41"/>
      <c r="M17" s="41"/>
      <c r="N17" s="41"/>
      <c r="O17" s="41"/>
      <c r="P17" s="41"/>
      <c r="Q17" s="42"/>
    </row>
    <row r="18">
      <c r="A18" s="44" t="s">
        <v>80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  <row r="19">
      <c r="A19" s="10"/>
      <c r="B19" s="39" t="s">
        <v>81</v>
      </c>
      <c r="C19" s="21" t="s">
        <v>62</v>
      </c>
      <c r="D19" s="41">
        <v>250.0</v>
      </c>
      <c r="E19" s="41"/>
      <c r="F19" s="41"/>
      <c r="G19" s="41"/>
      <c r="H19" s="41"/>
      <c r="I19" s="41"/>
      <c r="J19" s="42"/>
      <c r="K19" s="41"/>
      <c r="L19" s="41"/>
      <c r="M19" s="41"/>
      <c r="N19" s="41"/>
      <c r="O19" s="41"/>
      <c r="P19" s="41"/>
      <c r="Q19" s="42"/>
    </row>
    <row r="20">
      <c r="A20" s="10"/>
      <c r="B20" s="39" t="s">
        <v>82</v>
      </c>
      <c r="C20" s="21" t="s">
        <v>62</v>
      </c>
      <c r="D20" s="41"/>
      <c r="E20" s="41"/>
      <c r="F20" s="41"/>
      <c r="G20" s="41"/>
      <c r="H20" s="41"/>
      <c r="I20" s="41"/>
      <c r="J20" s="42"/>
      <c r="K20" s="41"/>
      <c r="L20" s="41"/>
      <c r="M20" s="41"/>
      <c r="N20" s="41"/>
      <c r="O20" s="41"/>
      <c r="P20" s="41"/>
      <c r="Q20" s="42"/>
    </row>
    <row r="21">
      <c r="A21" s="10"/>
      <c r="B21" s="39" t="s">
        <v>83</v>
      </c>
      <c r="C21" s="21" t="s">
        <v>62</v>
      </c>
      <c r="D21" s="41">
        <v>2400.0</v>
      </c>
      <c r="E21" s="41"/>
      <c r="F21" s="41"/>
      <c r="G21" s="41"/>
      <c r="H21" s="41"/>
      <c r="I21" s="41"/>
      <c r="J21" s="42"/>
      <c r="K21" s="41"/>
      <c r="L21" s="41"/>
      <c r="M21" s="41"/>
      <c r="N21" s="41"/>
      <c r="O21" s="41"/>
      <c r="P21" s="41"/>
      <c r="Q21" s="42"/>
    </row>
    <row r="22">
      <c r="A22" s="10"/>
      <c r="B22" s="39" t="s">
        <v>84</v>
      </c>
      <c r="C22" s="21" t="s">
        <v>62</v>
      </c>
      <c r="D22" s="41">
        <v>1800.0</v>
      </c>
      <c r="E22" s="41"/>
      <c r="F22" s="41"/>
      <c r="G22" s="41"/>
      <c r="H22" s="41"/>
      <c r="I22" s="41"/>
      <c r="J22" s="42"/>
      <c r="K22" s="41"/>
      <c r="L22" s="41"/>
      <c r="M22" s="41"/>
      <c r="N22" s="41"/>
      <c r="O22" s="41"/>
      <c r="P22" s="41"/>
      <c r="Q22" s="42"/>
    </row>
    <row r="23">
      <c r="A23" s="10"/>
      <c r="B23" s="39" t="s">
        <v>85</v>
      </c>
      <c r="C23" s="21" t="s">
        <v>62</v>
      </c>
      <c r="D23" s="40">
        <v>2.0</v>
      </c>
      <c r="E23" s="41"/>
      <c r="F23" s="41"/>
      <c r="G23" s="41"/>
      <c r="H23" s="41"/>
      <c r="I23" s="41"/>
      <c r="J23" s="42"/>
      <c r="K23" s="41"/>
      <c r="L23" s="41"/>
      <c r="M23" s="41"/>
      <c r="N23" s="41"/>
      <c r="O23" s="41"/>
      <c r="P23" s="41"/>
      <c r="Q23" s="42"/>
    </row>
    <row r="24">
      <c r="A24" s="10"/>
      <c r="B24" s="39" t="s">
        <v>86</v>
      </c>
      <c r="C24" s="21" t="s">
        <v>62</v>
      </c>
      <c r="D24" s="41">
        <v>9000.0</v>
      </c>
      <c r="E24" s="41"/>
      <c r="F24" s="41"/>
      <c r="G24" s="41"/>
      <c r="H24" s="41"/>
      <c r="I24" s="41"/>
      <c r="J24" s="42"/>
      <c r="K24" s="41"/>
      <c r="L24" s="41"/>
      <c r="M24" s="41"/>
      <c r="N24" s="41"/>
      <c r="O24" s="41"/>
      <c r="P24" s="41"/>
      <c r="Q24" s="42"/>
    </row>
    <row r="25">
      <c r="A25" s="44" t="s">
        <v>87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  <row r="26">
      <c r="A26" s="10"/>
      <c r="B26" s="39" t="s">
        <v>88</v>
      </c>
      <c r="C26" s="21" t="s">
        <v>89</v>
      </c>
      <c r="D26" s="41"/>
      <c r="E26" s="41"/>
      <c r="F26" s="41"/>
      <c r="G26" s="41"/>
      <c r="H26" s="41"/>
      <c r="I26" s="41"/>
      <c r="J26" s="42"/>
      <c r="K26" s="41"/>
      <c r="L26" s="41"/>
      <c r="M26" s="41"/>
      <c r="N26" s="41"/>
      <c r="O26" s="41"/>
      <c r="P26" s="41"/>
      <c r="Q26" s="42"/>
    </row>
    <row r="27">
      <c r="A27" s="10"/>
      <c r="B27" s="39" t="s">
        <v>90</v>
      </c>
      <c r="C27" s="21" t="s">
        <v>91</v>
      </c>
      <c r="D27" s="41"/>
      <c r="E27" s="41"/>
      <c r="F27" s="41"/>
      <c r="G27" s="41"/>
      <c r="H27" s="41"/>
      <c r="I27" s="41"/>
      <c r="J27" s="42"/>
      <c r="K27" s="41"/>
      <c r="L27" s="41"/>
      <c r="M27" s="41"/>
      <c r="N27" s="41"/>
      <c r="O27" s="41"/>
      <c r="P27" s="41"/>
      <c r="Q27" s="42"/>
    </row>
    <row r="28">
      <c r="A28" s="10"/>
      <c r="B28" s="39" t="s">
        <v>92</v>
      </c>
      <c r="C28" s="21" t="s">
        <v>91</v>
      </c>
      <c r="D28" s="41">
        <v>20.0</v>
      </c>
      <c r="E28" s="41"/>
      <c r="F28" s="41"/>
      <c r="G28" s="41"/>
      <c r="H28" s="41"/>
      <c r="I28" s="41"/>
      <c r="J28" s="42"/>
      <c r="K28" s="41"/>
      <c r="L28" s="41"/>
      <c r="M28" s="41"/>
      <c r="N28" s="41"/>
      <c r="O28" s="41"/>
      <c r="P28" s="41"/>
      <c r="Q28" s="42"/>
    </row>
    <row r="29">
      <c r="A29" s="10"/>
      <c r="B29" s="39" t="s">
        <v>93</v>
      </c>
      <c r="C29" s="21" t="s">
        <v>25</v>
      </c>
      <c r="D29" s="40">
        <v>7.5</v>
      </c>
      <c r="E29" s="41"/>
      <c r="F29" s="41"/>
      <c r="G29" s="41"/>
      <c r="H29" s="41"/>
      <c r="I29" s="41"/>
      <c r="J29" s="42"/>
      <c r="K29" s="41"/>
      <c r="L29" s="41"/>
      <c r="M29" s="41"/>
      <c r="N29" s="41"/>
      <c r="O29" s="41"/>
      <c r="P29" s="41"/>
      <c r="Q29" s="42"/>
    </row>
    <row r="30">
      <c r="A30" s="18" t="s">
        <v>94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>
      <c r="A31" s="45"/>
      <c r="B31" s="39" t="s">
        <v>95</v>
      </c>
      <c r="C31" s="21" t="s">
        <v>96</v>
      </c>
      <c r="D31" s="40"/>
      <c r="E31" s="41"/>
      <c r="F31" s="41"/>
      <c r="G31" s="41"/>
      <c r="H31" s="41"/>
      <c r="I31" s="41"/>
      <c r="J31" s="42"/>
      <c r="K31" s="41"/>
      <c r="L31" s="41"/>
      <c r="M31" s="41"/>
      <c r="N31" s="41"/>
      <c r="O31" s="41"/>
      <c r="P31" s="41"/>
      <c r="Q31" s="42"/>
    </row>
    <row r="32">
      <c r="A32" s="45"/>
      <c r="B32" s="39" t="s">
        <v>97</v>
      </c>
      <c r="C32" s="21" t="s">
        <v>96</v>
      </c>
      <c r="D32" s="40"/>
      <c r="E32" s="41"/>
      <c r="F32" s="41"/>
      <c r="G32" s="41"/>
      <c r="H32" s="41"/>
      <c r="I32" s="41"/>
      <c r="J32" s="42"/>
      <c r="K32" s="41"/>
      <c r="L32" s="41"/>
      <c r="M32" s="41"/>
      <c r="N32" s="41"/>
      <c r="O32" s="41"/>
      <c r="P32" s="41"/>
      <c r="Q32" s="42"/>
    </row>
    <row r="33">
      <c r="A33" s="45"/>
      <c r="B33" s="39" t="s">
        <v>98</v>
      </c>
      <c r="C33" s="21" t="s">
        <v>96</v>
      </c>
      <c r="D33" s="40"/>
      <c r="E33" s="41"/>
      <c r="F33" s="41"/>
      <c r="G33" s="41"/>
      <c r="H33" s="41"/>
      <c r="I33" s="41"/>
      <c r="J33" s="42"/>
      <c r="K33" s="41"/>
      <c r="L33" s="41"/>
      <c r="M33" s="41"/>
      <c r="N33" s="41"/>
      <c r="O33" s="41"/>
      <c r="P33" s="41"/>
      <c r="Q33" s="42"/>
    </row>
    <row r="34">
      <c r="A34" s="45"/>
      <c r="B34" s="39" t="s">
        <v>99</v>
      </c>
      <c r="C34" s="21" t="s">
        <v>96</v>
      </c>
      <c r="D34" s="40"/>
      <c r="E34" s="41"/>
      <c r="F34" s="41"/>
      <c r="G34" s="41"/>
      <c r="H34" s="41"/>
      <c r="I34" s="41"/>
      <c r="J34" s="42"/>
      <c r="K34" s="41"/>
      <c r="L34" s="41"/>
      <c r="M34" s="41"/>
      <c r="N34" s="41"/>
      <c r="O34" s="41"/>
      <c r="P34" s="41"/>
      <c r="Q34" s="42"/>
    </row>
    <row r="35">
      <c r="A35" s="45"/>
      <c r="B35" s="39" t="s">
        <v>100</v>
      </c>
      <c r="C35" s="21" t="s">
        <v>96</v>
      </c>
      <c r="D35" s="40"/>
      <c r="E35" s="41"/>
      <c r="F35" s="41"/>
      <c r="G35" s="41"/>
      <c r="H35" s="41"/>
      <c r="I35" s="41"/>
      <c r="J35" s="42"/>
      <c r="K35" s="41"/>
      <c r="L35" s="41"/>
      <c r="M35" s="41"/>
      <c r="N35" s="41"/>
      <c r="O35" s="41"/>
      <c r="P35" s="41"/>
      <c r="Q35" s="42"/>
    </row>
    <row r="36">
      <c r="A36" s="45"/>
      <c r="B36" s="39" t="s">
        <v>101</v>
      </c>
      <c r="C36" s="21" t="s">
        <v>96</v>
      </c>
      <c r="D36" s="40"/>
      <c r="E36" s="41"/>
      <c r="F36" s="41"/>
      <c r="G36" s="41"/>
      <c r="H36" s="41"/>
      <c r="I36" s="41"/>
      <c r="J36" s="42"/>
      <c r="K36" s="41"/>
      <c r="L36" s="41"/>
      <c r="M36" s="41"/>
      <c r="N36" s="41"/>
      <c r="O36" s="41"/>
      <c r="P36" s="41"/>
      <c r="Q36" s="42"/>
    </row>
    <row r="37">
      <c r="A37" s="18" t="s">
        <v>102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20"/>
    </row>
    <row r="38">
      <c r="A38" s="10"/>
      <c r="B38" s="39" t="s">
        <v>103</v>
      </c>
      <c r="C38" s="21" t="s">
        <v>62</v>
      </c>
      <c r="D38" s="41">
        <v>30.0</v>
      </c>
      <c r="E38" s="41"/>
      <c r="F38" s="41"/>
      <c r="G38" s="41"/>
      <c r="H38" s="41"/>
      <c r="I38" s="41"/>
      <c r="J38" s="42"/>
      <c r="K38" s="41"/>
      <c r="L38" s="41"/>
      <c r="M38" s="41"/>
      <c r="N38" s="41"/>
      <c r="O38" s="41"/>
      <c r="P38" s="41"/>
      <c r="Q38" s="42"/>
    </row>
    <row r="39">
      <c r="A39" s="10"/>
      <c r="B39" s="39" t="s">
        <v>104</v>
      </c>
      <c r="C39" s="21" t="s">
        <v>62</v>
      </c>
      <c r="D39" s="41">
        <v>50.0</v>
      </c>
      <c r="E39" s="41"/>
      <c r="F39" s="41"/>
      <c r="G39" s="41"/>
      <c r="H39" s="41"/>
      <c r="I39" s="41"/>
      <c r="J39" s="42"/>
      <c r="K39" s="41"/>
      <c r="L39" s="41"/>
      <c r="M39" s="41"/>
      <c r="N39" s="41"/>
      <c r="O39" s="41"/>
      <c r="P39" s="41"/>
      <c r="Q39" s="42"/>
    </row>
    <row r="40">
      <c r="A40" s="45"/>
      <c r="B40" s="46" t="s">
        <v>105</v>
      </c>
      <c r="C40" s="21" t="s">
        <v>62</v>
      </c>
      <c r="D40" s="40"/>
      <c r="E40" s="41"/>
      <c r="F40" s="41"/>
      <c r="G40" s="41"/>
      <c r="H40" s="41"/>
      <c r="I40" s="41"/>
      <c r="J40" s="42"/>
      <c r="K40" s="41"/>
      <c r="L40" s="41"/>
      <c r="M40" s="41"/>
      <c r="N40" s="41"/>
      <c r="O40" s="41"/>
      <c r="P40" s="41"/>
      <c r="Q40" s="42"/>
    </row>
    <row r="41">
      <c r="A41" s="45"/>
      <c r="B41" s="46" t="s">
        <v>106</v>
      </c>
      <c r="C41" s="21" t="s">
        <v>62</v>
      </c>
      <c r="D41" s="40"/>
      <c r="E41" s="41"/>
      <c r="F41" s="41"/>
      <c r="G41" s="41"/>
      <c r="H41" s="41"/>
      <c r="I41" s="41"/>
      <c r="J41" s="42"/>
      <c r="K41" s="41"/>
      <c r="L41" s="41"/>
      <c r="M41" s="41"/>
      <c r="N41" s="41"/>
      <c r="O41" s="41"/>
      <c r="P41" s="41"/>
      <c r="Q41" s="42"/>
    </row>
    <row r="42">
      <c r="A42" s="45"/>
      <c r="B42" s="46" t="s">
        <v>107</v>
      </c>
      <c r="C42" s="21" t="s">
        <v>108</v>
      </c>
      <c r="D42" s="40"/>
      <c r="E42" s="41"/>
      <c r="F42" s="41"/>
      <c r="G42" s="41"/>
      <c r="H42" s="41"/>
      <c r="I42" s="41"/>
      <c r="J42" s="42"/>
      <c r="K42" s="41"/>
      <c r="L42" s="41"/>
      <c r="M42" s="41"/>
      <c r="N42" s="41"/>
      <c r="O42" s="41"/>
      <c r="P42" s="41"/>
      <c r="Q42" s="42"/>
    </row>
    <row r="43">
      <c r="A43" s="45"/>
      <c r="B43" s="46" t="s">
        <v>109</v>
      </c>
      <c r="C43" s="21" t="s">
        <v>62</v>
      </c>
      <c r="D43" s="40"/>
      <c r="E43" s="41"/>
      <c r="F43" s="41"/>
      <c r="G43" s="41"/>
      <c r="H43" s="41"/>
      <c r="I43" s="41"/>
      <c r="J43" s="42"/>
      <c r="K43" s="41"/>
      <c r="L43" s="41"/>
      <c r="M43" s="41"/>
      <c r="N43" s="41"/>
      <c r="O43" s="41"/>
      <c r="P43" s="41"/>
      <c r="Q43" s="42"/>
    </row>
    <row r="44">
      <c r="A44" s="45"/>
      <c r="B44" s="39" t="s">
        <v>110</v>
      </c>
      <c r="C44" s="21" t="s">
        <v>62</v>
      </c>
      <c r="D44" s="40"/>
      <c r="E44" s="41"/>
      <c r="F44" s="41"/>
      <c r="G44" s="41"/>
      <c r="H44" s="41"/>
      <c r="I44" s="41"/>
      <c r="J44" s="42"/>
      <c r="K44" s="41"/>
      <c r="L44" s="41"/>
      <c r="M44" s="41"/>
      <c r="N44" s="41"/>
      <c r="O44" s="41"/>
      <c r="P44" s="41"/>
      <c r="Q44" s="42"/>
    </row>
    <row r="45">
      <c r="A45" s="45"/>
      <c r="B45" s="46" t="s">
        <v>111</v>
      </c>
      <c r="C45" s="21" t="s">
        <v>62</v>
      </c>
      <c r="D45" s="40"/>
      <c r="E45" s="41"/>
      <c r="F45" s="41"/>
      <c r="G45" s="41"/>
      <c r="H45" s="41"/>
      <c r="I45" s="41"/>
      <c r="J45" s="42"/>
      <c r="K45" s="41"/>
      <c r="L45" s="41"/>
      <c r="M45" s="41"/>
      <c r="N45" s="41"/>
      <c r="O45" s="41"/>
      <c r="P45" s="41"/>
      <c r="Q45" s="42"/>
    </row>
    <row r="46">
      <c r="A46" s="45"/>
      <c r="B46" s="46" t="s">
        <v>112</v>
      </c>
      <c r="C46" s="21" t="s">
        <v>62</v>
      </c>
      <c r="D46" s="40"/>
      <c r="E46" s="41"/>
      <c r="F46" s="41"/>
      <c r="G46" s="41"/>
      <c r="H46" s="41"/>
      <c r="I46" s="41"/>
      <c r="J46" s="42"/>
      <c r="K46" s="41"/>
      <c r="L46" s="41"/>
      <c r="M46" s="41"/>
      <c r="N46" s="41"/>
      <c r="O46" s="41"/>
      <c r="P46" s="41"/>
      <c r="Q46" s="42"/>
    </row>
    <row r="47">
      <c r="A47" s="45"/>
      <c r="B47" s="46" t="s">
        <v>113</v>
      </c>
      <c r="C47" s="21"/>
      <c r="D47" s="40"/>
      <c r="E47" s="41"/>
      <c r="F47" s="41"/>
      <c r="G47" s="41"/>
      <c r="H47" s="41"/>
      <c r="I47" s="41"/>
      <c r="J47" s="42"/>
      <c r="K47" s="41"/>
      <c r="L47" s="41"/>
      <c r="M47" s="41"/>
      <c r="N47" s="41"/>
      <c r="O47" s="41"/>
      <c r="P47" s="41"/>
      <c r="Q47" s="42"/>
    </row>
    <row r="48">
      <c r="A48" s="45"/>
      <c r="B48" s="46" t="s">
        <v>114</v>
      </c>
      <c r="C48" s="21"/>
      <c r="D48" s="40"/>
      <c r="E48" s="41"/>
      <c r="F48" s="41"/>
      <c r="G48" s="41"/>
      <c r="H48" s="41"/>
      <c r="I48" s="41"/>
      <c r="J48" s="42"/>
      <c r="K48" s="41"/>
      <c r="L48" s="41"/>
      <c r="M48" s="41"/>
      <c r="N48" s="41"/>
      <c r="O48" s="41"/>
      <c r="P48" s="41"/>
      <c r="Q48" s="42"/>
    </row>
    <row r="49">
      <c r="A49" s="45"/>
      <c r="B49" s="46" t="s">
        <v>115</v>
      </c>
      <c r="C49" s="21" t="s">
        <v>116</v>
      </c>
      <c r="D49" s="40"/>
      <c r="E49" s="41"/>
      <c r="F49" s="41"/>
      <c r="G49" s="41"/>
      <c r="H49" s="41"/>
      <c r="I49" s="41"/>
      <c r="J49" s="42"/>
      <c r="K49" s="41"/>
      <c r="L49" s="41"/>
      <c r="M49" s="41"/>
      <c r="N49" s="41"/>
      <c r="O49" s="41"/>
      <c r="P49" s="41"/>
      <c r="Q49" s="42"/>
    </row>
  </sheetData>
  <mergeCells count="13">
    <mergeCell ref="A10:Q10"/>
    <mergeCell ref="A11:Q11"/>
    <mergeCell ref="A18:Q18"/>
    <mergeCell ref="A25:Q25"/>
    <mergeCell ref="A30:Q30"/>
    <mergeCell ref="A37:Q37"/>
    <mergeCell ref="A1:Q1"/>
    <mergeCell ref="A2:A3"/>
    <mergeCell ref="B2:B3"/>
    <mergeCell ref="C2:C3"/>
    <mergeCell ref="D2:J2"/>
    <mergeCell ref="K2:Q2"/>
    <mergeCell ref="A4:Q4"/>
  </mergeCells>
  <dataValidations>
    <dataValidation type="list" allowBlank="1" showInputMessage="1" showErrorMessage="1" prompt="Select from the options below." sqref="C12:C14">
      <formula1>"MGD,gpm (gal/min)"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9.5"/>
    <col customWidth="1" min="3" max="3" width="14.63"/>
    <col customWidth="1" min="4" max="4" width="7.38"/>
    <col customWidth="1" min="5" max="18" width="7.63"/>
  </cols>
  <sheetData>
    <row r="1">
      <c r="A1" s="31" t="s">
        <v>117</v>
      </c>
      <c r="R1" s="2"/>
    </row>
    <row r="2">
      <c r="A2" s="32" t="s">
        <v>0</v>
      </c>
      <c r="B2" s="33" t="s">
        <v>43</v>
      </c>
      <c r="C2" s="33" t="s">
        <v>3</v>
      </c>
      <c r="D2" s="47" t="s">
        <v>118</v>
      </c>
      <c r="E2" s="35" t="s">
        <v>44</v>
      </c>
      <c r="F2" s="19"/>
      <c r="G2" s="19"/>
      <c r="H2" s="19"/>
      <c r="I2" s="19"/>
      <c r="J2" s="19"/>
      <c r="K2" s="20"/>
      <c r="L2" s="35" t="s">
        <v>45</v>
      </c>
      <c r="M2" s="19"/>
      <c r="N2" s="19"/>
      <c r="O2" s="19"/>
      <c r="P2" s="19"/>
      <c r="Q2" s="19"/>
      <c r="R2" s="20"/>
    </row>
    <row r="3">
      <c r="A3" s="36"/>
      <c r="B3" s="36"/>
      <c r="C3" s="36"/>
      <c r="D3" s="36"/>
      <c r="E3" s="38" t="s">
        <v>46</v>
      </c>
      <c r="F3" s="38" t="s">
        <v>47</v>
      </c>
      <c r="G3" s="38" t="s">
        <v>48</v>
      </c>
      <c r="H3" s="38" t="s">
        <v>49</v>
      </c>
      <c r="I3" s="38" t="s">
        <v>50</v>
      </c>
      <c r="J3" s="38" t="s">
        <v>51</v>
      </c>
      <c r="K3" s="38" t="s">
        <v>52</v>
      </c>
      <c r="L3" s="38" t="s">
        <v>53</v>
      </c>
      <c r="M3" s="38" t="s">
        <v>54</v>
      </c>
      <c r="N3" s="38" t="s">
        <v>55</v>
      </c>
      <c r="O3" s="38" t="s">
        <v>56</v>
      </c>
      <c r="P3" s="38" t="s">
        <v>57</v>
      </c>
      <c r="Q3" s="38" t="s">
        <v>58</v>
      </c>
      <c r="R3" s="38" t="s">
        <v>59</v>
      </c>
    </row>
    <row r="4">
      <c r="A4" s="10">
        <v>1.0</v>
      </c>
      <c r="B4" s="39" t="s">
        <v>119</v>
      </c>
      <c r="C4" s="21" t="s">
        <v>120</v>
      </c>
      <c r="D4" s="48"/>
      <c r="E4" s="49">
        <f>IF(OR('Design &amp; Op'!D12="",'Design &amp; Op'!D19=""),"",ROUND(('Design &amp; Op'!D12-'Design &amp; Op'!D13)*'Design &amp; Op'!D19*8.34,0))</f>
        <v>1877</v>
      </c>
      <c r="F4" s="49"/>
      <c r="G4" s="49"/>
      <c r="H4" s="49"/>
      <c r="I4" s="49"/>
      <c r="J4" s="49"/>
      <c r="K4" s="50"/>
      <c r="L4" s="49"/>
      <c r="M4" s="49"/>
      <c r="N4" s="49"/>
      <c r="O4" s="49"/>
      <c r="P4" s="49"/>
      <c r="Q4" s="49"/>
      <c r="R4" s="50"/>
    </row>
    <row r="5">
      <c r="A5" s="10">
        <v>2.0</v>
      </c>
      <c r="B5" s="39" t="s">
        <v>121</v>
      </c>
      <c r="C5" s="21" t="s">
        <v>122</v>
      </c>
      <c r="D5" s="48"/>
      <c r="E5" s="49" t="str">
        <f>IF(OR('Design &amp; Op'!D21="",Facility!C11=""),"",
IFS(AND('Design &amp; Op'!D22&lt;&gt;"",Facility!D11="million gal"),ROUND(Facility!C11*'Design &amp; Op'!D22*8.34,0),
AND('Design &amp; Op'!D22&lt;&gt;"",Facility!D11="cubic feet"),ROUND(Facility!C11*'Design &amp; Op'!D22*8.34*7.48*(10^-6),0),
AND('Design &amp; Op'!D22="",Facility!D11="million gal"),ROUND(Facility!C11*0.75*'Design &amp; Op'!D21*8.34,0),
AND('Design &amp; Op'!D22="",Facility!D11="cubic feet"),ROUND(Facility!C11*0.75*'Design &amp; Op'!D21*8.34*7.48*(10^-6),0)))</f>
        <v>#N/A</v>
      </c>
      <c r="F5" s="49"/>
      <c r="G5" s="49"/>
      <c r="H5" s="49"/>
      <c r="I5" s="49"/>
      <c r="J5" s="49"/>
      <c r="K5" s="50"/>
      <c r="L5" s="49"/>
      <c r="M5" s="49"/>
      <c r="N5" s="49"/>
      <c r="O5" s="49"/>
      <c r="P5" s="49"/>
      <c r="Q5" s="49"/>
      <c r="R5" s="50"/>
    </row>
    <row r="6">
      <c r="A6" s="10">
        <v>3.0</v>
      </c>
      <c r="B6" s="39" t="s">
        <v>123</v>
      </c>
      <c r="C6" s="21"/>
      <c r="D6" s="48"/>
      <c r="E6" s="51" t="str">
        <f>IF(OR(E4="",E5=""),"",ROUND(E4/E5,2))</f>
        <v>#N/A</v>
      </c>
      <c r="F6" s="49"/>
      <c r="G6" s="49"/>
      <c r="H6" s="49"/>
      <c r="I6" s="49"/>
      <c r="J6" s="49"/>
      <c r="K6" s="50"/>
      <c r="L6" s="49"/>
      <c r="M6" s="49"/>
      <c r="N6" s="49"/>
      <c r="O6" s="49"/>
      <c r="P6" s="49"/>
      <c r="Q6" s="49"/>
      <c r="R6" s="50"/>
    </row>
    <row r="7">
      <c r="A7" s="10">
        <v>4.0</v>
      </c>
      <c r="B7" s="39" t="s">
        <v>124</v>
      </c>
      <c r="C7" s="21"/>
      <c r="D7" s="48"/>
      <c r="E7" s="51" t="str">
        <f>IF(OR(E6="",'Design &amp; Op'!D23=""),"",ROUND(E6/'Design &amp; Op'!D23,2))</f>
        <v>#N/A</v>
      </c>
      <c r="F7" s="49"/>
      <c r="G7" s="49"/>
      <c r="H7" s="49"/>
      <c r="I7" s="49"/>
      <c r="J7" s="49"/>
      <c r="K7" s="50"/>
      <c r="L7" s="49"/>
      <c r="M7" s="49"/>
      <c r="N7" s="49"/>
      <c r="O7" s="49"/>
      <c r="P7" s="49"/>
      <c r="Q7" s="49"/>
      <c r="R7" s="50"/>
    </row>
    <row r="8">
      <c r="A8" s="10">
        <v>5.0</v>
      </c>
      <c r="B8" s="39" t="s">
        <v>125</v>
      </c>
      <c r="C8" s="21" t="s">
        <v>126</v>
      </c>
      <c r="D8" s="48"/>
      <c r="E8" s="49">
        <f>IF(OR(Facility!C11="",'Design &amp; Op'!D21=""),"",ROUND(Facility!C11*'Design &amp; Op'!D21*8.34*7.48*(10^-6),0))</f>
        <v>67374</v>
      </c>
      <c r="F8" s="49"/>
      <c r="G8" s="49"/>
      <c r="H8" s="49"/>
      <c r="I8" s="49"/>
      <c r="J8" s="49"/>
      <c r="K8" s="50"/>
      <c r="L8" s="49"/>
      <c r="M8" s="49"/>
      <c r="N8" s="49"/>
      <c r="O8" s="49"/>
      <c r="P8" s="49"/>
      <c r="Q8" s="49"/>
      <c r="R8" s="50"/>
    </row>
    <row r="9">
      <c r="A9" s="10">
        <v>6.0</v>
      </c>
      <c r="B9" s="39" t="s">
        <v>127</v>
      </c>
      <c r="C9" s="21" t="s">
        <v>126</v>
      </c>
      <c r="D9" s="48"/>
      <c r="E9" s="49">
        <f>IF(OR(Facility!C14="",Facility!C16="",'Design &amp; Op'!D29="",'Design &amp; Op'!D21=""),"",ROUND(((Facility!C16-'Design &amp; Op'!D29)/Facility!C16)*Facility!C14*(10^-6)*AVERAGE('Design &amp; Op'!D21,'Design &amp; Op'!D24)*8.34,0))</f>
        <v>2971</v>
      </c>
      <c r="F9" s="49"/>
      <c r="G9" s="49"/>
      <c r="H9" s="49"/>
      <c r="I9" s="49"/>
      <c r="J9" s="49"/>
      <c r="K9" s="50"/>
      <c r="L9" s="49"/>
      <c r="M9" s="49"/>
      <c r="N9" s="49"/>
      <c r="O9" s="49"/>
      <c r="P9" s="49"/>
      <c r="Q9" s="49"/>
      <c r="R9" s="50"/>
    </row>
    <row r="10">
      <c r="A10" s="10">
        <v>7.0</v>
      </c>
      <c r="B10" s="39" t="s">
        <v>128</v>
      </c>
      <c r="C10" s="21" t="s">
        <v>120</v>
      </c>
      <c r="D10" s="48"/>
      <c r="E10" s="49"/>
      <c r="F10" s="49"/>
      <c r="G10" s="49"/>
      <c r="H10" s="49"/>
      <c r="I10" s="49"/>
      <c r="J10" s="49"/>
      <c r="K10" s="50"/>
      <c r="L10" s="49"/>
      <c r="M10" s="49"/>
      <c r="N10" s="49"/>
      <c r="O10" s="49"/>
      <c r="P10" s="49"/>
      <c r="Q10" s="49"/>
      <c r="R10" s="50"/>
    </row>
    <row r="11">
      <c r="A11" s="10">
        <v>8.0</v>
      </c>
      <c r="B11" s="39" t="s">
        <v>129</v>
      </c>
      <c r="C11" s="21" t="s">
        <v>130</v>
      </c>
      <c r="D11" s="48"/>
      <c r="E11" s="51">
        <f>IF(OR('Design &amp; Op'!D12="",'Design &amp; Op'!D19="",'Design &amp; Op'!D38=""),"",ROUND(('Design &amp; Op'!D19-'Design &amp; Op'!D38)*8.34*'Design &amp; Op'!D12/('Design &amp; Op'!D16*'Design &amp; Op'!D28*24*(10^-6)*'Design &amp; Op'!D24*8.34),1))</f>
        <v>0.8</v>
      </c>
      <c r="F11" s="49"/>
      <c r="G11" s="49"/>
      <c r="H11" s="49"/>
      <c r="I11" s="49"/>
      <c r="J11" s="49"/>
      <c r="K11" s="50"/>
      <c r="L11" s="49"/>
      <c r="M11" s="49"/>
      <c r="N11" s="49"/>
      <c r="O11" s="49"/>
      <c r="P11" s="49"/>
      <c r="Q11" s="49"/>
      <c r="R11" s="50"/>
    </row>
    <row r="12">
      <c r="A12" s="10">
        <v>9.0</v>
      </c>
      <c r="B12" s="39" t="s">
        <v>131</v>
      </c>
      <c r="C12" s="21" t="s">
        <v>66</v>
      </c>
      <c r="D12" s="48"/>
      <c r="E12" s="49">
        <f>IF(OR(E8="",'Design &amp; Op'!D24="",'Design &amp; Op'!D16="",'Design &amp; Op'!D12="",'Design &amp; Op'!D39=""),"",ROUNDUP(E8/(('Design &amp; Op'!D16*'Design &amp; Op'!D28*24*(10^-6)*'Design &amp; Op'!D24*8.34)+(('Design &amp; Op'!D12-('Design &amp; Op'!D16*(10^-6)))*'Design &amp; Op'!D39*8.34))))</f>
        <v>27</v>
      </c>
      <c r="F12" s="49"/>
      <c r="G12" s="49"/>
      <c r="H12" s="49"/>
      <c r="I12" s="49"/>
      <c r="J12" s="49"/>
      <c r="K12" s="50"/>
      <c r="L12" s="49"/>
      <c r="M12" s="49"/>
      <c r="N12" s="49"/>
      <c r="O12" s="49"/>
      <c r="P12" s="49"/>
      <c r="Q12" s="49"/>
      <c r="R12" s="50"/>
    </row>
    <row r="13">
      <c r="A13" s="10">
        <v>10.0</v>
      </c>
      <c r="B13" s="39" t="s">
        <v>132</v>
      </c>
      <c r="C13" s="21" t="s">
        <v>66</v>
      </c>
      <c r="D13" s="48"/>
      <c r="E13" s="49">
        <f>IF(OR(E8="",E9="",'Design &amp; Op'!D24="",'Design &amp; Op'!D16="",'Design &amp; Op'!D12="",'Design &amp; Op'!D39=""),"",ROUNDUP((E8+E9)/(('Design &amp; Op'!D16*'Design &amp; Op'!D28*24*(10^-6)*'Design &amp; Op'!D24*8.34)+(('Design &amp; Op'!D12-('Design &amp; Op'!D16*(10^-6)))*'Design &amp; Op'!D39*8.34))))</f>
        <v>28</v>
      </c>
      <c r="F13" s="49"/>
      <c r="G13" s="49"/>
      <c r="H13" s="49"/>
      <c r="I13" s="49"/>
      <c r="J13" s="49"/>
      <c r="K13" s="50"/>
      <c r="L13" s="49"/>
      <c r="M13" s="49"/>
      <c r="N13" s="49"/>
      <c r="O13" s="49"/>
      <c r="P13" s="49"/>
      <c r="Q13" s="49"/>
      <c r="R13" s="50"/>
    </row>
    <row r="14">
      <c r="A14" s="10">
        <v>11.0</v>
      </c>
      <c r="B14" s="39" t="s">
        <v>133</v>
      </c>
      <c r="C14" s="21" t="s">
        <v>134</v>
      </c>
      <c r="D14" s="48"/>
      <c r="E14" s="49">
        <f>IF(OR('Design &amp; Op'!D12="",Facility!C12=""),"",ROUND(('Design &amp; Op'!D12-'Design &amp; Op'!D13)*(10^6)/Facility!C12,0))</f>
        <v>300</v>
      </c>
      <c r="F14" s="49"/>
      <c r="G14" s="49"/>
      <c r="H14" s="49"/>
      <c r="I14" s="49"/>
      <c r="J14" s="49"/>
      <c r="K14" s="50"/>
      <c r="L14" s="49"/>
      <c r="M14" s="49"/>
      <c r="N14" s="49"/>
      <c r="O14" s="49"/>
      <c r="P14" s="49"/>
      <c r="Q14" s="49"/>
      <c r="R14" s="50"/>
    </row>
    <row r="15">
      <c r="A15" s="10">
        <v>12.0</v>
      </c>
      <c r="B15" s="39" t="s">
        <v>135</v>
      </c>
      <c r="C15" s="21" t="s">
        <v>136</v>
      </c>
      <c r="D15" s="48"/>
      <c r="E15" s="51">
        <f>IF(OR(E8="",Facility!C12=""),"",ROUND(E8/Facility!C12,0))</f>
        <v>22</v>
      </c>
      <c r="F15" s="49"/>
      <c r="G15" s="49"/>
      <c r="H15" s="49"/>
      <c r="I15" s="49"/>
      <c r="J15" s="49"/>
      <c r="K15" s="50"/>
      <c r="L15" s="49"/>
      <c r="M15" s="49"/>
      <c r="N15" s="49"/>
      <c r="O15" s="49"/>
      <c r="P15" s="49"/>
      <c r="Q15" s="49"/>
      <c r="R15" s="50"/>
    </row>
    <row r="16">
      <c r="A16" s="10">
        <v>13.0</v>
      </c>
      <c r="B16" s="39" t="s">
        <v>137</v>
      </c>
      <c r="C16" s="21" t="s">
        <v>138</v>
      </c>
      <c r="D16" s="48"/>
      <c r="E16" s="51" t="str">
        <f>IF(OR(Facility!C11="",'Design &amp; Op'!D12="",'Design &amp; Op'!D14=""),"",
IFS(Facility!D11="million gal",ROUND(Facility!C11*24/('Design &amp; Op'!D12-'Design &amp; Op'!D13+'Design &amp; Op'!D14),1),
Facility!D11="cubic feet",ROUND(Facility!C11*7.48*(10^-6)*24/('Design &amp; Op'!D12-'Design &amp; Op'!D13+'Design &amp; Op'!D14),1)))</f>
        <v>#N/A</v>
      </c>
      <c r="F16" s="49"/>
      <c r="G16" s="49"/>
      <c r="H16" s="49"/>
      <c r="I16" s="49"/>
      <c r="J16" s="49"/>
      <c r="K16" s="50"/>
      <c r="L16" s="49"/>
      <c r="M16" s="49"/>
      <c r="N16" s="49"/>
      <c r="O16" s="49"/>
      <c r="P16" s="49"/>
      <c r="Q16" s="49"/>
      <c r="R16" s="50"/>
    </row>
    <row r="17">
      <c r="A17" s="10">
        <v>14.0</v>
      </c>
      <c r="B17" s="39" t="s">
        <v>139</v>
      </c>
      <c r="C17" s="21" t="s">
        <v>138</v>
      </c>
      <c r="D17" s="48"/>
      <c r="E17" s="51" t="str">
        <f>E16</f>
        <v>#N/A</v>
      </c>
      <c r="F17" s="49"/>
      <c r="G17" s="49"/>
      <c r="H17" s="49"/>
      <c r="I17" s="49"/>
      <c r="J17" s="49"/>
      <c r="K17" s="50"/>
      <c r="L17" s="49"/>
      <c r="M17" s="49"/>
      <c r="N17" s="49"/>
      <c r="O17" s="49"/>
      <c r="P17" s="49"/>
      <c r="Q17" s="49"/>
      <c r="R17" s="50"/>
    </row>
    <row r="18">
      <c r="A18" s="10">
        <v>15.0</v>
      </c>
      <c r="B18" s="39" t="s">
        <v>140</v>
      </c>
      <c r="C18" s="21" t="s">
        <v>134</v>
      </c>
      <c r="D18" s="48"/>
      <c r="E18" s="49">
        <f>IF(OR('Design &amp; Op'!D12="",Facility!C15=""),"",ROUND(('Design &amp; Op'!D12-'Design &amp; Op'!D13)*(10^6)/Facility!C15,0))</f>
        <v>360</v>
      </c>
      <c r="F18" s="49"/>
      <c r="G18" s="49"/>
      <c r="H18" s="49"/>
      <c r="I18" s="49"/>
      <c r="J18" s="49"/>
      <c r="K18" s="50"/>
      <c r="L18" s="49"/>
      <c r="M18" s="49"/>
      <c r="N18" s="49"/>
      <c r="O18" s="49"/>
      <c r="P18" s="49"/>
      <c r="Q18" s="49"/>
      <c r="R18" s="50"/>
    </row>
    <row r="19">
      <c r="A19" s="10">
        <v>16.0</v>
      </c>
      <c r="B19" s="46" t="s">
        <v>141</v>
      </c>
      <c r="C19" s="21" t="s">
        <v>142</v>
      </c>
      <c r="D19" s="48"/>
      <c r="E19" s="49">
        <f>IF(OR('Design &amp; Op'!D12="",Facility!C17=""),"",ROUND(('Design &amp; Op'!D12-'Design &amp; Op'!D13)*(10^6)/Facility!C17,0))</f>
        <v>1200</v>
      </c>
      <c r="F19" s="49"/>
      <c r="G19" s="49"/>
      <c r="H19" s="49"/>
      <c r="I19" s="49"/>
      <c r="J19" s="49"/>
      <c r="K19" s="50"/>
      <c r="L19" s="49"/>
      <c r="M19" s="49"/>
      <c r="N19" s="49"/>
      <c r="O19" s="49"/>
      <c r="P19" s="49"/>
      <c r="Q19" s="49"/>
      <c r="R19" s="50"/>
    </row>
    <row r="20">
      <c r="A20" s="10">
        <v>17.0</v>
      </c>
      <c r="B20" s="39" t="s">
        <v>143</v>
      </c>
      <c r="C20" s="21" t="s">
        <v>136</v>
      </c>
      <c r="D20" s="48"/>
      <c r="E20" s="51">
        <f>IF(OR('Design &amp; Op'!D12="",'Design &amp; Op'!D21="",'Design &amp; Op'!D14="",Facility!C15=""),"",ROUND(('Design &amp; Op'!D12-'Design &amp; Op'!D13+'Design &amp; Op'!D14)*'Design &amp; Op'!D21*8.34/Facility!C15,0))</f>
        <v>11</v>
      </c>
      <c r="F20" s="49"/>
      <c r="G20" s="49"/>
      <c r="H20" s="49"/>
      <c r="I20" s="49"/>
      <c r="J20" s="49"/>
      <c r="K20" s="50"/>
      <c r="L20" s="49"/>
      <c r="M20" s="49"/>
      <c r="N20" s="49"/>
      <c r="O20" s="49"/>
      <c r="P20" s="49"/>
      <c r="Q20" s="49"/>
      <c r="R20" s="50"/>
    </row>
    <row r="21">
      <c r="A21" s="10">
        <v>18.0</v>
      </c>
      <c r="B21" s="39" t="s">
        <v>144</v>
      </c>
      <c r="C21" s="21" t="s">
        <v>138</v>
      </c>
      <c r="D21" s="48"/>
      <c r="E21" s="51"/>
      <c r="F21" s="49"/>
      <c r="G21" s="49"/>
      <c r="H21" s="49"/>
      <c r="I21" s="49"/>
      <c r="J21" s="49"/>
      <c r="K21" s="50"/>
      <c r="L21" s="49"/>
      <c r="M21" s="49"/>
      <c r="N21" s="49"/>
      <c r="O21" s="49"/>
      <c r="P21" s="49"/>
      <c r="Q21" s="49"/>
      <c r="R21" s="50"/>
    </row>
    <row r="22">
      <c r="A22" s="10">
        <v>19.0</v>
      </c>
      <c r="B22" s="39" t="s">
        <v>145</v>
      </c>
      <c r="C22" s="21" t="s">
        <v>138</v>
      </c>
      <c r="D22" s="48"/>
      <c r="E22" s="51">
        <f>IF(OR(E9="",'Design &amp; Op'!D14="",'Design &amp; Op'!D24=""),"",ROUND(E9*24/('Design &amp; Op'!D14*'Design &amp; Op'!D24),0))</f>
        <v>16</v>
      </c>
      <c r="F22" s="49"/>
      <c r="G22" s="49"/>
      <c r="H22" s="49"/>
      <c r="I22" s="49"/>
      <c r="J22" s="49"/>
      <c r="K22" s="50"/>
      <c r="L22" s="49"/>
      <c r="M22" s="49"/>
      <c r="N22" s="49"/>
      <c r="O22" s="49"/>
      <c r="P22" s="49"/>
      <c r="Q22" s="49"/>
      <c r="R22" s="50"/>
    </row>
  </sheetData>
  <mergeCells count="7">
    <mergeCell ref="A1:R1"/>
    <mergeCell ref="A2:A3"/>
    <mergeCell ref="B2:B3"/>
    <mergeCell ref="C2:C3"/>
    <mergeCell ref="D2:D3"/>
    <mergeCell ref="E2:K2"/>
    <mergeCell ref="L2:R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