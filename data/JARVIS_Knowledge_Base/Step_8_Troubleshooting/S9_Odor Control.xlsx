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<sst xmlns="http://schemas.openxmlformats.org/spreadsheetml/2006/main" count="32" uniqueCount="31">
  <si>
    <t>CALCULATION TOOL - Septicity or Odor Control</t>
  </si>
  <si>
    <t>Rotten odor or septicity in the form of H2S can be controlled by increasing DO through more Aeration or by dosing chemicals which act as strong oxidants like Hydrogen Peroxide (H2O2), Potassium Permanganate (KMnO4) or Chlorine. This tool computes how much H2O2 or KMnO4 you require to dose.</t>
  </si>
  <si>
    <t>H2S removal</t>
  </si>
  <si>
    <t>These chemicals react with H2S to reduce the sepcitiy and rotten odor, according to the equations below:</t>
  </si>
  <si>
    <t>2 lb H2O2 (50% purity) for 1 lb H2S oxidised</t>
  </si>
  <si>
    <t>3.5 to 5.0 lbs KMnO4 (97% purity) for 1 lb H2S oxidised</t>
  </si>
  <si>
    <t>12.5 to 15.0 lbs KMnO4 (97% purity) for 1 lb H2S oxidised</t>
  </si>
  <si>
    <t>INPUTS</t>
  </si>
  <si>
    <t>Influent flow to Aeration Basin</t>
  </si>
  <si>
    <t>MGD</t>
  </si>
  <si>
    <t>Aqueous Hydrogen sulfide (H2S) conc in wastewater at Aeration Basin Outlet or Secondary Clarifier Center Well</t>
  </si>
  <si>
    <t>mg/L or ppm</t>
  </si>
  <si>
    <t>pH of wastewater at Aeration Basin Outlet or Secondary Clarifier Center Well</t>
  </si>
  <si>
    <t>Minutes of operation of dosing pump, per hour</t>
  </si>
  <si>
    <t>mins per hour</t>
  </si>
  <si>
    <t>OUTPUTS</t>
  </si>
  <si>
    <t>Amount of H2S in your wastewater (lbs/d) OR</t>
  </si>
  <si>
    <t>lbs/d</t>
  </si>
  <si>
    <t>Select your dosing chemical</t>
  </si>
  <si>
    <t>Potassium Permanganate (KMnO4) 97% purity</t>
  </si>
  <si>
    <t>Chemical amount (lbs) required to oxidize 1 lb H2S</t>
  </si>
  <si>
    <t>lbs for every lb H2S</t>
  </si>
  <si>
    <t>Total dosing amount required for H2S removal (lbs/d)</t>
  </si>
  <si>
    <t>Density of dosing chemical</t>
  </si>
  <si>
    <t>lbs/gal</t>
  </si>
  <si>
    <t>Total dosing amount required for H2S removal (GPD or gal/d)</t>
  </si>
  <si>
    <t>GPD or gal/day</t>
  </si>
  <si>
    <t>Total dosing amount required for H2S removal (GPM or gal/min)</t>
  </si>
  <si>
    <t>GPM or gal/min</t>
  </si>
  <si>
    <t>Total dosing amount required for H2S removal (mL/min)</t>
  </si>
  <si>
    <t>mL/min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</si>
</sst>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sz val="12.0"/>
      <color rgb="FFFF0000"/>
      <name val="Arial"/>
      <scheme val="minor"/>
    </font>
    <font>
      <color theme="1"/>
      <name val="Arial"/>
      <scheme val="minor"/>
    </font>
    <font>
      <b/>
      <sz val="11.0"/>
      <color theme="1"/>
      <name val="Arial"/>
      <scheme val="minor"/>
    </font>
    <font>
      <sz val="10.0"/>
      <color theme="1"/>
      <name val="Arial"/>
      <scheme val="minor"/>
    </font>
    <font>
      <b/>
      <sz val="11.0"/>
      <color rgb="FF0000FF"/>
      <name val="Arial"/>
      <scheme val="minor"/>
    </font>
    <font/>
  </fonts>
  <fills count="5">
    <fill>
      <patternFill patternType="none"/>
    </fill>
    <fill>
      <patternFill patternType="lightGray"/>
    </fill>
    <fill>
      <patternFill patternType="solid">
        <fgColor theme="0"/>
        <bgColor theme="0"/>
      </patternFill>
    </fill>
    <fill>
      <patternFill patternType="solid">
        <fgColor rgb="FFFFF2CC"/>
        <bgColor rgb="FFFFF2CC"/>
      </patternFill>
    </fill>
    <fill>
      <patternFill patternType="solid">
        <fgColor rgb="FFCFE2F3"/>
        <bgColor rgb="FFCFE2F3"/>
      </patternFill>
    </fill>
  </fills>
  <borders count="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1" fillId="0" fontId="3" numFmtId="0" xfId="0" applyAlignment="1" applyBorder="1" applyFont="1">
      <alignment readingOrder="0" shrinkToFit="0" vertical="center" wrapText="1"/>
    </xf>
    <xf borderId="2" fillId="0" fontId="6" numFmtId="0" xfId="0" applyBorder="1" applyFont="1"/>
    <xf borderId="1" fillId="0" fontId="2" numFmtId="0" xfId="0" applyAlignment="1" applyBorder="1" applyFont="1">
      <alignment readingOrder="0" shrinkToFit="0" vertical="center" wrapText="1"/>
    </xf>
    <xf borderId="0" fillId="0" fontId="2" numFmtId="0" xfId="0" applyAlignment="1" applyFont="1">
      <alignment shrinkToFit="0" vertical="center" wrapText="1"/>
    </xf>
    <xf borderId="0" fillId="3" fontId="2" numFmtId="0" xfId="0" applyAlignment="1" applyFill="1" applyFont="1">
      <alignment readingOrder="0" shrinkToFit="0" vertical="center" wrapText="1"/>
    </xf>
    <xf borderId="0" fillId="3" fontId="2" numFmtId="164" xfId="0" applyAlignment="1" applyFont="1" applyNumberFormat="1">
      <alignment readingOrder="0" shrinkToFit="0" vertical="center" wrapText="1"/>
    </xf>
    <xf borderId="0" fillId="4" fontId="2" numFmtId="1" xfId="0" applyAlignment="1" applyFill="1" applyFont="1" applyNumberFormat="1">
      <alignment readingOrder="0" shrinkToFit="0" vertical="center" wrapText="1"/>
    </xf>
    <xf borderId="0" fillId="4" fontId="2" numFmtId="0" xfId="0" applyAlignment="1" applyFont="1">
      <alignment readingOrder="0" shrinkToFit="0" vertical="center" wrapText="1"/>
    </xf>
    <xf borderId="0" fillId="4" fontId="2" numFmtId="164" xfId="0" applyAlignment="1" applyFont="1" applyNumberFormat="1">
      <alignment shrinkToFit="0" vertical="center" wrapText="1"/>
    </xf>
    <xf borderId="0" fillId="4" fontId="2" numFmtId="1" xfId="0" applyAlignment="1" applyFont="1" applyNumberFormat="1">
      <alignment shrinkToFit="0" vertical="center" wrapText="1"/>
    </xf>
    <xf borderId="0" fillId="4" fontId="2" numFmtId="2" xfId="0" applyAlignment="1" applyFont="1" applyNumberFormat="1">
      <alignment shrinkToFit="0" vertical="center" wrapText="1"/>
    </xf>
    <xf borderId="3" fillId="0" fontId="2" numFmtId="0" xfId="0" applyAlignment="1" applyBorder="1" applyFont="1">
      <alignment readingOrder="0" shrinkToFit="0" vertical="center" wrapText="1"/>
    </xf>
    <xf borderId="3" fillId="4" fontId="2" numFmtId="164" xfId="0" applyAlignment="1" applyBorder="1" applyFont="1" applyNumberFormat="1">
      <alignment shrinkToFit="0" vertical="center" wrapText="1"/>
    </xf>
    <xf borderId="3" fillId="4" fontId="2" numFmtId="2" xfId="0" applyAlignment="1" applyBorder="1" applyFont="1" applyNumberFormat="1">
      <alignment shrinkToFit="0" vertical="center" wrapText="1"/>
    </xf>
    <xf borderId="3" fillId="4" fontId="2" numFmtId="1" xfId="0" applyAlignment="1" applyBorder="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885950" cy="285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3648075" cy="171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xdr:row>
      <xdr:rowOff>0</xdr:rowOff>
    </xdr:from>
    <xdr:ext cx="3648075"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88"/>
    <col customWidth="1" min="2" max="2" width="22.25"/>
    <col customWidth="1" min="3" max="3" width="21.5"/>
    <col customWidth="1" min="4" max="4" width="21.25"/>
  </cols>
  <sheetData>
    <row r="1">
      <c r="A1" s="1" t="s">
        <v>0</v>
      </c>
    </row>
    <row r="2">
      <c r="A2" s="2" t="s">
        <v>1</v>
      </c>
    </row>
    <row r="3">
      <c r="A3" s="3"/>
      <c r="B3" s="4"/>
      <c r="C3" s="4"/>
      <c r="D3" s="4"/>
    </row>
    <row r="4">
      <c r="A4" s="5" t="s">
        <v>2</v>
      </c>
    </row>
    <row r="5">
      <c r="A5" s="4" t="s">
        <v>3</v>
      </c>
    </row>
    <row r="6" ht="22.5" customHeight="1">
      <c r="A6" s="6"/>
      <c r="B6" s="7"/>
      <c r="C6" s="8" t="s">
        <v>4</v>
      </c>
      <c r="D6" s="7"/>
    </row>
    <row r="7" ht="30.0" customHeight="1">
      <c r="A7" s="6"/>
      <c r="B7" s="7"/>
      <c r="C7" s="8" t="s">
        <v>5</v>
      </c>
      <c r="D7" s="7"/>
    </row>
    <row r="8" ht="18.75" customHeight="1">
      <c r="A8" s="6"/>
      <c r="B8" s="7"/>
      <c r="C8" s="8" t="s">
        <v>6</v>
      </c>
      <c r="D8" s="7"/>
    </row>
    <row r="9">
      <c r="A9" s="3"/>
      <c r="B9" s="2"/>
      <c r="C9" s="2"/>
      <c r="D9" s="9"/>
    </row>
    <row r="10">
      <c r="A10" s="3" t="s">
        <v>7</v>
      </c>
      <c r="B10" s="2"/>
      <c r="C10" s="2"/>
      <c r="D10" s="9"/>
    </row>
    <row r="11">
      <c r="A11" s="2" t="s">
        <v>8</v>
      </c>
      <c r="B11" s="10">
        <v>0.4</v>
      </c>
      <c r="C11" s="2" t="s">
        <v>9</v>
      </c>
      <c r="D11" s="9"/>
    </row>
    <row r="12">
      <c r="A12" s="2" t="s">
        <v>10</v>
      </c>
      <c r="B12" s="10">
        <v>25.0</v>
      </c>
      <c r="C12" s="2" t="s">
        <v>11</v>
      </c>
      <c r="D12" s="9"/>
    </row>
    <row r="13">
      <c r="A13" s="2" t="s">
        <v>12</v>
      </c>
      <c r="B13" s="11">
        <v>8.0</v>
      </c>
      <c r="C13" s="2"/>
      <c r="D13" s="9"/>
    </row>
    <row r="14">
      <c r="A14" s="2" t="s">
        <v>13</v>
      </c>
      <c r="B14" s="10">
        <v>15.0</v>
      </c>
      <c r="C14" s="2" t="s">
        <v>14</v>
      </c>
      <c r="D14" s="9"/>
    </row>
    <row r="15">
      <c r="A15" s="9"/>
      <c r="B15" s="9"/>
      <c r="C15" s="9"/>
      <c r="D15" s="9"/>
    </row>
    <row r="16">
      <c r="A16" s="3" t="s">
        <v>15</v>
      </c>
      <c r="B16" s="9"/>
      <c r="C16" s="9"/>
      <c r="D16" s="9"/>
    </row>
    <row r="17">
      <c r="A17" s="2" t="s">
        <v>16</v>
      </c>
      <c r="B17" s="12">
        <f>IF(OR(B11="",B12=""),"",B11*B12*8.34)</f>
        <v>83.4</v>
      </c>
      <c r="C17" s="2" t="s">
        <v>17</v>
      </c>
      <c r="D17" s="9"/>
    </row>
    <row r="18">
      <c r="A18" s="2" t="s">
        <v>18</v>
      </c>
      <c r="B18" s="13" t="s">
        <v>19</v>
      </c>
      <c r="C18" s="9"/>
      <c r="D18" s="9"/>
    </row>
    <row r="19">
      <c r="A19" s="2" t="s">
        <v>20</v>
      </c>
      <c r="B19" s="14">
        <f>IFERROR(__xludf.DUMMYFUNCTION("IF(B18="""","""",IFS(
REGEXMATCH(B18,""H2O2""),2,
AND(REGEXMATCH(B18,""KMnO4""),B13&lt;=7),4,
AND(REGEXMATCH(B18,""KMnO4""),B13&gt;7),13))"),13.0)</f>
        <v>13</v>
      </c>
      <c r="C19" s="2" t="s">
        <v>21</v>
      </c>
      <c r="D19" s="9"/>
    </row>
    <row r="20">
      <c r="A20" s="2" t="s">
        <v>22</v>
      </c>
      <c r="B20" s="15">
        <f>B19*B17</f>
        <v>1084.2</v>
      </c>
      <c r="C20" s="2" t="s">
        <v>17</v>
      </c>
      <c r="D20" s="9"/>
    </row>
    <row r="21">
      <c r="A21" s="2" t="s">
        <v>23</v>
      </c>
      <c r="B21" s="16">
        <f>IFERROR(__xludf.DUMMYFUNCTION("IF(B18="""","""",IFS(
REGEXMATCH(B18,""H2O2""),10.01,
REGEXMATCH(B18,""KMnO4""),22.13))"),22.13)</f>
        <v>22.13</v>
      </c>
      <c r="C21" s="2" t="s">
        <v>24</v>
      </c>
      <c r="D21" s="9"/>
    </row>
    <row r="22">
      <c r="A22" s="17" t="s">
        <v>25</v>
      </c>
      <c r="B22" s="18">
        <f>B20/B21</f>
        <v>48.99231812</v>
      </c>
      <c r="C22" s="17" t="s">
        <v>26</v>
      </c>
      <c r="D22" s="9"/>
    </row>
    <row r="23">
      <c r="A23" s="17" t="s">
        <v>27</v>
      </c>
      <c r="B23" s="19">
        <f>B22/(B14*24)</f>
        <v>0.1360897726</v>
      </c>
      <c r="C23" s="17" t="s">
        <v>28</v>
      </c>
      <c r="D23" s="9"/>
    </row>
    <row r="24">
      <c r="A24" s="17" t="s">
        <v>29</v>
      </c>
      <c r="B24" s="20">
        <f>B23*3785.41</f>
        <v>515.1555859</v>
      </c>
      <c r="C24" s="17" t="s">
        <v>30</v>
      </c>
      <c r="D24" s="9"/>
    </row>
  </sheetData>
  <mergeCells count="10">
    <mergeCell ref="A7:B7"/>
    <mergeCell ref="A8:B8"/>
    <mergeCell ref="A1:D1"/>
    <mergeCell ref="A2:D2"/>
    <mergeCell ref="A4:D4"/>
    <mergeCell ref="A5:D5"/>
    <mergeCell ref="A6:B6"/>
    <mergeCell ref="C6:D6"/>
    <mergeCell ref="C7:D7"/>
    <mergeCell ref="C8:D8"/>
  </mergeCells>
  <dataValidations>
    <dataValidation type="list" allowBlank="1" showInputMessage="1" showErrorMessage="1" prompt="Click and enter a value from the list of items" sqref="B18">
      <formula1>"Hydrogen Peroxide (H2O2) 50% purity,Potassium Permanganate (KMnO4) 97% purity"</formula1>
    </dataValidation>
  </dataValidations>
  <drawing r:id="rId1"/>
</worksheet>
</file>