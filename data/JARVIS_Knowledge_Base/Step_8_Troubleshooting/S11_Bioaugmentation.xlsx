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culator" sheetId="1" r:id="rId4"/>
  </sheets>
  <definedNames/>
  <calcPr/>
</workbook>
</file>

<file path=xl/sharedStrings.xml><?xml version="1.0" encoding="utf-8"?>
<sst xmlns="http://schemas.openxmlformats.org/spreadsheetml/2006/main" count="29" uniqueCount="25">
  <si>
    <t>Calculation Tool : Bioaugmentation</t>
  </si>
  <si>
    <t>Bioaugmentation is a way to supplement your liquor with more bugs, if the organic loading is too much or there's a process upset. This improves settleability and treatment efficiency.
There are two ways to compute the bioaugmentation requirement that are specified below.
For more urgent needs, the dosage recommended is in the range of 1-10 mg/L. If an introductory dose is used, the dosage is usually ≥ 2 ppm up to 4 ppm or more and may be applied for 2-4 days before reducing the dosage rate. If your treatment goal is less urgent, and just to improve the health and viability of your bugs, use a dosage of 1-2 ppm.
Note : You might also have to increase sludge wasting as you supply more bugs to the liquor.</t>
  </si>
  <si>
    <t>INPUTS</t>
  </si>
  <si>
    <t>Influent Flow to Aeration Basin (MGD)</t>
  </si>
  <si>
    <t>MGD</t>
  </si>
  <si>
    <t>Volume of Aeration Basin (gallons)</t>
  </si>
  <si>
    <t>gallons</t>
  </si>
  <si>
    <t>MLVSS concentration (mg/L or ppm)</t>
  </si>
  <si>
    <t>mg/L or ppm</t>
  </si>
  <si>
    <t>Bioaugmentation dosage rate (mg/L or ppm)
Recommended introductory dose : 4 mg/L</t>
  </si>
  <si>
    <t>Duration of bioaugmentation program (days)
Recommended: 12 days</t>
  </si>
  <si>
    <t>days</t>
  </si>
  <si>
    <t>METHODS</t>
  </si>
  <si>
    <t>Method 1: Based on influent flow</t>
  </si>
  <si>
    <t>This method works if you need to meet discharge permit requirements urgently.</t>
  </si>
  <si>
    <t>Method 2: Based on Bioreactor volume</t>
  </si>
  <si>
    <t>This method is the more cost-effective.</t>
  </si>
  <si>
    <t>OUTPUTS</t>
  </si>
  <si>
    <t>Method 1</t>
  </si>
  <si>
    <t>Amount of solids (lbs/day) for the first 2-4 days</t>
  </si>
  <si>
    <t>lbs/day</t>
  </si>
  <si>
    <t>Amount of solids (lbs/day) for the next 2-4 days</t>
  </si>
  <si>
    <t>Amount of solids (lbs/day) for the remaining days of the bioaugmentation program</t>
  </si>
  <si>
    <t>Method 2</t>
  </si>
  <si>
    <t>Amount of solids (lbs/day) for all days of the bioaugmentation program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</si>
</sst>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5">
    <font>
      <sz val="10.0"/>
      <color rgb="FF000000"/>
      <name val="Arial"/>
      <scheme val="minor"/>
    </font>
    <font>
      <b/>
      <sz val="12.0"/>
      <color rgb="FFFF0000"/>
      <name val="Arial"/>
      <scheme val="minor"/>
    </font>
    <font>
      <color theme="1"/>
      <name val="Arial"/>
      <scheme val="minor"/>
    </font>
    <font>
      <b/>
      <sz val="11.0"/>
      <color theme="1"/>
      <name val="Arial"/>
      <scheme val="minor"/>
    </font>
    <font>
      <sz val="11.0"/>
      <color theme="1"/>
      <name val="Arial"/>
      <scheme val="minor"/>
    </font>
  </fonts>
  <fills count="5">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CFE2F3"/>
        <bgColor rgb="FFCFE2F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4" numFmtId="0" xfId="0" applyAlignment="1" applyFont="1">
      <alignment shrinkToFit="0" vertical="center" wrapText="1"/>
    </xf>
    <xf borderId="0" fillId="2" fontId="2" numFmtId="0" xfId="0" applyAlignment="1" applyFill="1" applyFont="1">
      <alignment readingOrder="0" shrinkToFit="0" vertical="center" wrapText="1"/>
    </xf>
    <xf borderId="0" fillId="2" fontId="2" numFmtId="3" xfId="0" applyAlignment="1" applyFont="1" applyNumberFormat="1">
      <alignment readingOrder="0" shrinkToFit="0" vertical="center" wrapText="1"/>
    </xf>
    <xf borderId="0" fillId="2" fontId="2" numFmtId="164" xfId="0" applyAlignment="1" applyFont="1" applyNumberFormat="1">
      <alignment readingOrder="0" shrinkToFit="0" vertical="center" wrapText="1"/>
    </xf>
    <xf borderId="0" fillId="2" fontId="2" numFmtId="1" xfId="0" applyAlignment="1" applyFont="1" applyNumberFormat="1">
      <alignment readingOrder="0" shrinkToFit="0" vertical="center" wrapText="1"/>
    </xf>
    <xf borderId="0" fillId="0" fontId="2" numFmtId="0" xfId="0" applyAlignment="1" applyFont="1">
      <alignment shrinkToFit="0" vertical="center" wrapText="1"/>
    </xf>
    <xf borderId="0" fillId="3" fontId="3" numFmtId="0" xfId="0" applyAlignment="1" applyFill="1" applyFont="1">
      <alignment readingOrder="0" shrinkToFit="0" vertical="center" wrapText="1"/>
    </xf>
    <xf borderId="0" fillId="4" fontId="2" numFmtId="164" xfId="0" applyAlignment="1" applyFill="1" applyFont="1" applyNumberForma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3.0"/>
    <col customWidth="1" min="3" max="3" width="73.88"/>
  </cols>
  <sheetData>
    <row r="1">
      <c r="A1" s="1" t="s">
        <v>0</v>
      </c>
    </row>
    <row r="2">
      <c r="A2" s="2" t="s">
        <v>1</v>
      </c>
    </row>
    <row r="3">
      <c r="A3" s="3" t="s">
        <v>2</v>
      </c>
      <c r="B3" s="4"/>
      <c r="C3" s="4"/>
    </row>
    <row r="4">
      <c r="A4" s="2" t="s">
        <v>3</v>
      </c>
      <c r="B4" s="5">
        <v>0.5</v>
      </c>
      <c r="C4" s="2" t="s">
        <v>4</v>
      </c>
    </row>
    <row r="5">
      <c r="A5" s="2" t="s">
        <v>5</v>
      </c>
      <c r="B5" s="6">
        <v>400000.0</v>
      </c>
      <c r="C5" s="2" t="s">
        <v>6</v>
      </c>
    </row>
    <row r="6">
      <c r="A6" s="2" t="s">
        <v>7</v>
      </c>
      <c r="B6" s="6">
        <v>2400.0</v>
      </c>
      <c r="C6" s="2" t="s">
        <v>8</v>
      </c>
    </row>
    <row r="7">
      <c r="A7" s="2" t="s">
        <v>9</v>
      </c>
      <c r="B7" s="7">
        <v>4.0</v>
      </c>
      <c r="C7" s="2" t="s">
        <v>8</v>
      </c>
    </row>
    <row r="8">
      <c r="A8" s="2" t="s">
        <v>10</v>
      </c>
      <c r="B8" s="8">
        <v>12.0</v>
      </c>
      <c r="C8" s="2" t="s">
        <v>11</v>
      </c>
    </row>
    <row r="9">
      <c r="A9" s="9"/>
      <c r="B9" s="9"/>
      <c r="C9" s="9"/>
    </row>
    <row r="10">
      <c r="A10" s="3" t="s">
        <v>12</v>
      </c>
    </row>
    <row r="11">
      <c r="A11" s="2" t="s">
        <v>13</v>
      </c>
      <c r="B11" s="2" t="s">
        <v>14</v>
      </c>
    </row>
    <row r="12">
      <c r="A12" s="2" t="s">
        <v>15</v>
      </c>
      <c r="B12" s="2" t="s">
        <v>16</v>
      </c>
    </row>
    <row r="13">
      <c r="A13" s="9"/>
    </row>
    <row r="14">
      <c r="A14" s="3" t="s">
        <v>17</v>
      </c>
    </row>
    <row r="15">
      <c r="A15" s="10" t="s">
        <v>18</v>
      </c>
    </row>
    <row r="16">
      <c r="A16" s="2" t="s">
        <v>19</v>
      </c>
      <c r="B16" s="11">
        <f>B4*B7*8.34</f>
        <v>16.68</v>
      </c>
      <c r="C16" s="2" t="s">
        <v>20</v>
      </c>
    </row>
    <row r="17">
      <c r="A17" s="2" t="s">
        <v>21</v>
      </c>
      <c r="B17" s="11">
        <f t="shared" ref="B17:B18" si="1">B16/2</f>
        <v>8.34</v>
      </c>
      <c r="C17" s="2" t="s">
        <v>20</v>
      </c>
    </row>
    <row r="18">
      <c r="A18" s="2" t="s">
        <v>22</v>
      </c>
      <c r="B18" s="11">
        <f t="shared" si="1"/>
        <v>4.17</v>
      </c>
      <c r="C18" s="2" t="s">
        <v>20</v>
      </c>
    </row>
    <row r="19">
      <c r="A19" s="10" t="s">
        <v>23</v>
      </c>
    </row>
    <row r="20">
      <c r="A20" s="2" t="s">
        <v>24</v>
      </c>
      <c r="B20" s="11">
        <f>B5*(10^-6)*8.34*B7</f>
        <v>13.344</v>
      </c>
      <c r="C20" s="2" t="s">
        <v>20</v>
      </c>
    </row>
  </sheetData>
  <mergeCells count="9">
    <mergeCell ref="A15:C15"/>
    <mergeCell ref="A19:C19"/>
    <mergeCell ref="A1:C1"/>
    <mergeCell ref="A2:C2"/>
    <mergeCell ref="A10:C10"/>
    <mergeCell ref="B11:C11"/>
    <mergeCell ref="B12:C12"/>
    <mergeCell ref="A13:C13"/>
    <mergeCell ref="A14:C14"/>
  </mergeCells>
  <printOptions gridLines="1" horizontalCentered="1"/>
  <pageMargins bottom="0.75" footer="0.0" header="0.0" left="0.7" right="0.7" top="0.75"/>
  <pageSetup fitToHeight="0" cellComments="atEnd" orientation="landscape" pageOrder="overThenDown"/>
  <drawing r:id="rId1"/>
</worksheet>
</file>