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use-Solution" sheetId="1" r:id="rId4"/>
    <sheet state="visible" name="Draft" sheetId="2" r:id="rId5"/>
    <sheet state="visible" name="Solution Codes" sheetId="3" r:id="rId6"/>
  </sheets>
  <definedNames/>
  <calcPr/>
</workbook>
</file>

<file path=xl/sharedStrings.xml><?xml version="1.0" encoding="utf-8"?>
<sst xmlns="http://schemas.openxmlformats.org/spreadsheetml/2006/main" count="371" uniqueCount="138">
  <si>
    <t>#</t>
  </si>
  <si>
    <t>CODE</t>
  </si>
  <si>
    <t>CAUSE</t>
  </si>
  <si>
    <t>SOLUTION CODES</t>
  </si>
  <si>
    <t>AER</t>
  </si>
  <si>
    <t>Aeration - High</t>
  </si>
  <si>
    <t>BDP</t>
  </si>
  <si>
    <t>BOD (particulate) - High</t>
  </si>
  <si>
    <t>CLH</t>
  </si>
  <si>
    <t>Chlorination - High</t>
  </si>
  <si>
    <t>DOH</t>
  </si>
  <si>
    <t>Dissolved Oxygen - High</t>
  </si>
  <si>
    <t>DOL</t>
  </si>
  <si>
    <t>Dissolved Oxygen - Low</t>
  </si>
  <si>
    <t>DNT</t>
  </si>
  <si>
    <t>Denitrification</t>
  </si>
  <si>
    <t>FME</t>
  </si>
  <si>
    <t>F/M Ratio - Very High</t>
  </si>
  <si>
    <t>FMH</t>
  </si>
  <si>
    <t>F/M Ratio - High</t>
  </si>
  <si>
    <t>FML</t>
  </si>
  <si>
    <t>F/M Ratio - Low</t>
  </si>
  <si>
    <t>FMX</t>
  </si>
  <si>
    <t xml:space="preserve">F/M Ratio - Very Low </t>
  </si>
  <si>
    <t>FOG</t>
  </si>
  <si>
    <t>Fats, Oils or Grease (FOGs) - High</t>
  </si>
  <si>
    <t>FOM</t>
  </si>
  <si>
    <t>Foam trapping</t>
  </si>
  <si>
    <t>LHH</t>
  </si>
  <si>
    <t>Loading (Hydraulic) - High</t>
  </si>
  <si>
    <t>LHL</t>
  </si>
  <si>
    <t>Loading (Hydraulic) - Low</t>
  </si>
  <si>
    <t>LOH</t>
  </si>
  <si>
    <t>Loading (Organic) - High</t>
  </si>
  <si>
    <t>LOL</t>
  </si>
  <si>
    <t>Loading (Organic) - Low</t>
  </si>
  <si>
    <t>NDI</t>
  </si>
  <si>
    <t>Nutrient Deficiency - Iron</t>
  </si>
  <si>
    <t>NDN</t>
  </si>
  <si>
    <t>Nutrient Deficiency - Nitrogen</t>
  </si>
  <si>
    <t>NDP</t>
  </si>
  <si>
    <t>Nutrient Deficiency - Phosphorus</t>
  </si>
  <si>
    <t>OAH</t>
  </si>
  <si>
    <t>Organic acids - High</t>
  </si>
  <si>
    <t>OMA</t>
  </si>
  <si>
    <t>O&amp;M - Aeration Basin</t>
  </si>
  <si>
    <t>OMC</t>
  </si>
  <si>
    <t>O&amp;M - Secondary Clarifier</t>
  </si>
  <si>
    <t>OMD</t>
  </si>
  <si>
    <t>O&amp;M - Anaerobic Digester</t>
  </si>
  <si>
    <t>OMG</t>
  </si>
  <si>
    <t>O&amp;M - General</t>
  </si>
  <si>
    <t>OMP</t>
  </si>
  <si>
    <t>O&amp;M - Pre/Primary Treatment</t>
  </si>
  <si>
    <t>OMS</t>
  </si>
  <si>
    <t>O&amp;M - Sludge Dewatering</t>
  </si>
  <si>
    <t>PHH</t>
  </si>
  <si>
    <t>pH - High</t>
  </si>
  <si>
    <t>PHL</t>
  </si>
  <si>
    <t>pH - Low</t>
  </si>
  <si>
    <t>RSL</t>
  </si>
  <si>
    <t>Return Sludge - Low</t>
  </si>
  <si>
    <t>RSH</t>
  </si>
  <si>
    <t>Return Sludge - High</t>
  </si>
  <si>
    <t>SAE</t>
  </si>
  <si>
    <t>Sludge Age - Very High</t>
  </si>
  <si>
    <t>SAH</t>
  </si>
  <si>
    <t>Sludge Age - High</t>
  </si>
  <si>
    <t>SAL</t>
  </si>
  <si>
    <t>Sludge Age - Low</t>
  </si>
  <si>
    <t>SAX</t>
  </si>
  <si>
    <t>Sludge Age - Very Low</t>
  </si>
  <si>
    <t>SHT</t>
  </si>
  <si>
    <t>Short-Circuiting - Clarifier</t>
  </si>
  <si>
    <t>SRF</t>
  </si>
  <si>
    <t>Surface Seeding</t>
  </si>
  <si>
    <t>SPS</t>
  </si>
  <si>
    <t>Septicity</t>
  </si>
  <si>
    <t>STA</t>
  </si>
  <si>
    <t>Startup condition at Plant</t>
  </si>
  <si>
    <t>TPH</t>
  </si>
  <si>
    <t>Temperature - High</t>
  </si>
  <si>
    <t>TPL</t>
  </si>
  <si>
    <t>Temperature - Low</t>
  </si>
  <si>
    <t>TXC</t>
  </si>
  <si>
    <t>Toxicity</t>
  </si>
  <si>
    <t>SOLUTION</t>
  </si>
  <si>
    <t>RECC</t>
  </si>
  <si>
    <t>Aeration</t>
  </si>
  <si>
    <t>DO Supplementation</t>
  </si>
  <si>
    <t>Change eq</t>
  </si>
  <si>
    <t>WAS</t>
  </si>
  <si>
    <t>Bioaugmentation</t>
  </si>
  <si>
    <t>Polymer Dosing</t>
  </si>
  <si>
    <t>Sewer ord</t>
  </si>
  <si>
    <t>Chlorine Dosing</t>
  </si>
  <si>
    <t>Odor Control</t>
  </si>
  <si>
    <t>Hydraulics</t>
  </si>
  <si>
    <t>RAS</t>
  </si>
  <si>
    <t>Nutrient Dosing</t>
  </si>
  <si>
    <t>DN zone</t>
  </si>
  <si>
    <t>Mode change</t>
  </si>
  <si>
    <t>O&amp;M - Clarifier</t>
  </si>
  <si>
    <t>Sewer Ord, DAF</t>
  </si>
  <si>
    <t>Foam Control</t>
  </si>
  <si>
    <t>O&amp;M - Pre/Primary treatment</t>
  </si>
  <si>
    <t>Sewer Ord, Mode chg, More/Less units, Design chg</t>
  </si>
  <si>
    <t>O&amp;M - Sludge Thickening/ Dewatering Operations</t>
  </si>
  <si>
    <t>Sewer Ord, PreA</t>
  </si>
  <si>
    <t>Alkali Dosing</t>
  </si>
  <si>
    <t>Acid Dosing</t>
  </si>
  <si>
    <t>Temp Profile, Flow Intro, Design (Baffles), Sewer Ord, Mode chg, More/Less units, Design chg</t>
  </si>
  <si>
    <t>Temperature Control</t>
  </si>
  <si>
    <t xml:space="preserve">Sewer Ord, </t>
  </si>
  <si>
    <t>ID</t>
  </si>
  <si>
    <t>S1</t>
  </si>
  <si>
    <t>S2</t>
  </si>
  <si>
    <t>S3</t>
  </si>
  <si>
    <t>S4</t>
  </si>
  <si>
    <t>pH Adjustment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</si>
  <si>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</si>
  <si>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</si>
  <si>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</si>
  <si>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</si>
  <si>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</si>
  <si>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</si>
  <si>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</si>
  <si>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</si>
  <si>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</si>
  <si>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</si>
  <si>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</si>
  <si>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Spills / Slug Loads</t>
  </si>
  <si>
    <t>S16</t>
  </si>
  <si>
    <t>S17</t>
  </si>
  <si>
    <t>S18</t>
  </si>
  <si>
    <t>S19</t>
  </si>
  <si>
    <t>S20</t>
  </si>
  <si>
    <t>S21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</si>
</sst>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F0000"/>
      <name val="Arial"/>
    </font>
    <font>
      <b/>
      <color theme="1"/>
      <name val="Arial"/>
      <scheme val="minor"/>
    </font>
    <font>
      <color rgb="FFFF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Fill="1" applyFont="1"/>
    <xf borderId="0" fillId="0" fontId="2" numFmtId="0" xfId="0" applyAlignment="1" applyFont="1">
      <alignment readingOrder="0" vertical="bottom"/>
    </xf>
    <xf borderId="0" fillId="2" fontId="1" numFmtId="0" xfId="0" applyAlignment="1" applyFont="1">
      <alignment horizontal="center" vertical="center"/>
    </xf>
    <xf borderId="0" fillId="2" fontId="4" numFmtId="0" xfId="0" applyAlignment="1" applyFont="1">
      <alignment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1" fillId="2" fontId="5" numFmtId="0" xfId="0" applyAlignment="1" applyBorder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2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7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88"/>
    <col customWidth="1" min="2" max="2" width="5.88"/>
    <col customWidth="1" min="3" max="3" width="26.88"/>
    <col customWidth="1" min="4" max="10" width="4.5"/>
    <col customWidth="1" min="11" max="12" width="3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L1" s="2"/>
    </row>
    <row r="2">
      <c r="A2" s="4">
        <v>1.0</v>
      </c>
      <c r="B2" s="5" t="s">
        <v>4</v>
      </c>
      <c r="C2" s="5" t="s">
        <v>5</v>
      </c>
      <c r="D2" s="6" t="str">
        <f t="array" ref="D2">IFERROR(INDEX('Solution Codes'!$A$2:$A42,MATCH(Draft!D2,'Solution Codes'!$B$2:$B42,0)))</f>
        <v>S3</v>
      </c>
      <c r="E2" s="6" t="str">
        <f t="array" ref="E2">IFERROR(INDEX('Solution Codes'!$A$2:$A42,MATCH(Draft!E2,'Solution Codes'!$B$2:$B42,0)))</f>
        <v>S10</v>
      </c>
      <c r="F2" s="6" t="str">
        <f t="array" ref="F2">IFERROR(INDEX('Solution Codes'!$A$2:$A42,MATCH(Draft!F2,'Solution Codes'!$B$2:$B42,0)))</f>
        <v/>
      </c>
      <c r="G2" s="6" t="str">
        <f t="array" ref="G2">IFERROR(INDEX('Solution Codes'!$A$2:$A42,MATCH(Draft!G2,'Solution Codes'!$B$2:$B42,0)))</f>
        <v/>
      </c>
      <c r="H2" s="6" t="str">
        <f t="array" ref="H2">IFERROR(INDEX('Solution Codes'!$A$2:$A42,MATCH(Draft!H2,'Solution Codes'!$B$2:$B42,0)))</f>
        <v/>
      </c>
      <c r="I2" s="6" t="str">
        <f t="array" ref="I2">IFERROR(INDEX('Solution Codes'!$A$2:$A42,MATCH(Draft!I2,'Solution Codes'!$B$2:$B42,0)))</f>
        <v/>
      </c>
      <c r="J2" s="6" t="str">
        <f t="array" ref="J2">IFERROR(INDEX('Solution Codes'!$A$2:$A42,MATCH(Draft!J2,'Solution Codes'!$B$2:$B42,0)))</f>
        <v/>
      </c>
      <c r="K2" s="6" t="str">
        <f t="array" ref="K2">IFERROR(INDEX('Solution Codes'!$A$2:$A42,MATCH(Draft!K2,'Solution Codes'!$B$2:$B42,0)))</f>
        <v/>
      </c>
      <c r="L2" s="6" t="str">
        <f t="array" ref="L2">IFERROR(INDEX('Solution Codes'!$A$2:$A42,MATCH(Draft!L2,'Solution Codes'!$B$2:$B42,0)))</f>
        <v/>
      </c>
    </row>
    <row r="3">
      <c r="A3" s="4">
        <v>2.0</v>
      </c>
      <c r="B3" s="5" t="s">
        <v>6</v>
      </c>
      <c r="C3" s="5" t="s">
        <v>7</v>
      </c>
      <c r="D3" s="6" t="str">
        <f t="array" ref="D3">IFERROR(INDEX('Solution Codes'!$A$2:$A42,MATCH(Draft!D3,'Solution Codes'!$B$2:$B42,0)))</f>
        <v>S2</v>
      </c>
      <c r="E3" s="6" t="str">
        <f t="array" ref="E3">IFERROR(INDEX('Solution Codes'!$A$2:$A42,MATCH(Draft!E3,'Solution Codes'!$B$2:$B42,0)))</f>
        <v>S3</v>
      </c>
      <c r="F3" s="6" t="str">
        <f t="array" ref="F3">IFERROR(INDEX('Solution Codes'!$A$2:$A42,MATCH(Draft!F3,'Solution Codes'!$B$2:$B42,0)))</f>
        <v>S11</v>
      </c>
      <c r="G3" s="6" t="str">
        <f t="array" ref="G3">IFERROR(INDEX('Solution Codes'!$A$2:$A42,MATCH(Draft!G3,'Solution Codes'!$B$2:$B42,0)))</f>
        <v>S7</v>
      </c>
      <c r="H3" s="6" t="str">
        <f t="array" ref="H3">IFERROR(INDEX('Solution Codes'!$A$2:$A42,MATCH(Draft!H3,'Solution Codes'!$B$2:$B42,0)))</f>
        <v/>
      </c>
      <c r="I3" s="6" t="str">
        <f t="array" ref="I3">IFERROR(INDEX('Solution Codes'!$A$2:$A42,MATCH(Draft!I3,'Solution Codes'!$B$2:$B42,0)))</f>
        <v/>
      </c>
      <c r="J3" s="6" t="str">
        <f t="array" ref="J3">IFERROR(INDEX('Solution Codes'!$A$2:$A42,MATCH(Draft!J3,'Solution Codes'!$B$2:$B42,0)))</f>
        <v/>
      </c>
      <c r="K3" s="6" t="str">
        <f t="array" ref="K3">IFERROR(INDEX('Solution Codes'!$A$2:$A42,MATCH(Draft!K3,'Solution Codes'!$B$2:$B42,0)))</f>
        <v/>
      </c>
      <c r="L3" s="6" t="str">
        <f t="array" ref="L3">IFERROR(INDEX('Solution Codes'!$A$2:$A42,MATCH(Draft!L3,'Solution Codes'!$B$2:$B42,0)))</f>
        <v/>
      </c>
    </row>
    <row r="4">
      <c r="A4" s="4">
        <v>3.0</v>
      </c>
      <c r="B4" s="5" t="s">
        <v>8</v>
      </c>
      <c r="C4" s="5" t="s">
        <v>9</v>
      </c>
      <c r="D4" s="6" t="str">
        <f t="array" ref="D4">IFERROR(INDEX('Solution Codes'!$A$2:$A42,MATCH(Draft!D4,'Solution Codes'!$B$2:$B42,0)))</f>
        <v>S8</v>
      </c>
      <c r="E4" s="6" t="str">
        <f t="array" ref="E4">IFERROR(INDEX('Solution Codes'!$A$2:$A42,MATCH(Draft!E4,'Solution Codes'!$B$2:$B42,0)))</f>
        <v/>
      </c>
      <c r="F4" s="6" t="str">
        <f t="array" ref="F4">IFERROR(INDEX('Solution Codes'!$A$2:$A42,MATCH(Draft!F4,'Solution Codes'!$B$2:$B42,0)))</f>
        <v/>
      </c>
      <c r="G4" s="6" t="str">
        <f t="array" ref="G4">IFERROR(INDEX('Solution Codes'!$A$2:$A42,MATCH(Draft!G4,'Solution Codes'!$B$2:$B42,0)))</f>
        <v/>
      </c>
      <c r="H4" s="6" t="str">
        <f t="array" ref="H4">IFERROR(INDEX('Solution Codes'!$A$2:$A42,MATCH(Draft!H4,'Solution Codes'!$B$2:$B42,0)))</f>
        <v/>
      </c>
      <c r="I4" s="6" t="str">
        <f t="array" ref="I4">IFERROR(INDEX('Solution Codes'!$A$2:$A42,MATCH(Draft!I4,'Solution Codes'!$B$2:$B42,0)))</f>
        <v/>
      </c>
      <c r="J4" s="6" t="str">
        <f t="array" ref="J4">IFERROR(INDEX('Solution Codes'!$A$2:$A42,MATCH(Draft!J4,'Solution Codes'!$B$2:$B42,0)))</f>
        <v/>
      </c>
      <c r="K4" s="6" t="str">
        <f t="array" ref="K4">IFERROR(INDEX('Solution Codes'!$A$2:$A42,MATCH(Draft!K4,'Solution Codes'!$B$2:$B42,0)))</f>
        <v/>
      </c>
      <c r="L4" s="6" t="str">
        <f t="array" ref="L4">IFERROR(INDEX('Solution Codes'!$A$2:$A42,MATCH(Draft!L4,'Solution Codes'!$B$2:$B42,0)))</f>
        <v/>
      </c>
    </row>
    <row r="5">
      <c r="A5" s="4">
        <v>4.0</v>
      </c>
      <c r="B5" s="5" t="s">
        <v>10</v>
      </c>
      <c r="C5" s="5" t="s">
        <v>11</v>
      </c>
      <c r="D5" s="6" t="str">
        <f t="array" ref="D5">IFERROR(INDEX('Solution Codes'!$A$2:$A42,MATCH(Draft!D5,'Solution Codes'!$B$2:$B42,0)))</f>
        <v>S3</v>
      </c>
      <c r="E5" s="6" t="str">
        <f t="array" ref="E5">IFERROR(INDEX('Solution Codes'!$A$2:$A42,MATCH(Draft!E5,'Solution Codes'!$B$2:$B42,0)))</f>
        <v/>
      </c>
      <c r="F5" s="6" t="str">
        <f t="array" ref="F5">IFERROR(INDEX('Solution Codes'!$A$2:$A42,MATCH(Draft!F5,'Solution Codes'!$B$2:$B42,0)))</f>
        <v/>
      </c>
      <c r="G5" s="6" t="str">
        <f t="array" ref="G5">IFERROR(INDEX('Solution Codes'!$A$2:$A42,MATCH(Draft!G5,'Solution Codes'!$B$2:$B42,0)))</f>
        <v/>
      </c>
      <c r="H5" s="6" t="str">
        <f t="array" ref="H5">IFERROR(INDEX('Solution Codes'!$A$2:$A42,MATCH(Draft!H5,'Solution Codes'!$B$2:$B42,0)))</f>
        <v/>
      </c>
      <c r="I5" s="6" t="str">
        <f t="array" ref="I5">IFERROR(INDEX('Solution Codes'!$A$2:$A42,MATCH(Draft!I5,'Solution Codes'!$B$2:$B42,0)))</f>
        <v/>
      </c>
      <c r="J5" s="6" t="str">
        <f t="array" ref="J5">IFERROR(INDEX('Solution Codes'!$A$2:$A42,MATCH(Draft!J5,'Solution Codes'!$B$2:$B42,0)))</f>
        <v/>
      </c>
      <c r="K5" s="6" t="str">
        <f t="array" ref="K5">IFERROR(INDEX('Solution Codes'!$A$2:$A42,MATCH(Draft!K5,'Solution Codes'!$B$2:$B42,0)))</f>
        <v/>
      </c>
      <c r="L5" s="6" t="str">
        <f t="array" ref="L5">IFERROR(INDEX('Solution Codes'!$A$2:$A42,MATCH(Draft!L5,'Solution Codes'!$B$2:$B42,0)))</f>
        <v/>
      </c>
    </row>
    <row r="6">
      <c r="A6" s="4">
        <v>5.0</v>
      </c>
      <c r="B6" s="5" t="s">
        <v>12</v>
      </c>
      <c r="C6" s="5" t="s">
        <v>13</v>
      </c>
      <c r="D6" s="6" t="str">
        <f t="array" ref="D6">IFERROR(INDEX('Solution Codes'!$A$2:$A42,MATCH(Draft!D6,'Solution Codes'!$B$2:$B42,0)))</f>
        <v>S3</v>
      </c>
      <c r="E6" s="6" t="str">
        <f t="array" ref="E6">IFERROR(INDEX('Solution Codes'!$A$2:$A42,MATCH(Draft!E6,'Solution Codes'!$B$2:$B42,0)))</f>
        <v>S10</v>
      </c>
      <c r="F6" s="6" t="str">
        <f t="array" ref="F6">IFERROR(INDEX('Solution Codes'!$A$2:$A42,MATCH(Draft!F6,'Solution Codes'!$B$2:$B42,0)))</f>
        <v>S9</v>
      </c>
      <c r="G6" s="6" t="str">
        <f t="array" ref="G6">IFERROR(INDEX('Solution Codes'!$A$2:$A42,MATCH(Draft!G6,'Solution Codes'!$B$2:$B42,0)))</f>
        <v/>
      </c>
      <c r="H6" s="6" t="str">
        <f t="array" ref="H6">IFERROR(INDEX('Solution Codes'!$A$2:$A42,MATCH(Draft!H6,'Solution Codes'!$B$2:$B42,0)))</f>
        <v/>
      </c>
      <c r="I6" s="6" t="str">
        <f t="array" ref="I6">IFERROR(INDEX('Solution Codes'!$A$2:$A42,MATCH(Draft!I6,'Solution Codes'!$B$2:$B42,0)))</f>
        <v/>
      </c>
      <c r="J6" s="6" t="str">
        <f t="array" ref="J6">IFERROR(INDEX('Solution Codes'!$A$2:$A42,MATCH(Draft!J6,'Solution Codes'!$B$2:$B42,0)))</f>
        <v/>
      </c>
      <c r="K6" s="6" t="str">
        <f t="array" ref="K6">IFERROR(INDEX('Solution Codes'!$A$2:$A42,MATCH(Draft!K6,'Solution Codes'!$B$2:$B42,0)))</f>
        <v/>
      </c>
      <c r="L6" s="6" t="str">
        <f t="array" ref="L6">IFERROR(INDEX('Solution Codes'!$A$2:$A42,MATCH(Draft!L6,'Solution Codes'!$B$2:$B42,0)))</f>
        <v/>
      </c>
    </row>
    <row r="7">
      <c r="A7" s="4">
        <v>6.0</v>
      </c>
      <c r="B7" s="5" t="s">
        <v>14</v>
      </c>
      <c r="C7" s="5" t="s">
        <v>15</v>
      </c>
      <c r="D7" s="6" t="str">
        <f t="array" ref="D7">IFERROR(INDEX('Solution Codes'!$A$2:$A42,MATCH(Draft!D7,'Solution Codes'!$B$2:$B42,0)))</f>
        <v>S12</v>
      </c>
      <c r="E7" s="6" t="str">
        <f t="array" ref="E7">IFERROR(INDEX('Solution Codes'!$A$2:$A42,MATCH(Draft!E7,'Solution Codes'!$B$2:$B42,0)))</f>
        <v>S1</v>
      </c>
      <c r="F7" s="6" t="str">
        <f t="array" ref="F7">IFERROR(INDEX('Solution Codes'!$A$2:$A42,MATCH(Draft!F7,'Solution Codes'!$B$2:$B42,0)))</f>
        <v>S2</v>
      </c>
      <c r="G7" s="6" t="str">
        <f t="array" ref="G7">IFERROR(INDEX('Solution Codes'!$A$2:$A42,MATCH(Draft!G7,'Solution Codes'!$B$2:$B42,0)))</f>
        <v>S6</v>
      </c>
      <c r="H7" s="6" t="str">
        <f t="array" ref="H7">IFERROR(INDEX('Solution Codes'!$A$2:$A42,MATCH(Draft!H7,'Solution Codes'!$B$2:$B42,0)))</f>
        <v>S3</v>
      </c>
      <c r="I7" s="6" t="str">
        <f t="array" ref="I7">IFERROR(INDEX('Solution Codes'!$A$2:$A42,MATCH(Draft!I7,'Solution Codes'!$B$2:$B42,0)))</f>
        <v/>
      </c>
      <c r="J7" s="6" t="str">
        <f t="array" ref="J7">IFERROR(INDEX('Solution Codes'!$A$2:$A42,MATCH(Draft!J7,'Solution Codes'!$B$2:$B42,0)))</f>
        <v/>
      </c>
      <c r="K7" s="6" t="str">
        <f t="array" ref="K7">IFERROR(INDEX('Solution Codes'!$A$2:$A42,MATCH(Draft!K7,'Solution Codes'!$B$2:$B42,0)))</f>
        <v/>
      </c>
      <c r="L7" s="6" t="str">
        <f t="array" ref="L7">IFERROR(INDEX('Solution Codes'!$A$2:$A42,MATCH(Draft!L7,'Solution Codes'!$B$2:$B42,0)))</f>
        <v/>
      </c>
    </row>
    <row r="8">
      <c r="A8" s="4">
        <v>7.0</v>
      </c>
      <c r="B8" s="5" t="s">
        <v>16</v>
      </c>
      <c r="C8" s="5" t="s">
        <v>17</v>
      </c>
      <c r="D8" s="6" t="str">
        <f t="array" ref="D8">IFERROR(INDEX('Solution Codes'!$A$2:$A42,MATCH(Draft!D8,'Solution Codes'!$B$2:$B42,0)))</f>
        <v>S12</v>
      </c>
      <c r="E8" s="6" t="str">
        <f t="array" ref="E8">IFERROR(INDEX('Solution Codes'!$A$2:$A42,MATCH(Draft!E8,'Solution Codes'!$B$2:$B42,0)))</f>
        <v>S2</v>
      </c>
      <c r="F8" s="6" t="str">
        <f t="array" ref="F8">IFERROR(INDEX('Solution Codes'!$A$2:$A42,MATCH(Draft!F8,'Solution Codes'!$B$2:$B42,0)))</f>
        <v>S1</v>
      </c>
      <c r="G8" s="6" t="str">
        <f t="array" ref="G8">IFERROR(INDEX('Solution Codes'!$A$2:$A42,MATCH(Draft!G8,'Solution Codes'!$B$2:$B42,0)))</f>
        <v>S11</v>
      </c>
      <c r="H8" s="6" t="str">
        <f t="array" ref="H8">IFERROR(INDEX('Solution Codes'!$A$2:$A42,MATCH(Draft!H8,'Solution Codes'!$B$2:$B42,0)))</f>
        <v/>
      </c>
      <c r="I8" s="6" t="str">
        <f t="array" ref="I8">IFERROR(INDEX('Solution Codes'!$A$2:$A42,MATCH(Draft!I8,'Solution Codes'!$B$2:$B42,0)))</f>
        <v/>
      </c>
      <c r="J8" s="6" t="str">
        <f t="array" ref="J8">IFERROR(INDEX('Solution Codes'!$A$2:$A42,MATCH(Draft!J8,'Solution Codes'!$B$2:$B42,0)))</f>
        <v/>
      </c>
      <c r="K8" s="6" t="str">
        <f t="array" ref="K8">IFERROR(INDEX('Solution Codes'!$A$2:$A42,MATCH(Draft!K8,'Solution Codes'!$B$2:$B42,0)))</f>
        <v/>
      </c>
      <c r="L8" s="6" t="str">
        <f t="array" ref="L8">IFERROR(INDEX('Solution Codes'!$A$2:$A42,MATCH(Draft!L8,'Solution Codes'!$B$2:$B42,0)))</f>
        <v/>
      </c>
    </row>
    <row r="9">
      <c r="A9" s="4">
        <v>8.0</v>
      </c>
      <c r="B9" s="5" t="s">
        <v>18</v>
      </c>
      <c r="C9" s="5" t="s">
        <v>19</v>
      </c>
      <c r="D9" s="6" t="str">
        <f t="array" ref="D9">IFERROR(INDEX('Solution Codes'!$A$2:$A42,MATCH(Draft!D9,'Solution Codes'!$B$2:$B42,0)))</f>
        <v>S12</v>
      </c>
      <c r="E9" s="6" t="str">
        <f t="array" ref="E9">IFERROR(INDEX('Solution Codes'!$A$2:$A42,MATCH(Draft!E9,'Solution Codes'!$B$2:$B42,0)))</f>
        <v>S2</v>
      </c>
      <c r="F9" s="6" t="str">
        <f t="array" ref="F9">IFERROR(INDEX('Solution Codes'!$A$2:$A42,MATCH(Draft!F9,'Solution Codes'!$B$2:$B42,0)))</f>
        <v>S1</v>
      </c>
      <c r="G9" s="6" t="str">
        <f t="array" ref="G9">IFERROR(INDEX('Solution Codes'!$A$2:$A42,MATCH(Draft!G9,'Solution Codes'!$B$2:$B42,0)))</f>
        <v>S11</v>
      </c>
      <c r="H9" s="6" t="str">
        <f t="array" ref="H9">IFERROR(INDEX('Solution Codes'!$A$2:$A42,MATCH(Draft!H9,'Solution Codes'!$B$2:$B42,0)))</f>
        <v/>
      </c>
      <c r="I9" s="6" t="str">
        <f t="array" ref="I9">IFERROR(INDEX('Solution Codes'!$A$2:$A42,MATCH(Draft!I9,'Solution Codes'!$B$2:$B42,0)))</f>
        <v/>
      </c>
      <c r="J9" s="6" t="str">
        <f t="array" ref="J9">IFERROR(INDEX('Solution Codes'!$A$2:$A42,MATCH(Draft!J9,'Solution Codes'!$B$2:$B42,0)))</f>
        <v/>
      </c>
      <c r="K9" s="6" t="str">
        <f t="array" ref="K9">IFERROR(INDEX('Solution Codes'!$A$2:$A42,MATCH(Draft!K9,'Solution Codes'!$B$2:$B42,0)))</f>
        <v/>
      </c>
      <c r="L9" s="6" t="str">
        <f t="array" ref="L9">IFERROR(INDEX('Solution Codes'!$A$2:$A42,MATCH(Draft!L9,'Solution Codes'!$B$2:$B42,0)))</f>
        <v/>
      </c>
    </row>
    <row r="10">
      <c r="A10" s="4">
        <v>9.0</v>
      </c>
      <c r="B10" s="5" t="s">
        <v>20</v>
      </c>
      <c r="C10" s="5" t="s">
        <v>21</v>
      </c>
      <c r="D10" s="6" t="str">
        <f t="array" ref="D10">IFERROR(INDEX('Solution Codes'!$A$2:$A42,MATCH(Draft!D10,'Solution Codes'!$B$2:$B42,0)))</f>
        <v>S12</v>
      </c>
      <c r="E10" s="6" t="str">
        <f t="array" ref="E10">IFERROR(INDEX('Solution Codes'!$A$2:$A42,MATCH(Draft!E10,'Solution Codes'!$B$2:$B42,0)))</f>
        <v>S2</v>
      </c>
      <c r="F10" s="6" t="str">
        <f t="array" ref="F10">IFERROR(INDEX('Solution Codes'!$A$2:$A42,MATCH(Draft!F10,'Solution Codes'!$B$2:$B42,0)))</f>
        <v>S1</v>
      </c>
      <c r="G10" s="6" t="str">
        <f t="array" ref="G10">IFERROR(INDEX('Solution Codes'!$A$2:$A42,MATCH(Draft!G10,'Solution Codes'!$B$2:$B42,0)))</f>
        <v>S3</v>
      </c>
      <c r="H10" s="6" t="str">
        <f t="array" ref="H10">IFERROR(INDEX('Solution Codes'!$A$2:$A42,MATCH(Draft!H10,'Solution Codes'!$B$2:$B42,0)))</f>
        <v>S7</v>
      </c>
      <c r="I10" s="6" t="str">
        <f t="array" ref="I10">IFERROR(INDEX('Solution Codes'!$A$2:$A42,MATCH(Draft!I10,'Solution Codes'!$B$2:$B42,0)))</f>
        <v/>
      </c>
      <c r="J10" s="6" t="str">
        <f t="array" ref="J10">IFERROR(INDEX('Solution Codes'!$A$2:$A42,MATCH(Draft!J10,'Solution Codes'!$B$2:$B42,0)))</f>
        <v/>
      </c>
      <c r="K10" s="6" t="str">
        <f t="array" ref="K10">IFERROR(INDEX('Solution Codes'!$A$2:$A42,MATCH(Draft!K10,'Solution Codes'!$B$2:$B42,0)))</f>
        <v/>
      </c>
      <c r="L10" s="6" t="str">
        <f t="array" ref="L10">IFERROR(INDEX('Solution Codes'!$A$2:$A42,MATCH(Draft!L10,'Solution Codes'!$B$2:$B42,0)))</f>
        <v/>
      </c>
    </row>
    <row r="11">
      <c r="A11" s="4">
        <v>10.0</v>
      </c>
      <c r="B11" s="5" t="s">
        <v>22</v>
      </c>
      <c r="C11" s="5" t="s">
        <v>23</v>
      </c>
      <c r="D11" s="6" t="str">
        <f t="array" ref="D11">IFERROR(INDEX('Solution Codes'!$A$2:$A42,MATCH(Draft!D11,'Solution Codes'!$B$2:$B42,0)))</f>
        <v>S12</v>
      </c>
      <c r="E11" s="6" t="str">
        <f t="array" ref="E11">IFERROR(INDEX('Solution Codes'!$A$2:$A42,MATCH(Draft!E11,'Solution Codes'!$B$2:$B42,0)))</f>
        <v>S2</v>
      </c>
      <c r="F11" s="6" t="str">
        <f t="array" ref="F11">IFERROR(INDEX('Solution Codes'!$A$2:$A42,MATCH(Draft!F11,'Solution Codes'!$B$2:$B42,0)))</f>
        <v>S1</v>
      </c>
      <c r="G11" s="6" t="str">
        <f t="array" ref="G11">IFERROR(INDEX('Solution Codes'!$A$2:$A42,MATCH(Draft!G11,'Solution Codes'!$B$2:$B42,0)))</f>
        <v>S3</v>
      </c>
      <c r="H11" s="6" t="str">
        <f t="array" ref="H11">IFERROR(INDEX('Solution Codes'!$A$2:$A42,MATCH(Draft!H11,'Solution Codes'!$B$2:$B42,0)))</f>
        <v>S7</v>
      </c>
      <c r="I11" s="6" t="str">
        <f t="array" ref="I11">IFERROR(INDEX('Solution Codes'!$A$2:$A42,MATCH(Draft!I11,'Solution Codes'!$B$2:$B42,0)))</f>
        <v/>
      </c>
      <c r="J11" s="6" t="str">
        <f t="array" ref="J11">IFERROR(INDEX('Solution Codes'!$A$2:$A42,MATCH(Draft!J11,'Solution Codes'!$B$2:$B42,0)))</f>
        <v/>
      </c>
      <c r="K11" s="6" t="str">
        <f t="array" ref="K11">IFERROR(INDEX('Solution Codes'!$A$2:$A42,MATCH(Draft!K11,'Solution Codes'!$B$2:$B42,0)))</f>
        <v/>
      </c>
      <c r="L11" s="6" t="str">
        <f t="array" ref="L11">IFERROR(INDEX('Solution Codes'!$A$2:$A42,MATCH(Draft!L11,'Solution Codes'!$B$2:$B42,0)))</f>
        <v/>
      </c>
    </row>
    <row r="12">
      <c r="A12" s="4">
        <v>11.0</v>
      </c>
      <c r="B12" s="5" t="s">
        <v>24</v>
      </c>
      <c r="C12" s="5" t="s">
        <v>25</v>
      </c>
      <c r="D12" s="6" t="str">
        <f t="array" ref="D12">IFERROR(INDEX('Solution Codes'!$A$2:$A42,MATCH(Draft!D12,'Solution Codes'!$B$2:$B42,0)))</f>
        <v>S18</v>
      </c>
      <c r="E12" s="6" t="str">
        <f t="array" ref="E12">IFERROR(INDEX('Solution Codes'!$A$2:$A42,MATCH(Draft!E12,'Solution Codes'!$B$2:$B42,0)))</f>
        <v>S16</v>
      </c>
      <c r="F12" s="6" t="str">
        <f t="array" ref="F12">IFERROR(INDEX('Solution Codes'!$A$2:$A42,MATCH(Draft!F12,'Solution Codes'!$B$2:$B42,0)))</f>
        <v>S7</v>
      </c>
      <c r="G12" s="6" t="str">
        <f t="array" ref="G12">IFERROR(INDEX('Solution Codes'!$A$2:$A42,MATCH(Draft!G12,'Solution Codes'!$B$2:$B42,0)))</f>
        <v/>
      </c>
      <c r="H12" s="6" t="str">
        <f t="array" ref="H12">IFERROR(INDEX('Solution Codes'!$A$2:$A42,MATCH(Draft!H12,'Solution Codes'!$B$2:$B42,0)))</f>
        <v/>
      </c>
      <c r="I12" s="6" t="str">
        <f t="array" ref="I12">IFERROR(INDEX('Solution Codes'!$A$2:$A42,MATCH(Draft!I12,'Solution Codes'!$B$2:$B42,0)))</f>
        <v/>
      </c>
      <c r="J12" s="6" t="str">
        <f t="array" ref="J12">IFERROR(INDEX('Solution Codes'!$A$2:$A42,MATCH(Draft!J12,'Solution Codes'!$B$2:$B42,0)))</f>
        <v/>
      </c>
      <c r="K12" s="6" t="str">
        <f t="array" ref="K12">IFERROR(INDEX('Solution Codes'!$A$2:$A42,MATCH(Draft!K12,'Solution Codes'!$B$2:$B42,0)))</f>
        <v/>
      </c>
      <c r="L12" s="6" t="str">
        <f t="array" ref="L12">IFERROR(INDEX('Solution Codes'!$A$2:$A42,MATCH(Draft!L12,'Solution Codes'!$B$2:$B42,0)))</f>
        <v/>
      </c>
    </row>
    <row r="13">
      <c r="A13" s="4">
        <v>12.0</v>
      </c>
      <c r="B13" s="5" t="s">
        <v>26</v>
      </c>
      <c r="C13" s="5" t="s">
        <v>27</v>
      </c>
      <c r="D13" s="6" t="str">
        <f t="array" ref="D13">IFERROR(INDEX('Solution Codes'!$A$2:$A42,MATCH(Draft!D13,'Solution Codes'!$B$2:$B42,0)))</f>
        <v>S13</v>
      </c>
      <c r="E13" s="6" t="str">
        <f t="array" ref="E13">IFERROR(INDEX('Solution Codes'!$A$2:$A42,MATCH(Draft!E13,'Solution Codes'!$B$2:$B42,0)))</f>
        <v>S7</v>
      </c>
      <c r="F13" s="6" t="str">
        <f t="array" ref="F13">IFERROR(INDEX('Solution Codes'!$A$2:$A42,MATCH(Draft!F13,'Solution Codes'!$B$2:$B42,0)))</f>
        <v/>
      </c>
      <c r="G13" s="6" t="str">
        <f t="array" ref="G13">IFERROR(INDEX('Solution Codes'!$A$2:$A42,MATCH(Draft!G13,'Solution Codes'!$B$2:$B42,0)))</f>
        <v/>
      </c>
      <c r="H13" s="6" t="str">
        <f t="array" ref="H13">IFERROR(INDEX('Solution Codes'!$A$2:$A42,MATCH(Draft!H13,'Solution Codes'!$B$2:$B42,0)))</f>
        <v/>
      </c>
      <c r="I13" s="6" t="str">
        <f t="array" ref="I13">IFERROR(INDEX('Solution Codes'!$A$2:$A42,MATCH(Draft!I13,'Solution Codes'!$B$2:$B42,0)))</f>
        <v/>
      </c>
      <c r="J13" s="6" t="str">
        <f t="array" ref="J13">IFERROR(INDEX('Solution Codes'!$A$2:$A42,MATCH(Draft!J13,'Solution Codes'!$B$2:$B42,0)))</f>
        <v/>
      </c>
      <c r="K13" s="6" t="str">
        <f t="array" ref="K13">IFERROR(INDEX('Solution Codes'!$A$2:$A42,MATCH(Draft!K13,'Solution Codes'!$B$2:$B42,0)))</f>
        <v/>
      </c>
      <c r="L13" s="6" t="str">
        <f t="array" ref="L13">IFERROR(INDEX('Solution Codes'!$A$2:$A42,MATCH(Draft!L13,'Solution Codes'!$B$2:$B42,0)))</f>
        <v/>
      </c>
    </row>
    <row r="14">
      <c r="A14" s="4">
        <v>13.0</v>
      </c>
      <c r="B14" s="5" t="s">
        <v>28</v>
      </c>
      <c r="C14" s="5" t="s">
        <v>29</v>
      </c>
      <c r="D14" s="6" t="str">
        <f t="array" ref="D14">IFERROR(INDEX('Solution Codes'!$A$2:$A42,MATCH(Draft!D14,'Solution Codes'!$B$2:$B42,0)))</f>
        <v>S12</v>
      </c>
      <c r="E14" s="6" t="str">
        <f t="array" ref="E14">IFERROR(INDEX('Solution Codes'!$A$2:$A42,MATCH(Draft!E14,'Solution Codes'!$B$2:$B42,0)))</f>
        <v>S1</v>
      </c>
      <c r="F14" s="6" t="str">
        <f t="array" ref="F14">IFERROR(INDEX('Solution Codes'!$A$2:$A42,MATCH(Draft!F14,'Solution Codes'!$B$2:$B42,0)))</f>
        <v>S16</v>
      </c>
      <c r="G14" s="6" t="str">
        <f t="array" ref="G14">IFERROR(INDEX('Solution Codes'!$A$2:$A42,MATCH(Draft!G14,'Solution Codes'!$B$2:$B42,0)))</f>
        <v/>
      </c>
      <c r="H14" s="6" t="str">
        <f t="array" ref="H14">IFERROR(INDEX('Solution Codes'!$A$2:$A42,MATCH(Draft!H14,'Solution Codes'!$B$2:$B42,0)))</f>
        <v/>
      </c>
      <c r="I14" s="6" t="str">
        <f t="array" ref="I14">IFERROR(INDEX('Solution Codes'!$A$2:$A42,MATCH(Draft!I14,'Solution Codes'!$B$2:$B42,0)))</f>
        <v/>
      </c>
      <c r="J14" s="6" t="str">
        <f t="array" ref="J14">IFERROR(INDEX('Solution Codes'!$A$2:$A42,MATCH(Draft!J14,'Solution Codes'!$B$2:$B42,0)))</f>
        <v/>
      </c>
      <c r="K14" s="6" t="str">
        <f t="array" ref="K14">IFERROR(INDEX('Solution Codes'!$A$2:$A42,MATCH(Draft!K14,'Solution Codes'!$B$2:$B42,0)))</f>
        <v/>
      </c>
      <c r="L14" s="6" t="str">
        <f t="array" ref="L14">IFERROR(INDEX('Solution Codes'!$A$2:$A42,MATCH(Draft!L14,'Solution Codes'!$B$2:$B42,0)))</f>
        <v/>
      </c>
    </row>
    <row r="15">
      <c r="A15" s="4">
        <v>14.0</v>
      </c>
      <c r="B15" s="5" t="s">
        <v>30</v>
      </c>
      <c r="C15" s="5" t="s">
        <v>31</v>
      </c>
      <c r="D15" s="6" t="str">
        <f t="array" ref="D15">IFERROR(INDEX('Solution Codes'!$A$2:$A42,MATCH(Draft!D15,'Solution Codes'!$B$2:$B42,0)))</f>
        <v>S12</v>
      </c>
      <c r="E15" s="6" t="str">
        <f t="array" ref="E15">IFERROR(INDEX('Solution Codes'!$A$2:$A42,MATCH(Draft!E15,'Solution Codes'!$B$2:$B42,0)))</f>
        <v>S1</v>
      </c>
      <c r="F15" s="6" t="str">
        <f t="array" ref="F15">IFERROR(INDEX('Solution Codes'!$A$2:$A42,MATCH(Draft!F15,'Solution Codes'!$B$2:$B42,0)))</f>
        <v>S19</v>
      </c>
      <c r="G15" s="6" t="str">
        <f t="array" ref="G15">IFERROR(INDEX('Solution Codes'!$A$2:$A42,MATCH(Draft!G15,'Solution Codes'!$B$2:$B42,0)))</f>
        <v>S20</v>
      </c>
      <c r="H15" s="6" t="str">
        <f t="array" ref="H15">IFERROR(INDEX('Solution Codes'!$A$2:$A42,MATCH(Draft!H15,'Solution Codes'!$B$2:$B42,0)))</f>
        <v>S16</v>
      </c>
      <c r="I15" s="6" t="str">
        <f t="array" ref="I15">IFERROR(INDEX('Solution Codes'!$A$2:$A42,MATCH(Draft!I15,'Solution Codes'!$B$2:$B42,0)))</f>
        <v/>
      </c>
      <c r="J15" s="6" t="str">
        <f t="array" ref="J15">IFERROR(INDEX('Solution Codes'!$A$2:$A42,MATCH(Draft!J15,'Solution Codes'!$B$2:$B42,0)))</f>
        <v/>
      </c>
      <c r="K15" s="6" t="str">
        <f t="array" ref="K15">IFERROR(INDEX('Solution Codes'!$A$2:$A42,MATCH(Draft!K15,'Solution Codes'!$B$2:$B42,0)))</f>
        <v/>
      </c>
      <c r="L15" s="6" t="str">
        <f t="array" ref="L15">IFERROR(INDEX('Solution Codes'!$A$2:$A42,MATCH(Draft!L15,'Solution Codes'!$B$2:$B42,0)))</f>
        <v/>
      </c>
    </row>
    <row r="16">
      <c r="A16" s="4">
        <v>15.0</v>
      </c>
      <c r="B16" s="5" t="s">
        <v>32</v>
      </c>
      <c r="C16" s="5" t="s">
        <v>33</v>
      </c>
      <c r="D16" s="6" t="str">
        <f t="array" ref="D16">IFERROR(INDEX('Solution Codes'!$A$2:$A42,MATCH(Draft!D16,'Solution Codes'!$B$2:$B42,0)))</f>
        <v>S12</v>
      </c>
      <c r="E16" s="6" t="str">
        <f t="array" ref="E16">IFERROR(INDEX('Solution Codes'!$A$2:$A42,MATCH(Draft!E16,'Solution Codes'!$B$2:$B42,0)))</f>
        <v>S2</v>
      </c>
      <c r="F16" s="6" t="str">
        <f t="array" ref="F16">IFERROR(INDEX('Solution Codes'!$A$2:$A42,MATCH(Draft!F16,'Solution Codes'!$B$2:$B42,0)))</f>
        <v>S1</v>
      </c>
      <c r="G16" s="6" t="str">
        <f t="array" ref="G16">IFERROR(INDEX('Solution Codes'!$A$2:$A42,MATCH(Draft!G16,'Solution Codes'!$B$2:$B42,0)))</f>
        <v>S19</v>
      </c>
      <c r="H16" s="6" t="str">
        <f t="array" ref="H16">IFERROR(INDEX('Solution Codes'!$A$2:$A42,MATCH(Draft!H16,'Solution Codes'!$B$2:$B42,0)))</f>
        <v>S20</v>
      </c>
      <c r="I16" s="6" t="str">
        <f t="array" ref="I16">IFERROR(INDEX('Solution Codes'!$A$2:$A42,MATCH(Draft!I16,'Solution Codes'!$B$2:$B42,0)))</f>
        <v>S16</v>
      </c>
      <c r="J16" s="6" t="str">
        <f t="array" ref="J16">IFERROR(INDEX('Solution Codes'!$A$2:$A42,MATCH(Draft!J16,'Solution Codes'!$B$2:$B42,0)))</f>
        <v>S7</v>
      </c>
      <c r="K16" s="6" t="str">
        <f t="array" ref="K16">IFERROR(INDEX('Solution Codes'!$A$2:$A42,MATCH(Draft!K16,'Solution Codes'!$B$2:$B42,0)))</f>
        <v/>
      </c>
      <c r="L16" s="6" t="str">
        <f t="array" ref="L16">IFERROR(INDEX('Solution Codes'!$A$2:$A42,MATCH(Draft!L16,'Solution Codes'!$B$2:$B42,0)))</f>
        <v/>
      </c>
    </row>
    <row r="17">
      <c r="A17" s="4">
        <v>16.0</v>
      </c>
      <c r="B17" s="5" t="s">
        <v>34</v>
      </c>
      <c r="C17" s="5" t="s">
        <v>35</v>
      </c>
      <c r="D17" s="6" t="str">
        <f t="array" ref="D17">IFERROR(INDEX('Solution Codes'!$A$2:$A42,MATCH(Draft!D17,'Solution Codes'!$B$2:$B42,0)))</f>
        <v>S12</v>
      </c>
      <c r="E17" s="6" t="str">
        <f t="array" ref="E17">IFERROR(INDEX('Solution Codes'!$A$2:$A42,MATCH(Draft!E17,'Solution Codes'!$B$2:$B42,0)))</f>
        <v>S2</v>
      </c>
      <c r="F17" s="6" t="str">
        <f t="array" ref="F17">IFERROR(INDEX('Solution Codes'!$A$2:$A42,MATCH(Draft!F17,'Solution Codes'!$B$2:$B42,0)))</f>
        <v>S1</v>
      </c>
      <c r="G17" s="6" t="str">
        <f t="array" ref="G17">IFERROR(INDEX('Solution Codes'!$A$2:$A42,MATCH(Draft!G17,'Solution Codes'!$B$2:$B42,0)))</f>
        <v>S11</v>
      </c>
      <c r="H17" s="6" t="str">
        <f t="array" ref="H17">IFERROR(INDEX('Solution Codes'!$A$2:$A42,MATCH(Draft!H17,'Solution Codes'!$B$2:$B42,0)))</f>
        <v>S16</v>
      </c>
      <c r="I17" s="6" t="str">
        <f t="array" ref="I17">IFERROR(INDEX('Solution Codes'!$A$2:$A42,MATCH(Draft!I17,'Solution Codes'!$B$2:$B42,0)))</f>
        <v>S7</v>
      </c>
      <c r="J17" s="6" t="str">
        <f t="array" ref="J17">IFERROR(INDEX('Solution Codes'!$A$2:$A42,MATCH(Draft!J17,'Solution Codes'!$B$2:$B42,0)))</f>
        <v/>
      </c>
      <c r="K17" s="6" t="str">
        <f t="array" ref="K17">IFERROR(INDEX('Solution Codes'!$A$2:$A42,MATCH(Draft!K17,'Solution Codes'!$B$2:$B42,0)))</f>
        <v/>
      </c>
      <c r="L17" s="6" t="str">
        <f t="array" ref="L17">IFERROR(INDEX('Solution Codes'!$A$2:$A42,MATCH(Draft!L17,'Solution Codes'!$B$2:$B42,0)))</f>
        <v/>
      </c>
    </row>
    <row r="18">
      <c r="A18" s="4">
        <v>19.0</v>
      </c>
      <c r="B18" s="5" t="s">
        <v>36</v>
      </c>
      <c r="C18" s="5" t="s">
        <v>37</v>
      </c>
      <c r="D18" s="6" t="str">
        <f t="array" ref="D18">IFERROR(INDEX('Solution Codes'!$A$2:$A42,MATCH(Draft!D18,'Solution Codes'!$B$2:$B42,0)))</f>
        <v>S6</v>
      </c>
      <c r="E18" s="6" t="str">
        <f t="array" ref="E18">IFERROR(INDEX('Solution Codes'!$A$2:$A42,MATCH(Draft!E18,'Solution Codes'!$B$2:$B42,0)))</f>
        <v/>
      </c>
      <c r="F18" s="6" t="str">
        <f t="array" ref="F18">IFERROR(INDEX('Solution Codes'!$A$2:$A42,MATCH(Draft!F18,'Solution Codes'!$B$2:$B42,0)))</f>
        <v/>
      </c>
      <c r="G18" s="6" t="str">
        <f t="array" ref="G18">IFERROR(INDEX('Solution Codes'!$A$2:$A42,MATCH(Draft!G18,'Solution Codes'!$B$2:$B42,0)))</f>
        <v/>
      </c>
      <c r="H18" s="6" t="str">
        <f t="array" ref="H18">IFERROR(INDEX('Solution Codes'!$A$2:$A42,MATCH(Draft!H18,'Solution Codes'!$B$2:$B42,0)))</f>
        <v/>
      </c>
      <c r="I18" s="6" t="str">
        <f t="array" ref="I18">IFERROR(INDEX('Solution Codes'!$A$2:$A42,MATCH(Draft!I18,'Solution Codes'!$B$2:$B42,0)))</f>
        <v/>
      </c>
      <c r="J18" s="6" t="str">
        <f t="array" ref="J18">IFERROR(INDEX('Solution Codes'!$A$2:$A42,MATCH(Draft!J18,'Solution Codes'!$B$2:$B42,0)))</f>
        <v/>
      </c>
      <c r="K18" s="6" t="str">
        <f t="array" ref="K18">IFERROR(INDEX('Solution Codes'!$A$2:$A42,MATCH(Draft!K18,'Solution Codes'!$B$2:$B42,0)))</f>
        <v/>
      </c>
      <c r="L18" s="6" t="str">
        <f t="array" ref="L18">IFERROR(INDEX('Solution Codes'!$A$2:$A42,MATCH(Draft!L18,'Solution Codes'!$B$2:$B42,0)))</f>
        <v/>
      </c>
    </row>
    <row r="19">
      <c r="A19" s="4">
        <v>20.0</v>
      </c>
      <c r="B19" s="5" t="s">
        <v>38</v>
      </c>
      <c r="C19" s="5" t="s">
        <v>39</v>
      </c>
      <c r="D19" s="6" t="str">
        <f t="array" ref="D19">IFERROR(INDEX('Solution Codes'!$A$2:$A42,MATCH(Draft!D19,'Solution Codes'!$B$2:$B42,0)))</f>
        <v>S6</v>
      </c>
      <c r="E19" s="6" t="str">
        <f t="array" ref="E19">IFERROR(INDEX('Solution Codes'!$A$2:$A42,MATCH(Draft!E19,'Solution Codes'!$B$2:$B42,0)))</f>
        <v/>
      </c>
      <c r="F19" s="6" t="str">
        <f t="array" ref="F19">IFERROR(INDEX('Solution Codes'!$A$2:$A42,MATCH(Draft!F19,'Solution Codes'!$B$2:$B42,0)))</f>
        <v/>
      </c>
      <c r="G19" s="6" t="str">
        <f t="array" ref="G19">IFERROR(INDEX('Solution Codes'!$A$2:$A42,MATCH(Draft!G19,'Solution Codes'!$B$2:$B42,0)))</f>
        <v/>
      </c>
      <c r="H19" s="6" t="str">
        <f t="array" ref="H19">IFERROR(INDEX('Solution Codes'!$A$2:$A42,MATCH(Draft!H19,'Solution Codes'!$B$2:$B42,0)))</f>
        <v/>
      </c>
      <c r="I19" s="6" t="str">
        <f t="array" ref="I19">IFERROR(INDEX('Solution Codes'!$A$2:$A42,MATCH(Draft!I19,'Solution Codes'!$B$2:$B42,0)))</f>
        <v/>
      </c>
      <c r="J19" s="6" t="str">
        <f t="array" ref="J19">IFERROR(INDEX('Solution Codes'!$A$2:$A42,MATCH(Draft!J19,'Solution Codes'!$B$2:$B42,0)))</f>
        <v/>
      </c>
      <c r="K19" s="6" t="str">
        <f t="array" ref="K19">IFERROR(INDEX('Solution Codes'!$A$2:$A42,MATCH(Draft!K19,'Solution Codes'!$B$2:$B42,0)))</f>
        <v/>
      </c>
      <c r="L19" s="6" t="str">
        <f t="array" ref="L19">IFERROR(INDEX('Solution Codes'!$A$2:$A42,MATCH(Draft!L19,'Solution Codes'!$B$2:$B42,0)))</f>
        <v/>
      </c>
    </row>
    <row r="20">
      <c r="A20" s="4">
        <v>21.0</v>
      </c>
      <c r="B20" s="5" t="s">
        <v>40</v>
      </c>
      <c r="C20" s="5" t="s">
        <v>41</v>
      </c>
      <c r="D20" s="6" t="str">
        <f t="array" ref="D20">IFERROR(INDEX('Solution Codes'!$A$2:$A42,MATCH(Draft!D20,'Solution Codes'!$B$2:$B42,0)))</f>
        <v>S6</v>
      </c>
      <c r="E20" s="6" t="str">
        <f t="array" ref="E20">IFERROR(INDEX('Solution Codes'!$A$2:$A42,MATCH(Draft!E20,'Solution Codes'!$B$2:$B42,0)))</f>
        <v/>
      </c>
      <c r="F20" s="6" t="str">
        <f t="array" ref="F20">IFERROR(INDEX('Solution Codes'!$A$2:$A42,MATCH(Draft!F20,'Solution Codes'!$B$2:$B42,0)))</f>
        <v/>
      </c>
      <c r="G20" s="6" t="str">
        <f t="array" ref="G20">IFERROR(INDEX('Solution Codes'!$A$2:$A42,MATCH(Draft!G20,'Solution Codes'!$B$2:$B42,0)))</f>
        <v/>
      </c>
      <c r="H20" s="6" t="str">
        <f t="array" ref="H20">IFERROR(INDEX('Solution Codes'!$A$2:$A42,MATCH(Draft!H20,'Solution Codes'!$B$2:$B42,0)))</f>
        <v/>
      </c>
      <c r="I20" s="6" t="str">
        <f t="array" ref="I20">IFERROR(INDEX('Solution Codes'!$A$2:$A42,MATCH(Draft!I20,'Solution Codes'!$B$2:$B42,0)))</f>
        <v/>
      </c>
      <c r="J20" s="6" t="str">
        <f t="array" ref="J20">IFERROR(INDEX('Solution Codes'!$A$2:$A42,MATCH(Draft!J20,'Solution Codes'!$B$2:$B42,0)))</f>
        <v/>
      </c>
      <c r="K20" s="6" t="str">
        <f t="array" ref="K20">IFERROR(INDEX('Solution Codes'!$A$2:$A42,MATCH(Draft!K20,'Solution Codes'!$B$2:$B42,0)))</f>
        <v/>
      </c>
      <c r="L20" s="6" t="str">
        <f t="array" ref="L20">IFERROR(INDEX('Solution Codes'!$A$2:$A42,MATCH(Draft!L20,'Solution Codes'!$B$2:$B42,0)))</f>
        <v/>
      </c>
    </row>
    <row r="21">
      <c r="A21" s="4">
        <v>22.0</v>
      </c>
      <c r="B21" s="5" t="s">
        <v>42</v>
      </c>
      <c r="C21" s="5" t="s">
        <v>43</v>
      </c>
      <c r="D21" s="6" t="str">
        <f t="array" ref="D21">IFERROR(INDEX('Solution Codes'!$A$2:$A42,MATCH(Draft!D21,'Solution Codes'!$B$2:$B42,0)))</f>
        <v>S3</v>
      </c>
      <c r="E21" s="6" t="str">
        <f t="array" ref="E21">IFERROR(INDEX('Solution Codes'!$A$2:$A42,MATCH(Draft!E21,'Solution Codes'!$B$2:$B42,0)))</f>
        <v>S10</v>
      </c>
      <c r="F21" s="6" t="str">
        <f t="array" ref="F21">IFERROR(INDEX('Solution Codes'!$A$2:$A42,MATCH(Draft!F21,'Solution Codes'!$B$2:$B42,0)))</f>
        <v>S1</v>
      </c>
      <c r="G21" s="6" t="str">
        <f t="array" ref="G21">IFERROR(INDEX('Solution Codes'!$A$2:$A42,MATCH(Draft!G21,'Solution Codes'!$B$2:$B42,0)))</f>
        <v>S2</v>
      </c>
      <c r="H21" s="6" t="str">
        <f t="array" ref="H21">IFERROR(INDEX('Solution Codes'!$A$2:$A42,MATCH(Draft!H21,'Solution Codes'!$B$2:$B42,0)))</f>
        <v/>
      </c>
      <c r="I21" s="6" t="str">
        <f t="array" ref="I21">IFERROR(INDEX('Solution Codes'!$A$2:$A42,MATCH(Draft!I21,'Solution Codes'!$B$2:$B42,0)))</f>
        <v/>
      </c>
      <c r="J21" s="6" t="str">
        <f t="array" ref="J21">IFERROR(INDEX('Solution Codes'!$A$2:$A42,MATCH(Draft!J21,'Solution Codes'!$B$2:$B42,0)))</f>
        <v/>
      </c>
      <c r="K21" s="6" t="str">
        <f t="array" ref="K21">IFERROR(INDEX('Solution Codes'!$A$2:$A42,MATCH(Draft!K21,'Solution Codes'!$B$2:$B42,0)))</f>
        <v/>
      </c>
      <c r="L21" s="6" t="str">
        <f t="array" ref="L21">IFERROR(INDEX('Solution Codes'!$A$2:$A42,MATCH(Draft!L21,'Solution Codes'!$B$2:$B42,0)))</f>
        <v/>
      </c>
    </row>
    <row r="22">
      <c r="A22" s="4">
        <v>23.0</v>
      </c>
      <c r="B22" s="5" t="s">
        <v>44</v>
      </c>
      <c r="C22" s="5" t="s">
        <v>45</v>
      </c>
      <c r="D22" s="6" t="str">
        <f t="array" ref="D22">IFERROR(INDEX('Solution Codes'!$A$2:$A42,MATCH(Draft!D22,'Solution Codes'!$B$2:$B42,0)))</f>
        <v>S17</v>
      </c>
      <c r="E22" s="6" t="str">
        <f t="array" ref="E22">IFERROR(INDEX('Solution Codes'!$A$2:$A42,MATCH(Draft!E22,'Solution Codes'!$B$2:$B42,0)))</f>
        <v/>
      </c>
      <c r="F22" s="6" t="str">
        <f t="array" ref="F22">IFERROR(INDEX('Solution Codes'!$A$2:$A42,MATCH(Draft!F22,'Solution Codes'!$B$2:$B42,0)))</f>
        <v/>
      </c>
      <c r="G22" s="6" t="str">
        <f t="array" ref="G22">IFERROR(INDEX('Solution Codes'!$A$2:$A42,MATCH(Draft!G22,'Solution Codes'!$B$2:$B42,0)))</f>
        <v/>
      </c>
      <c r="H22" s="6" t="str">
        <f t="array" ref="H22">IFERROR(INDEX('Solution Codes'!$A$2:$A42,MATCH(Draft!H22,'Solution Codes'!$B$2:$B42,0)))</f>
        <v/>
      </c>
      <c r="I22" s="6" t="str">
        <f t="array" ref="I22">IFERROR(INDEX('Solution Codes'!$A$2:$A42,MATCH(Draft!I22,'Solution Codes'!$B$2:$B42,0)))</f>
        <v/>
      </c>
      <c r="J22" s="6" t="str">
        <f t="array" ref="J22">IFERROR(INDEX('Solution Codes'!$A$2:$A42,MATCH(Draft!J22,'Solution Codes'!$B$2:$B42,0)))</f>
        <v/>
      </c>
      <c r="K22" s="6" t="str">
        <f t="array" ref="K22">IFERROR(INDEX('Solution Codes'!$A$2:$A42,MATCH(Draft!K22,'Solution Codes'!$B$2:$B42,0)))</f>
        <v/>
      </c>
      <c r="L22" s="6" t="str">
        <f t="array" ref="L22">IFERROR(INDEX('Solution Codes'!$A$2:$A42,MATCH(Draft!L22,'Solution Codes'!$B$2:$B42,0)))</f>
        <v/>
      </c>
    </row>
    <row r="23">
      <c r="A23" s="4">
        <v>24.0</v>
      </c>
      <c r="B23" s="5" t="s">
        <v>46</v>
      </c>
      <c r="C23" s="5" t="s">
        <v>47</v>
      </c>
      <c r="D23" s="6" t="str">
        <f t="array" ref="D23">IFERROR(INDEX('Solution Codes'!$A$2:$A42,MATCH(Draft!D23,'Solution Codes'!$B$2:$B42,0)))</f>
        <v>S18</v>
      </c>
      <c r="E23" s="6" t="str">
        <f t="array" ref="E23">IFERROR(INDEX('Solution Codes'!$A$2:$A42,MATCH(Draft!E23,'Solution Codes'!$B$2:$B42,0)))</f>
        <v/>
      </c>
      <c r="F23" s="6" t="str">
        <f t="array" ref="F23">IFERROR(INDEX('Solution Codes'!$A$2:$A42,MATCH(Draft!F23,'Solution Codes'!$B$2:$B42,0)))</f>
        <v/>
      </c>
      <c r="G23" s="6" t="str">
        <f t="array" ref="G23">IFERROR(INDEX('Solution Codes'!$A$2:$A42,MATCH(Draft!G23,'Solution Codes'!$B$2:$B42,0)))</f>
        <v/>
      </c>
      <c r="H23" s="6" t="str">
        <f t="array" ref="H23">IFERROR(INDEX('Solution Codes'!$A$2:$A42,MATCH(Draft!H23,'Solution Codes'!$B$2:$B42,0)))</f>
        <v/>
      </c>
      <c r="I23" s="6" t="str">
        <f t="array" ref="I23">IFERROR(INDEX('Solution Codes'!$A$2:$A42,MATCH(Draft!I23,'Solution Codes'!$B$2:$B42,0)))</f>
        <v/>
      </c>
      <c r="J23" s="6" t="str">
        <f t="array" ref="J23">IFERROR(INDEX('Solution Codes'!$A$2:$A42,MATCH(Draft!J23,'Solution Codes'!$B$2:$B42,0)))</f>
        <v/>
      </c>
      <c r="K23" s="6" t="str">
        <f t="array" ref="K23">IFERROR(INDEX('Solution Codes'!$A$2:$A42,MATCH(Draft!K23,'Solution Codes'!$B$2:$B42,0)))</f>
        <v/>
      </c>
      <c r="L23" s="6" t="str">
        <f t="array" ref="L23">IFERROR(INDEX('Solution Codes'!$A$2:$A42,MATCH(Draft!L23,'Solution Codes'!$B$2:$B42,0)))</f>
        <v/>
      </c>
    </row>
    <row r="24">
      <c r="A24" s="4">
        <v>25.0</v>
      </c>
      <c r="B24" s="5" t="s">
        <v>48</v>
      </c>
      <c r="C24" s="5" t="s">
        <v>49</v>
      </c>
      <c r="D24" s="6" t="str">
        <f t="array" ref="D24">IFERROR(INDEX('Solution Codes'!$A$2:$A42,MATCH(Draft!D24,'Solution Codes'!$B$2:$B42,0)))</f>
        <v>S20</v>
      </c>
      <c r="E24" s="6" t="str">
        <f t="array" ref="E24">IFERROR(INDEX('Solution Codes'!$A$2:$A42,MATCH(Draft!E24,'Solution Codes'!$B$2:$B42,0)))</f>
        <v/>
      </c>
      <c r="F24" s="6" t="str">
        <f t="array" ref="F24">IFERROR(INDEX('Solution Codes'!$A$2:$A42,MATCH(Draft!F24,'Solution Codes'!$B$2:$B42,0)))</f>
        <v/>
      </c>
      <c r="G24" s="6" t="str">
        <f t="array" ref="G24">IFERROR(INDEX('Solution Codes'!$A$2:$A42,MATCH(Draft!G24,'Solution Codes'!$B$2:$B42,0)))</f>
        <v/>
      </c>
      <c r="H24" s="6" t="str">
        <f t="array" ref="H24">IFERROR(INDEX('Solution Codes'!$A$2:$A42,MATCH(Draft!H24,'Solution Codes'!$B$2:$B42,0)))</f>
        <v/>
      </c>
      <c r="I24" s="6" t="str">
        <f t="array" ref="I24">IFERROR(INDEX('Solution Codes'!$A$2:$A42,MATCH(Draft!I24,'Solution Codes'!$B$2:$B42,0)))</f>
        <v/>
      </c>
      <c r="J24" s="6" t="str">
        <f t="array" ref="J24">IFERROR(INDEX('Solution Codes'!$A$2:$A42,MATCH(Draft!J24,'Solution Codes'!$B$2:$B42,0)))</f>
        <v/>
      </c>
      <c r="K24" s="6" t="str">
        <f t="array" ref="K24">IFERROR(INDEX('Solution Codes'!$A$2:$A42,MATCH(Draft!K24,'Solution Codes'!$B$2:$B42,0)))</f>
        <v/>
      </c>
      <c r="L24" s="6" t="str">
        <f t="array" ref="L24">IFERROR(INDEX('Solution Codes'!$A$2:$A42,MATCH(Draft!L24,'Solution Codes'!$B$2:$B42,0)))</f>
        <v/>
      </c>
    </row>
    <row r="25">
      <c r="A25" s="4">
        <v>26.0</v>
      </c>
      <c r="B25" s="5" t="s">
        <v>50</v>
      </c>
      <c r="C25" s="5" t="s">
        <v>51</v>
      </c>
      <c r="D25" s="6" t="str">
        <f t="array" ref="D25">IFERROR(INDEX('Solution Codes'!$A$2:$A42,MATCH(Draft!D25,'Solution Codes'!$B$2:$B42,0)))</f>
        <v>S21</v>
      </c>
      <c r="E25" s="6" t="str">
        <f t="array" ref="E25">IFERROR(INDEX('Solution Codes'!$A$2:$A42,MATCH(Draft!E25,'Solution Codes'!$B$2:$B42,0)))</f>
        <v/>
      </c>
      <c r="F25" s="6" t="str">
        <f t="array" ref="F25">IFERROR(INDEX('Solution Codes'!$A$2:$A42,MATCH(Draft!F25,'Solution Codes'!$B$2:$B42,0)))</f>
        <v/>
      </c>
      <c r="G25" s="6" t="str">
        <f t="array" ref="G25">IFERROR(INDEX('Solution Codes'!$A$2:$A42,MATCH(Draft!G25,'Solution Codes'!$B$2:$B42,0)))</f>
        <v/>
      </c>
      <c r="H25" s="6" t="str">
        <f t="array" ref="H25">IFERROR(INDEX('Solution Codes'!$A$2:$A42,MATCH(Draft!H25,'Solution Codes'!$B$2:$B42,0)))</f>
        <v/>
      </c>
      <c r="I25" s="6" t="str">
        <f t="array" ref="I25">IFERROR(INDEX('Solution Codes'!$A$2:$A42,MATCH(Draft!I25,'Solution Codes'!$B$2:$B42,0)))</f>
        <v/>
      </c>
      <c r="J25" s="6" t="str">
        <f t="array" ref="J25">IFERROR(INDEX('Solution Codes'!$A$2:$A42,MATCH(Draft!J25,'Solution Codes'!$B$2:$B42,0)))</f>
        <v/>
      </c>
      <c r="K25" s="6" t="str">
        <f t="array" ref="K25">IFERROR(INDEX('Solution Codes'!$A$2:$A42,MATCH(Draft!K25,'Solution Codes'!$B$2:$B42,0)))</f>
        <v/>
      </c>
      <c r="L25" s="6" t="str">
        <f t="array" ref="L25">IFERROR(INDEX('Solution Codes'!$A$2:$A42,MATCH(Draft!L25,'Solution Codes'!$B$2:$B42,0)))</f>
        <v/>
      </c>
    </row>
    <row r="26">
      <c r="A26" s="4">
        <v>27.0</v>
      </c>
      <c r="B26" s="5" t="s">
        <v>52</v>
      </c>
      <c r="C26" s="7" t="s">
        <v>53</v>
      </c>
      <c r="D26" s="6" t="str">
        <f t="array" ref="D26">IFERROR(INDEX('Solution Codes'!$A$2:$A42,MATCH(Draft!D26,'Solution Codes'!$B$2:$B42,0)))</f>
        <v>S16</v>
      </c>
      <c r="E26" s="6" t="str">
        <f t="array" ref="E26">IFERROR(INDEX('Solution Codes'!$A$2:$A42,MATCH(Draft!E26,'Solution Codes'!$B$2:$B42,0)))</f>
        <v/>
      </c>
      <c r="F26" s="6" t="str">
        <f t="array" ref="F26">IFERROR(INDEX('Solution Codes'!$A$2:$A42,MATCH(Draft!F26,'Solution Codes'!$B$2:$B42,0)))</f>
        <v/>
      </c>
      <c r="G26" s="6" t="str">
        <f t="array" ref="G26">IFERROR(INDEX('Solution Codes'!$A$2:$A42,MATCH(Draft!G26,'Solution Codes'!$B$2:$B42,0)))</f>
        <v/>
      </c>
      <c r="H26" s="6" t="str">
        <f t="array" ref="H26">IFERROR(INDEX('Solution Codes'!$A$2:$A42,MATCH(Draft!H26,'Solution Codes'!$B$2:$B42,0)))</f>
        <v/>
      </c>
      <c r="I26" s="6" t="str">
        <f t="array" ref="I26">IFERROR(INDEX('Solution Codes'!$A$2:$A42,MATCH(Draft!I26,'Solution Codes'!$B$2:$B42,0)))</f>
        <v/>
      </c>
      <c r="J26" s="6" t="str">
        <f t="array" ref="J26">IFERROR(INDEX('Solution Codes'!$A$2:$A42,MATCH(Draft!J26,'Solution Codes'!$B$2:$B42,0)))</f>
        <v/>
      </c>
      <c r="K26" s="6" t="str">
        <f t="array" ref="K26">IFERROR(INDEX('Solution Codes'!$A$2:$A42,MATCH(Draft!K26,'Solution Codes'!$B$2:$B42,0)))</f>
        <v/>
      </c>
      <c r="L26" s="6" t="str">
        <f t="array" ref="L26">IFERROR(INDEX('Solution Codes'!$A$2:$A42,MATCH(Draft!L26,'Solution Codes'!$B$2:$B42,0)))</f>
        <v/>
      </c>
    </row>
    <row r="27">
      <c r="A27" s="4">
        <v>28.0</v>
      </c>
      <c r="B27" s="5" t="s">
        <v>54</v>
      </c>
      <c r="C27" s="5" t="s">
        <v>55</v>
      </c>
      <c r="D27" s="6" t="str">
        <f t="array" ref="D27">IFERROR(INDEX('Solution Codes'!$A$2:$A42,MATCH(Draft!D27,'Solution Codes'!$B$2:$B42,0)))</f>
        <v>S19</v>
      </c>
      <c r="E27" s="6" t="str">
        <f t="array" ref="E27">IFERROR(INDEX('Solution Codes'!$A$2:$A42,MATCH(Draft!E27,'Solution Codes'!$B$2:$B42,0)))</f>
        <v/>
      </c>
      <c r="F27" s="6" t="str">
        <f t="array" ref="F27">IFERROR(INDEX('Solution Codes'!$A$2:$A42,MATCH(Draft!F27,'Solution Codes'!$B$2:$B42,0)))</f>
        <v/>
      </c>
      <c r="G27" s="6" t="str">
        <f t="array" ref="G27">IFERROR(INDEX('Solution Codes'!$A$2:$A42,MATCH(Draft!G27,'Solution Codes'!$B$2:$B42,0)))</f>
        <v/>
      </c>
      <c r="H27" s="6" t="str">
        <f t="array" ref="H27">IFERROR(INDEX('Solution Codes'!$A$2:$A42,MATCH(Draft!H27,'Solution Codes'!$B$2:$B42,0)))</f>
        <v/>
      </c>
      <c r="I27" s="6" t="str">
        <f t="array" ref="I27">IFERROR(INDEX('Solution Codes'!$A$2:$A42,MATCH(Draft!I27,'Solution Codes'!$B$2:$B42,0)))</f>
        <v/>
      </c>
      <c r="J27" s="6" t="str">
        <f t="array" ref="J27">IFERROR(INDEX('Solution Codes'!$A$2:$A42,MATCH(Draft!J27,'Solution Codes'!$B$2:$B42,0)))</f>
        <v/>
      </c>
      <c r="K27" s="6" t="str">
        <f t="array" ref="K27">IFERROR(INDEX('Solution Codes'!$A$2:$A42,MATCH(Draft!K27,'Solution Codes'!$B$2:$B42,0)))</f>
        <v/>
      </c>
      <c r="L27" s="6" t="str">
        <f t="array" ref="L27">IFERROR(INDEX('Solution Codes'!$A$2:$A42,MATCH(Draft!L27,'Solution Codes'!$B$2:$B42,0)))</f>
        <v/>
      </c>
    </row>
    <row r="28">
      <c r="A28" s="4">
        <v>29.0</v>
      </c>
      <c r="B28" s="5" t="s">
        <v>56</v>
      </c>
      <c r="C28" s="5" t="s">
        <v>57</v>
      </c>
      <c r="D28" s="6" t="str">
        <f t="array" ref="D28">IFERROR(INDEX('Solution Codes'!$A$2:$A42,MATCH(Draft!D28,'Solution Codes'!$B$2:$B42,0)))</f>
        <v>S5</v>
      </c>
      <c r="E28" s="6" t="str">
        <f t="array" ref="E28">IFERROR(INDEX('Solution Codes'!$A$2:$A42,MATCH(Draft!E28,'Solution Codes'!$B$2:$B42,0)))</f>
        <v/>
      </c>
      <c r="F28" s="6" t="str">
        <f t="array" ref="F28">IFERROR(INDEX('Solution Codes'!$A$2:$A42,MATCH(Draft!F28,'Solution Codes'!$B$2:$B42,0)))</f>
        <v/>
      </c>
      <c r="G28" s="6" t="str">
        <f t="array" ref="G28">IFERROR(INDEX('Solution Codes'!$A$2:$A42,MATCH(Draft!G28,'Solution Codes'!$B$2:$B42,0)))</f>
        <v/>
      </c>
      <c r="H28" s="6" t="str">
        <f t="array" ref="H28">IFERROR(INDEX('Solution Codes'!$A$2:$A42,MATCH(Draft!H28,'Solution Codes'!$B$2:$B42,0)))</f>
        <v/>
      </c>
      <c r="I28" s="6" t="str">
        <f t="array" ref="I28">IFERROR(INDEX('Solution Codes'!$A$2:$A42,MATCH(Draft!I28,'Solution Codes'!$B$2:$B42,0)))</f>
        <v/>
      </c>
      <c r="J28" s="6" t="str">
        <f t="array" ref="J28">IFERROR(INDEX('Solution Codes'!$A$2:$A42,MATCH(Draft!J28,'Solution Codes'!$B$2:$B42,0)))</f>
        <v/>
      </c>
      <c r="K28" s="6" t="str">
        <f t="array" ref="K28">IFERROR(INDEX('Solution Codes'!$A$2:$A42,MATCH(Draft!K28,'Solution Codes'!$B$2:$B42,0)))</f>
        <v/>
      </c>
      <c r="L28" s="6" t="str">
        <f t="array" ref="L28">IFERROR(INDEX('Solution Codes'!$A$2:$A42,MATCH(Draft!L28,'Solution Codes'!$B$2:$B42,0)))</f>
        <v/>
      </c>
    </row>
    <row r="29">
      <c r="A29" s="4">
        <v>30.0</v>
      </c>
      <c r="B29" s="5" t="s">
        <v>58</v>
      </c>
      <c r="C29" s="5" t="s">
        <v>59</v>
      </c>
      <c r="D29" s="6" t="str">
        <f t="array" ref="D29">IFERROR(INDEX('Solution Codes'!$A$2:$A42,MATCH(Draft!D29,'Solution Codes'!$B$2:$B42,0)))</f>
        <v>S5</v>
      </c>
      <c r="E29" s="6" t="str">
        <f t="array" ref="E29">IFERROR(INDEX('Solution Codes'!$A$2:$A42,MATCH(Draft!E29,'Solution Codes'!$B$2:$B42,0)))</f>
        <v/>
      </c>
      <c r="F29" s="6" t="str">
        <f t="array" ref="F29">IFERROR(INDEX('Solution Codes'!$A$2:$A42,MATCH(Draft!F29,'Solution Codes'!$B$2:$B42,0)))</f>
        <v/>
      </c>
      <c r="G29" s="6" t="str">
        <f t="array" ref="G29">IFERROR(INDEX('Solution Codes'!$A$2:$A42,MATCH(Draft!G29,'Solution Codes'!$B$2:$B42,0)))</f>
        <v/>
      </c>
      <c r="H29" s="6" t="str">
        <f t="array" ref="H29">IFERROR(INDEX('Solution Codes'!$A$2:$A42,MATCH(Draft!H29,'Solution Codes'!$B$2:$B42,0)))</f>
        <v/>
      </c>
      <c r="I29" s="6" t="str">
        <f t="array" ref="I29">IFERROR(INDEX('Solution Codes'!$A$2:$A42,MATCH(Draft!I29,'Solution Codes'!$B$2:$B42,0)))</f>
        <v/>
      </c>
      <c r="J29" s="6" t="str">
        <f t="array" ref="J29">IFERROR(INDEX('Solution Codes'!$A$2:$A42,MATCH(Draft!J29,'Solution Codes'!$B$2:$B42,0)))</f>
        <v/>
      </c>
      <c r="K29" s="6" t="str">
        <f t="array" ref="K29">IFERROR(INDEX('Solution Codes'!$A$2:$A42,MATCH(Draft!K29,'Solution Codes'!$B$2:$B42,0)))</f>
        <v/>
      </c>
      <c r="L29" s="6" t="str">
        <f t="array" ref="L29">IFERROR(INDEX('Solution Codes'!$A$2:$A42,MATCH(Draft!L29,'Solution Codes'!$B$2:$B42,0)))</f>
        <v/>
      </c>
    </row>
    <row r="30">
      <c r="A30" s="4">
        <v>31.0</v>
      </c>
      <c r="B30" s="5" t="s">
        <v>60</v>
      </c>
      <c r="C30" s="5" t="s">
        <v>61</v>
      </c>
      <c r="D30" s="6" t="str">
        <f t="array" ref="D30">IFERROR(INDEX('Solution Codes'!$A$2:$A42,MATCH(Draft!D30,'Solution Codes'!$B$2:$B42,0)))</f>
        <v>S1</v>
      </c>
      <c r="E30" s="6" t="str">
        <f t="array" ref="E30">IFERROR(INDEX('Solution Codes'!$A$2:$A42,MATCH(Draft!E30,'Solution Codes'!$B$2:$B42,0)))</f>
        <v/>
      </c>
      <c r="F30" s="6" t="str">
        <f t="array" ref="F30">IFERROR(INDEX('Solution Codes'!$A$2:$A42,MATCH(Draft!F30,'Solution Codes'!$B$2:$B42,0)))</f>
        <v/>
      </c>
      <c r="G30" s="6" t="str">
        <f t="array" ref="G30">IFERROR(INDEX('Solution Codes'!$A$2:$A42,MATCH(Draft!G30,'Solution Codes'!$B$2:$B42,0)))</f>
        <v/>
      </c>
      <c r="H30" s="6" t="str">
        <f t="array" ref="H30">IFERROR(INDEX('Solution Codes'!$A$2:$A42,MATCH(Draft!H30,'Solution Codes'!$B$2:$B42,0)))</f>
        <v/>
      </c>
      <c r="I30" s="6" t="str">
        <f t="array" ref="I30">IFERROR(INDEX('Solution Codes'!$A$2:$A42,MATCH(Draft!I30,'Solution Codes'!$B$2:$B42,0)))</f>
        <v/>
      </c>
      <c r="J30" s="6" t="str">
        <f t="array" ref="J30">IFERROR(INDEX('Solution Codes'!$A$2:$A42,MATCH(Draft!J30,'Solution Codes'!$B$2:$B42,0)))</f>
        <v/>
      </c>
      <c r="K30" s="6" t="str">
        <f t="array" ref="K30">IFERROR(INDEX('Solution Codes'!$A$2:$A42,MATCH(Draft!K30,'Solution Codes'!$B$2:$B42,0)))</f>
        <v/>
      </c>
      <c r="L30" s="6" t="str">
        <f t="array" ref="L30">IFERROR(INDEX('Solution Codes'!$A$2:$A42,MATCH(Draft!L30,'Solution Codes'!$B$2:$B42,0)))</f>
        <v/>
      </c>
    </row>
    <row r="31">
      <c r="A31" s="4">
        <v>32.0</v>
      </c>
      <c r="B31" s="5" t="s">
        <v>62</v>
      </c>
      <c r="C31" s="5" t="s">
        <v>63</v>
      </c>
      <c r="D31" s="6" t="str">
        <f t="array" ref="D31">IFERROR(INDEX('Solution Codes'!$A$2:$A42,MATCH(Draft!D31,'Solution Codes'!$B$2:$B42,0)))</f>
        <v>S1</v>
      </c>
      <c r="E31" s="6" t="str">
        <f t="array" ref="E31">IFERROR(INDEX('Solution Codes'!$A$2:$A42,MATCH(Draft!E31,'Solution Codes'!$B$2:$B42,0)))</f>
        <v/>
      </c>
      <c r="F31" s="6" t="str">
        <f t="array" ref="F31">IFERROR(INDEX('Solution Codes'!$A$2:$A42,MATCH(Draft!F31,'Solution Codes'!$B$2:$B42,0)))</f>
        <v/>
      </c>
      <c r="G31" s="6" t="str">
        <f t="array" ref="G31">IFERROR(INDEX('Solution Codes'!$A$2:$A42,MATCH(Draft!G31,'Solution Codes'!$B$2:$B42,0)))</f>
        <v/>
      </c>
      <c r="H31" s="6" t="str">
        <f t="array" ref="H31">IFERROR(INDEX('Solution Codes'!$A$2:$A42,MATCH(Draft!H31,'Solution Codes'!$B$2:$B42,0)))</f>
        <v/>
      </c>
      <c r="I31" s="6" t="str">
        <f t="array" ref="I31">IFERROR(INDEX('Solution Codes'!$A$2:$A42,MATCH(Draft!I31,'Solution Codes'!$B$2:$B42,0)))</f>
        <v/>
      </c>
      <c r="J31" s="6" t="str">
        <f t="array" ref="J31">IFERROR(INDEX('Solution Codes'!$A$2:$A42,MATCH(Draft!J31,'Solution Codes'!$B$2:$B42,0)))</f>
        <v/>
      </c>
      <c r="K31" s="6" t="str">
        <f t="array" ref="K31">IFERROR(INDEX('Solution Codes'!$A$2:$A42,MATCH(Draft!K31,'Solution Codes'!$B$2:$B42,0)))</f>
        <v/>
      </c>
      <c r="L31" s="6" t="str">
        <f t="array" ref="L31">IFERROR(INDEX('Solution Codes'!$A$2:$A42,MATCH(Draft!L31,'Solution Codes'!$B$2:$B42,0)))</f>
        <v/>
      </c>
    </row>
    <row r="32">
      <c r="A32" s="4">
        <v>33.0</v>
      </c>
      <c r="B32" s="5" t="s">
        <v>64</v>
      </c>
      <c r="C32" s="5" t="s">
        <v>65</v>
      </c>
      <c r="D32" s="6" t="str">
        <f t="array" ref="D32">IFERROR(INDEX('Solution Codes'!$A$2:$A42,MATCH(Draft!D32,'Solution Codes'!$B$2:$B42,0)))</f>
        <v>S2</v>
      </c>
      <c r="E32" s="6" t="str">
        <f t="array" ref="E32">IFERROR(INDEX('Solution Codes'!$A$2:$A42,MATCH(Draft!E32,'Solution Codes'!$B$2:$B42,0)))</f>
        <v>S1</v>
      </c>
      <c r="F32" s="6" t="str">
        <f t="array" ref="F32">IFERROR(INDEX('Solution Codes'!$A$2:$A42,MATCH(Draft!F32,'Solution Codes'!$B$2:$B42,0)))</f>
        <v>S7</v>
      </c>
      <c r="G32" s="6" t="str">
        <f t="array" ref="G32">IFERROR(INDEX('Solution Codes'!$A$2:$A42,MATCH(Draft!G32,'Solution Codes'!$B$2:$B42,0)))</f>
        <v>S3</v>
      </c>
      <c r="H32" s="6" t="str">
        <f t="array" ref="H32">IFERROR(INDEX('Solution Codes'!$A$2:$A42,MATCH(Draft!H32,'Solution Codes'!$B$2:$B42,0)))</f>
        <v>S10</v>
      </c>
      <c r="I32" s="6" t="str">
        <f t="array" ref="I32">IFERROR(INDEX('Solution Codes'!$A$2:$A42,MATCH(Draft!I32,'Solution Codes'!$B$2:$B42,0)))</f>
        <v>S13</v>
      </c>
      <c r="J32" s="6" t="str">
        <f t="array" ref="J32">IFERROR(INDEX('Solution Codes'!$A$2:$A42,MATCH(Draft!J32,'Solution Codes'!$B$2:$B42,0)))</f>
        <v>S19</v>
      </c>
      <c r="K32" s="6" t="str">
        <f t="array" ref="K32">IFERROR(INDEX('Solution Codes'!$A$2:$A42,MATCH(Draft!K32,'Solution Codes'!$B$2:$B42,0)))</f>
        <v>S20</v>
      </c>
      <c r="L32" s="6" t="str">
        <f t="array" ref="L32">IFERROR(INDEX('Solution Codes'!$A$2:$A42,MATCH(Draft!L32,'Solution Codes'!$B$2:$B42,0)))</f>
        <v>S12</v>
      </c>
    </row>
    <row r="33">
      <c r="A33" s="4">
        <v>34.0</v>
      </c>
      <c r="B33" s="5" t="s">
        <v>66</v>
      </c>
      <c r="C33" s="5" t="s">
        <v>67</v>
      </c>
      <c r="D33" s="6" t="str">
        <f t="array" ref="D33">IFERROR(INDEX('Solution Codes'!$A$2:$A42,MATCH(Draft!D33,'Solution Codes'!$B$2:$B42,0)))</f>
        <v>S2</v>
      </c>
      <c r="E33" s="6" t="str">
        <f t="array" ref="E33">IFERROR(INDEX('Solution Codes'!$A$2:$A42,MATCH(Draft!E33,'Solution Codes'!$B$2:$B42,0)))</f>
        <v>S1</v>
      </c>
      <c r="F33" s="6" t="str">
        <f t="array" ref="F33">IFERROR(INDEX('Solution Codes'!$A$2:$A42,MATCH(Draft!F33,'Solution Codes'!$B$2:$B42,0)))</f>
        <v>S7</v>
      </c>
      <c r="G33" s="6" t="str">
        <f t="array" ref="G33">IFERROR(INDEX('Solution Codes'!$A$2:$A42,MATCH(Draft!G33,'Solution Codes'!$B$2:$B42,0)))</f>
        <v>S3</v>
      </c>
      <c r="H33" s="6" t="str">
        <f t="array" ref="H33">IFERROR(INDEX('Solution Codes'!$A$2:$A42,MATCH(Draft!H33,'Solution Codes'!$B$2:$B42,0)))</f>
        <v>S10</v>
      </c>
      <c r="I33" s="6" t="str">
        <f t="array" ref="I33">IFERROR(INDEX('Solution Codes'!$A$2:$A42,MATCH(Draft!I33,'Solution Codes'!$B$2:$B42,0)))</f>
        <v>S13</v>
      </c>
      <c r="J33" s="6" t="str">
        <f t="array" ref="J33">IFERROR(INDEX('Solution Codes'!$A$2:$A42,MATCH(Draft!J33,'Solution Codes'!$B$2:$B42,0)))</f>
        <v>S19</v>
      </c>
      <c r="K33" s="6" t="str">
        <f t="array" ref="K33">IFERROR(INDEX('Solution Codes'!$A$2:$A42,MATCH(Draft!K33,'Solution Codes'!$B$2:$B42,0)))</f>
        <v>S20</v>
      </c>
      <c r="L33" s="6" t="str">
        <f t="array" ref="L33">IFERROR(INDEX('Solution Codes'!$A$2:$A42,MATCH(Draft!L33,'Solution Codes'!$B$2:$B42,0)))</f>
        <v>S12</v>
      </c>
    </row>
    <row r="34">
      <c r="A34" s="4">
        <v>35.0</v>
      </c>
      <c r="B34" s="5" t="s">
        <v>68</v>
      </c>
      <c r="C34" s="5" t="s">
        <v>69</v>
      </c>
      <c r="D34" s="6" t="str">
        <f t="array" ref="D34">IFERROR(INDEX('Solution Codes'!$A$2:$A42,MATCH(Draft!D34,'Solution Codes'!$B$2:$B42,0)))</f>
        <v>S2</v>
      </c>
      <c r="E34" s="6" t="str">
        <f t="array" ref="E34">IFERROR(INDEX('Solution Codes'!$A$2:$A42,MATCH(Draft!E34,'Solution Codes'!$B$2:$B42,0)))</f>
        <v>S1</v>
      </c>
      <c r="F34" s="6" t="str">
        <f t="array" ref="F34">IFERROR(INDEX('Solution Codes'!$A$2:$A42,MATCH(Draft!F34,'Solution Codes'!$B$2:$B42,0)))</f>
        <v>S3</v>
      </c>
      <c r="G34" s="6" t="str">
        <f t="array" ref="G34">IFERROR(INDEX('Solution Codes'!$A$2:$A42,MATCH(Draft!G34,'Solution Codes'!$B$2:$B42,0)))</f>
        <v>S11</v>
      </c>
      <c r="H34" s="6" t="str">
        <f t="array" ref="H34">IFERROR(INDEX('Solution Codes'!$A$2:$A42,MATCH(Draft!H34,'Solution Codes'!$B$2:$B42,0)))</f>
        <v>S12</v>
      </c>
      <c r="I34" s="6" t="str">
        <f t="array" ref="I34">IFERROR(INDEX('Solution Codes'!$A$2:$A42,MATCH(Draft!I34,'Solution Codes'!$B$2:$B42,0)))</f>
        <v/>
      </c>
      <c r="J34" s="6" t="str">
        <f t="array" ref="J34">IFERROR(INDEX('Solution Codes'!$A$2:$A42,MATCH(Draft!J34,'Solution Codes'!$B$2:$B42,0)))</f>
        <v/>
      </c>
      <c r="K34" s="6" t="str">
        <f t="array" ref="K34">IFERROR(INDEX('Solution Codes'!$A$2:$A42,MATCH(Draft!K34,'Solution Codes'!$B$2:$B42,0)))</f>
        <v/>
      </c>
      <c r="L34" s="6" t="str">
        <f t="array" ref="L34">IFERROR(INDEX('Solution Codes'!$A$2:$A42,MATCH(Draft!L34,'Solution Codes'!$B$2:$B42,0)))</f>
        <v/>
      </c>
    </row>
    <row r="35">
      <c r="A35" s="4">
        <v>36.0</v>
      </c>
      <c r="B35" s="5" t="s">
        <v>70</v>
      </c>
      <c r="C35" s="5" t="s">
        <v>71</v>
      </c>
      <c r="D35" s="6" t="str">
        <f t="array" ref="D35">IFERROR(INDEX('Solution Codes'!$A$2:$A42,MATCH(Draft!D35,'Solution Codes'!$B$2:$B42,0)))</f>
        <v>S2</v>
      </c>
      <c r="E35" s="6" t="str">
        <f t="array" ref="E35">IFERROR(INDEX('Solution Codes'!$A$2:$A42,MATCH(Draft!E35,'Solution Codes'!$B$2:$B42,0)))</f>
        <v>S1</v>
      </c>
      <c r="F35" s="6" t="str">
        <f t="array" ref="F35">IFERROR(INDEX('Solution Codes'!$A$2:$A42,MATCH(Draft!F35,'Solution Codes'!$B$2:$B42,0)))</f>
        <v>S3</v>
      </c>
      <c r="G35" s="6" t="str">
        <f t="array" ref="G35">IFERROR(INDEX('Solution Codes'!$A$2:$A42,MATCH(Draft!G35,'Solution Codes'!$B$2:$B42,0)))</f>
        <v>S11</v>
      </c>
      <c r="H35" s="6" t="str">
        <f t="array" ref="H35">IFERROR(INDEX('Solution Codes'!$A$2:$A42,MATCH(Draft!H35,'Solution Codes'!$B$2:$B42,0)))</f>
        <v>S12</v>
      </c>
      <c r="I35" s="6" t="str">
        <f t="array" ref="I35">IFERROR(INDEX('Solution Codes'!$A$2:$A42,MATCH(Draft!I35,'Solution Codes'!$B$2:$B42,0)))</f>
        <v/>
      </c>
      <c r="J35" s="6" t="str">
        <f t="array" ref="J35">IFERROR(INDEX('Solution Codes'!$A$2:$A42,MATCH(Draft!J35,'Solution Codes'!$B$2:$B42,0)))</f>
        <v/>
      </c>
      <c r="K35" s="6" t="str">
        <f t="array" ref="K35">IFERROR(INDEX('Solution Codes'!$A$2:$A42,MATCH(Draft!K35,'Solution Codes'!$B$2:$B42,0)))</f>
        <v/>
      </c>
      <c r="L35" s="6" t="str">
        <f t="array" ref="L35">IFERROR(INDEX('Solution Codes'!$A$2:$A42,MATCH(Draft!L35,'Solution Codes'!$B$2:$B42,0)))</f>
        <v/>
      </c>
    </row>
    <row r="36">
      <c r="A36" s="4">
        <v>37.0</v>
      </c>
      <c r="B36" s="5" t="s">
        <v>72</v>
      </c>
      <c r="C36" s="5" t="s">
        <v>73</v>
      </c>
      <c r="D36" s="6" t="str">
        <f t="array" ref="D36">IFERROR(INDEX('Solution Codes'!$A$2:$A42,MATCH(Draft!D36,'Solution Codes'!$B$2:$B42,0)))</f>
        <v>S12</v>
      </c>
      <c r="E36" s="6" t="str">
        <f t="array" ref="E36">IFERROR(INDEX('Solution Codes'!$A$2:$A42,MATCH(Draft!E36,'Solution Codes'!$B$2:$B42,0)))</f>
        <v>S16</v>
      </c>
      <c r="F36" s="6" t="str">
        <f t="array" ref="F36">IFERROR(INDEX('Solution Codes'!$A$2:$A42,MATCH(Draft!F36,'Solution Codes'!$B$2:$B42,0)))</f>
        <v/>
      </c>
      <c r="G36" s="6" t="str">
        <f t="array" ref="G36">IFERROR(INDEX('Solution Codes'!$A$2:$A42,MATCH(Draft!G36,'Solution Codes'!$B$2:$B42,0)))</f>
        <v/>
      </c>
      <c r="H36" s="6" t="str">
        <f t="array" ref="H36">IFERROR(INDEX('Solution Codes'!$A$2:$A42,MATCH(Draft!H36,'Solution Codes'!$B$2:$B42,0)))</f>
        <v/>
      </c>
      <c r="I36" s="6" t="str">
        <f t="array" ref="I36">IFERROR(INDEX('Solution Codes'!$A$2:$A42,MATCH(Draft!I36,'Solution Codes'!$B$2:$B42,0)))</f>
        <v/>
      </c>
      <c r="J36" s="6" t="str">
        <f t="array" ref="J36">IFERROR(INDEX('Solution Codes'!$A$2:$A42,MATCH(Draft!J36,'Solution Codes'!$B$2:$B42,0)))</f>
        <v/>
      </c>
      <c r="K36" s="6" t="str">
        <f t="array" ref="K36">IFERROR(INDEX('Solution Codes'!$A$2:$A42,MATCH(Draft!K36,'Solution Codes'!$B$2:$B42,0)))</f>
        <v/>
      </c>
      <c r="L36" s="6" t="str">
        <f t="array" ref="L36">IFERROR(INDEX('Solution Codes'!$A$2:$A42,MATCH(Draft!L36,'Solution Codes'!$B$2:$B42,0)))</f>
        <v/>
      </c>
    </row>
    <row r="37">
      <c r="A37" s="4">
        <v>38.0</v>
      </c>
      <c r="B37" s="5" t="s">
        <v>74</v>
      </c>
      <c r="C37" s="5" t="s">
        <v>75</v>
      </c>
      <c r="D37" s="6" t="str">
        <f t="array" ref="D37">IFERROR(INDEX('Solution Codes'!$A$2:$A42,MATCH(Draft!D37,'Solution Codes'!$B$2:$B42,0)))</f>
        <v>S3</v>
      </c>
      <c r="E37" s="6" t="str">
        <f t="array" ref="E37">IFERROR(INDEX('Solution Codes'!$A$2:$A42,MATCH(Draft!E37,'Solution Codes'!$B$2:$B42,0)))</f>
        <v>S10</v>
      </c>
      <c r="F37" s="6" t="str">
        <f t="array" ref="F37">IFERROR(INDEX('Solution Codes'!$A$2:$A42,MATCH(Draft!F37,'Solution Codes'!$B$2:$B42,0)))</f>
        <v>S9</v>
      </c>
      <c r="G37" s="6" t="str">
        <f t="array" ref="G37">IFERROR(INDEX('Solution Codes'!$A$2:$A42,MATCH(Draft!G37,'Solution Codes'!$B$2:$B42,0)))</f>
        <v>S12</v>
      </c>
      <c r="H37" s="6" t="str">
        <f t="array" ref="H37">IFERROR(INDEX('Solution Codes'!$A$2:$A42,MATCH(Draft!H37,'Solution Codes'!$B$2:$B42,0)))</f>
        <v>S2</v>
      </c>
      <c r="I37" s="6" t="str">
        <f t="array" ref="I37">IFERROR(INDEX('Solution Codes'!$A$2:$A42,MATCH(Draft!I37,'Solution Codes'!$B$2:$B42,0)))</f>
        <v>S7</v>
      </c>
      <c r="J37" s="6" t="str">
        <f t="array" ref="J37">IFERROR(INDEX('Solution Codes'!$A$2:$A42,MATCH(Draft!J37,'Solution Codes'!$B$2:$B42,0)))</f>
        <v>S16</v>
      </c>
      <c r="K37" s="6" t="str">
        <f t="array" ref="K37">IFERROR(INDEX('Solution Codes'!$A$2:$A42,MATCH(Draft!K37,'Solution Codes'!$B$2:$B42,0)))</f>
        <v/>
      </c>
      <c r="L37" s="6" t="str">
        <f t="array" ref="L37">IFERROR(INDEX('Solution Codes'!$A$2:$A42,MATCH(Draft!L37,'Solution Codes'!$B$2:$B42,0)))</f>
        <v/>
      </c>
    </row>
    <row r="38">
      <c r="A38" s="4">
        <v>39.0</v>
      </c>
      <c r="B38" s="5" t="s">
        <v>76</v>
      </c>
      <c r="C38" s="5" t="s">
        <v>77</v>
      </c>
      <c r="D38" s="6" t="str">
        <f t="array" ref="D38">IFERROR(INDEX('Solution Codes'!$A$2:$A42,MATCH(Draft!D38,'Solution Codes'!$B$2:$B42,0)))</f>
        <v>S3</v>
      </c>
      <c r="E38" s="6" t="str">
        <f t="array" ref="E38">IFERROR(INDEX('Solution Codes'!$A$2:$A42,MATCH(Draft!E38,'Solution Codes'!$B$2:$B42,0)))</f>
        <v>S10</v>
      </c>
      <c r="F38" s="6" t="str">
        <f t="array" ref="F38">IFERROR(INDEX('Solution Codes'!$A$2:$A42,MATCH(Draft!F38,'Solution Codes'!$B$2:$B42,0)))</f>
        <v>S9</v>
      </c>
      <c r="G38" s="6" t="str">
        <f t="array" ref="G38">IFERROR(INDEX('Solution Codes'!$A$2:$A42,MATCH(Draft!G38,'Solution Codes'!$B$2:$B42,0)))</f>
        <v>S12</v>
      </c>
      <c r="H38" s="6" t="str">
        <f t="array" ref="H38">IFERROR(INDEX('Solution Codes'!$A$2:$A42,MATCH(Draft!H38,'Solution Codes'!$B$2:$B42,0)))</f>
        <v>S2</v>
      </c>
      <c r="I38" s="6" t="str">
        <f t="array" ref="I38">IFERROR(INDEX('Solution Codes'!$A$2:$A42,MATCH(Draft!I38,'Solution Codes'!$B$2:$B42,0)))</f>
        <v>S7</v>
      </c>
      <c r="J38" s="6" t="str">
        <f t="array" ref="J38">IFERROR(INDEX('Solution Codes'!$A$2:$A42,MATCH(Draft!J38,'Solution Codes'!$B$2:$B42,0)))</f>
        <v>S16</v>
      </c>
      <c r="K38" s="6" t="str">
        <f t="array" ref="K38">IFERROR(INDEX('Solution Codes'!$A$2:$A42,MATCH(Draft!K38,'Solution Codes'!$B$2:$B42,0)))</f>
        <v/>
      </c>
      <c r="L38" s="6" t="str">
        <f t="array" ref="L38">IFERROR(INDEX('Solution Codes'!$A$2:$A42,MATCH(Draft!L38,'Solution Codes'!$B$2:$B42,0)))</f>
        <v/>
      </c>
    </row>
    <row r="39">
      <c r="A39" s="4">
        <v>40.0</v>
      </c>
      <c r="B39" s="5" t="s">
        <v>78</v>
      </c>
      <c r="C39" s="5" t="s">
        <v>79</v>
      </c>
      <c r="D39" s="6" t="str">
        <f t="array" ref="D39">IFERROR(INDEX('Solution Codes'!$A$2:$A42,MATCH(Draft!D39,'Solution Codes'!$B$2:$B42,0)))</f>
        <v>S2</v>
      </c>
      <c r="E39" s="6" t="str">
        <f t="array" ref="E39">IFERROR(INDEX('Solution Codes'!$A$2:$A42,MATCH(Draft!E39,'Solution Codes'!$B$2:$B42,0)))</f>
        <v>S10</v>
      </c>
      <c r="F39" s="6" t="str">
        <f t="array" ref="F39">IFERROR(INDEX('Solution Codes'!$A$2:$A42,MATCH(Draft!F39,'Solution Codes'!$B$2:$B42,0)))</f>
        <v>S1</v>
      </c>
      <c r="G39" s="6" t="str">
        <f t="array" ref="G39">IFERROR(INDEX('Solution Codes'!$A$2:$A42,MATCH(Draft!G39,'Solution Codes'!$B$2:$B42,0)))</f>
        <v>S11</v>
      </c>
      <c r="H39" s="6" t="str">
        <f t="array" ref="H39">IFERROR(INDEX('Solution Codes'!$A$2:$A42,MATCH(Draft!H39,'Solution Codes'!$B$2:$B42,0)))</f>
        <v/>
      </c>
      <c r="I39" s="6" t="str">
        <f t="array" ref="I39">IFERROR(INDEX('Solution Codes'!$A$2:$A42,MATCH(Draft!I39,'Solution Codes'!$B$2:$B42,0)))</f>
        <v/>
      </c>
      <c r="J39" s="6" t="str">
        <f t="array" ref="J39">IFERROR(INDEX('Solution Codes'!$A$2:$A42,MATCH(Draft!J39,'Solution Codes'!$B$2:$B42,0)))</f>
        <v/>
      </c>
      <c r="K39" s="6" t="str">
        <f t="array" ref="K39">IFERROR(INDEX('Solution Codes'!$A$2:$A42,MATCH(Draft!K39,'Solution Codes'!$B$2:$B42,0)))</f>
        <v/>
      </c>
      <c r="L39" s="6" t="str">
        <f t="array" ref="L39">IFERROR(INDEX('Solution Codes'!$A$2:$A42,MATCH(Draft!L39,'Solution Codes'!$B$2:$B42,0)))</f>
        <v/>
      </c>
    </row>
    <row r="40">
      <c r="A40" s="4">
        <v>41.0</v>
      </c>
      <c r="B40" s="5" t="s">
        <v>80</v>
      </c>
      <c r="C40" s="5" t="s">
        <v>81</v>
      </c>
      <c r="D40" s="6" t="str">
        <f t="array" ref="D40">IFERROR(INDEX('Solution Codes'!$A$2:$A42,MATCH(Draft!D40,'Solution Codes'!$B$2:$B42,0)))</f>
        <v>S14</v>
      </c>
      <c r="E40" s="6" t="str">
        <f t="array" ref="E40">IFERROR(INDEX('Solution Codes'!$A$2:$A42,MATCH(Draft!E40,'Solution Codes'!$B$2:$B42,0)))</f>
        <v>S16</v>
      </c>
      <c r="F40" s="6" t="str">
        <f t="array" ref="F40">IFERROR(INDEX('Solution Codes'!$A$2:$A42,MATCH(Draft!F40,'Solution Codes'!$B$2:$B42,0)))</f>
        <v/>
      </c>
      <c r="G40" s="6" t="str">
        <f t="array" ref="G40">IFERROR(INDEX('Solution Codes'!$A$2:$A42,MATCH(Draft!G40,'Solution Codes'!$B$2:$B42,0)))</f>
        <v/>
      </c>
      <c r="H40" s="6" t="str">
        <f t="array" ref="H40">IFERROR(INDEX('Solution Codes'!$A$2:$A42,MATCH(Draft!H40,'Solution Codes'!$B$2:$B42,0)))</f>
        <v/>
      </c>
      <c r="I40" s="6" t="str">
        <f t="array" ref="I40">IFERROR(INDEX('Solution Codes'!$A$2:$A42,MATCH(Draft!I40,'Solution Codes'!$B$2:$B42,0)))</f>
        <v/>
      </c>
      <c r="J40" s="6" t="str">
        <f t="array" ref="J40">IFERROR(INDEX('Solution Codes'!$A$2:$A42,MATCH(Draft!J40,'Solution Codes'!$B$2:$B42,0)))</f>
        <v/>
      </c>
      <c r="K40" s="6" t="str">
        <f t="array" ref="K40">IFERROR(INDEX('Solution Codes'!$A$2:$A42,MATCH(Draft!K40,'Solution Codes'!$B$2:$B42,0)))</f>
        <v/>
      </c>
      <c r="L40" s="6" t="str">
        <f t="array" ref="L40">IFERROR(INDEX('Solution Codes'!$A$2:$A42,MATCH(Draft!L40,'Solution Codes'!$B$2:$B42,0)))</f>
        <v/>
      </c>
    </row>
    <row r="41">
      <c r="A41" s="4">
        <v>42.0</v>
      </c>
      <c r="B41" s="5" t="s">
        <v>82</v>
      </c>
      <c r="C41" s="5" t="s">
        <v>83</v>
      </c>
      <c r="D41" s="6" t="str">
        <f t="array" ref="D41">IFERROR(INDEX('Solution Codes'!$A$2:$A42,MATCH(Draft!D41,'Solution Codes'!$B$2:$B42,0)))</f>
        <v>S14</v>
      </c>
      <c r="E41" s="6" t="str">
        <f t="array" ref="E41">IFERROR(INDEX('Solution Codes'!$A$2:$A42,MATCH(Draft!E41,'Solution Codes'!$B$2:$B42,0)))</f>
        <v>S16</v>
      </c>
      <c r="F41" s="6" t="str">
        <f t="array" ref="F41">IFERROR(INDEX('Solution Codes'!$A$2:$A42,MATCH(Draft!F41,'Solution Codes'!$B$2:$B42,0)))</f>
        <v/>
      </c>
      <c r="G41" s="6" t="str">
        <f t="array" ref="G41">IFERROR(INDEX('Solution Codes'!$A$2:$A42,MATCH(Draft!G41,'Solution Codes'!$B$2:$B42,0)))</f>
        <v/>
      </c>
      <c r="H41" s="6" t="str">
        <f t="array" ref="H41">IFERROR(INDEX('Solution Codes'!$A$2:$A42,MATCH(Draft!H41,'Solution Codes'!$B$2:$B42,0)))</f>
        <v/>
      </c>
      <c r="I41" s="6" t="str">
        <f t="array" ref="I41">IFERROR(INDEX('Solution Codes'!$A$2:$A42,MATCH(Draft!I41,'Solution Codes'!$B$2:$B42,0)))</f>
        <v/>
      </c>
      <c r="J41" s="6" t="str">
        <f t="array" ref="J41">IFERROR(INDEX('Solution Codes'!$A$2:$A42,MATCH(Draft!J41,'Solution Codes'!$B$2:$B42,0)))</f>
        <v/>
      </c>
      <c r="K41" s="6" t="str">
        <f t="array" ref="K41">IFERROR(INDEX('Solution Codes'!$A$2:$A42,MATCH(Draft!K41,'Solution Codes'!$B$2:$B42,0)))</f>
        <v/>
      </c>
      <c r="L41" s="6" t="str">
        <f t="array" ref="L41">IFERROR(INDEX('Solution Codes'!$A$2:$A42,MATCH(Draft!L41,'Solution Codes'!$B$2:$B42,0)))</f>
        <v/>
      </c>
    </row>
    <row r="42">
      <c r="A42" s="4">
        <v>43.0</v>
      </c>
      <c r="B42" s="5" t="s">
        <v>84</v>
      </c>
      <c r="C42" s="5" t="s">
        <v>85</v>
      </c>
      <c r="D42" s="6" t="str">
        <f t="array" ref="D42">IFERROR(INDEX('Solution Codes'!$A$2:$A42,MATCH(Draft!D42,'Solution Codes'!$B$2:$B42,0)))</f>
        <v>S8</v>
      </c>
      <c r="E42" s="6" t="str">
        <f t="array" ref="E42">IFERROR(INDEX('Solution Codes'!$A$2:$A42,MATCH(Draft!E42,'Solution Codes'!$B$2:$B42,0)))</f>
        <v>S19</v>
      </c>
      <c r="F42" s="6" t="str">
        <f t="array" ref="F42">IFERROR(INDEX('Solution Codes'!$A$2:$A42,MATCH(Draft!F42,'Solution Codes'!$B$2:$B42,0)))</f>
        <v>S20</v>
      </c>
      <c r="G42" s="6" t="str">
        <f t="array" ref="G42">IFERROR(INDEX('Solution Codes'!$A$2:$A42,MATCH(Draft!G42,'Solution Codes'!$B$2:$B42,0)))</f>
        <v>S2</v>
      </c>
      <c r="H42" s="6" t="str">
        <f t="array" ref="H42">IFERROR(INDEX('Solution Codes'!$A$2:$A42,MATCH(Draft!H42,'Solution Codes'!$B$2:$B42,0)))</f>
        <v>S14</v>
      </c>
      <c r="I42" s="6" t="str">
        <f t="array" ref="I42">IFERROR(INDEX('Solution Codes'!$A$2:$A42,MATCH(Draft!I42,'Solution Codes'!$B$2:$B42,0)))</f>
        <v/>
      </c>
      <c r="J42" s="6" t="str">
        <f t="array" ref="J42">IFERROR(INDEX('Solution Codes'!$A$2:$A42,MATCH(Draft!J42,'Solution Codes'!$B$2:$B42,0)))</f>
        <v>S5</v>
      </c>
      <c r="K42" s="6" t="str">
        <f t="array" ref="K42">IFERROR(INDEX('Solution Codes'!$A$2:$A42,MATCH(Draft!K42,'Solution Codes'!$B$2:$B42,0)))</f>
        <v/>
      </c>
      <c r="L42" s="6" t="str">
        <f t="array" ref="L42">IFERROR(INDEX('Solution Codes'!$A$2:$A42,MATCH(Draft!L42,'Solution Codes'!$B$2:$B42,0)))</f>
        <v/>
      </c>
    </row>
  </sheetData>
  <mergeCells count="1">
    <mergeCell ref="D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88"/>
    <col customWidth="1" min="2" max="2" width="5.88"/>
    <col customWidth="1" min="3" max="12" width="18.88"/>
    <col customWidth="1" min="13" max="13" width="68.63"/>
  </cols>
  <sheetData>
    <row r="1">
      <c r="A1" s="8" t="s">
        <v>0</v>
      </c>
      <c r="B1" s="9" t="s">
        <v>1</v>
      </c>
      <c r="C1" s="10" t="s">
        <v>2</v>
      </c>
      <c r="D1" s="11" t="s">
        <v>86</v>
      </c>
      <c r="L1" s="12"/>
      <c r="M1" s="13" t="s">
        <v>87</v>
      </c>
    </row>
    <row r="2">
      <c r="A2" s="14">
        <v>1.0</v>
      </c>
      <c r="B2" s="15" t="s">
        <v>4</v>
      </c>
      <c r="C2" s="16" t="s">
        <v>5</v>
      </c>
      <c r="D2" s="17" t="s">
        <v>88</v>
      </c>
      <c r="E2" s="17" t="s">
        <v>89</v>
      </c>
      <c r="F2" s="17"/>
      <c r="G2" s="17"/>
      <c r="H2" s="17"/>
      <c r="I2" s="17"/>
      <c r="J2" s="17"/>
      <c r="K2" s="17"/>
      <c r="L2" s="17"/>
      <c r="M2" s="18" t="s">
        <v>90</v>
      </c>
    </row>
    <row r="3">
      <c r="A3" s="14">
        <v>2.0</v>
      </c>
      <c r="B3" s="15" t="s">
        <v>6</v>
      </c>
      <c r="C3" s="16" t="s">
        <v>7</v>
      </c>
      <c r="D3" s="17" t="s">
        <v>91</v>
      </c>
      <c r="E3" s="17" t="s">
        <v>88</v>
      </c>
      <c r="F3" s="17" t="s">
        <v>92</v>
      </c>
      <c r="G3" s="17" t="s">
        <v>93</v>
      </c>
      <c r="H3" s="17"/>
      <c r="I3" s="17"/>
      <c r="J3" s="17"/>
      <c r="K3" s="17"/>
      <c r="L3" s="17"/>
      <c r="M3" s="18" t="s">
        <v>94</v>
      </c>
    </row>
    <row r="4">
      <c r="A4" s="14">
        <v>3.0</v>
      </c>
      <c r="B4" s="15" t="s">
        <v>8</v>
      </c>
      <c r="C4" s="16" t="s">
        <v>9</v>
      </c>
      <c r="D4" s="17" t="s">
        <v>95</v>
      </c>
      <c r="E4" s="17"/>
      <c r="F4" s="17"/>
      <c r="G4" s="17"/>
      <c r="H4" s="17"/>
      <c r="I4" s="17"/>
      <c r="J4" s="17"/>
      <c r="K4" s="17"/>
      <c r="L4" s="17"/>
      <c r="M4" s="19"/>
    </row>
    <row r="5">
      <c r="A5" s="14">
        <v>4.0</v>
      </c>
      <c r="B5" s="15" t="s">
        <v>10</v>
      </c>
      <c r="C5" s="16" t="s">
        <v>11</v>
      </c>
      <c r="D5" s="17" t="s">
        <v>88</v>
      </c>
      <c r="E5" s="17"/>
      <c r="F5" s="17"/>
      <c r="G5" s="17"/>
      <c r="H5" s="17"/>
      <c r="I5" s="17"/>
      <c r="J5" s="17"/>
      <c r="K5" s="17"/>
      <c r="L5" s="17"/>
      <c r="M5" s="19"/>
    </row>
    <row r="6">
      <c r="A6" s="14">
        <v>5.0</v>
      </c>
      <c r="B6" s="15" t="s">
        <v>12</v>
      </c>
      <c r="C6" s="16" t="s">
        <v>13</v>
      </c>
      <c r="D6" s="17" t="s">
        <v>88</v>
      </c>
      <c r="E6" s="17" t="s">
        <v>89</v>
      </c>
      <c r="F6" s="17" t="s">
        <v>96</v>
      </c>
      <c r="G6" s="17"/>
      <c r="H6" s="17"/>
      <c r="I6" s="17"/>
      <c r="J6" s="17"/>
      <c r="K6" s="17"/>
      <c r="L6" s="17"/>
      <c r="M6" s="19"/>
    </row>
    <row r="7">
      <c r="A7" s="14">
        <v>6.0</v>
      </c>
      <c r="B7" s="15" t="s">
        <v>14</v>
      </c>
      <c r="C7" s="16" t="s">
        <v>15</v>
      </c>
      <c r="D7" s="17" t="s">
        <v>97</v>
      </c>
      <c r="E7" s="17" t="s">
        <v>98</v>
      </c>
      <c r="F7" s="17" t="s">
        <v>91</v>
      </c>
      <c r="G7" s="17" t="s">
        <v>99</v>
      </c>
      <c r="H7" s="17" t="s">
        <v>88</v>
      </c>
      <c r="I7" s="17"/>
      <c r="J7" s="17"/>
      <c r="K7" s="17"/>
      <c r="L7" s="17"/>
      <c r="M7" s="18" t="s">
        <v>100</v>
      </c>
    </row>
    <row r="8">
      <c r="A8" s="14">
        <v>7.0</v>
      </c>
      <c r="B8" s="15" t="s">
        <v>16</v>
      </c>
      <c r="C8" s="16" t="s">
        <v>17</v>
      </c>
      <c r="D8" s="17" t="s">
        <v>97</v>
      </c>
      <c r="E8" s="17" t="s">
        <v>91</v>
      </c>
      <c r="F8" s="17" t="s">
        <v>98</v>
      </c>
      <c r="G8" s="17" t="s">
        <v>92</v>
      </c>
      <c r="H8" s="17"/>
      <c r="I8" s="17"/>
      <c r="J8" s="17"/>
      <c r="K8" s="17"/>
      <c r="L8" s="17"/>
      <c r="M8" s="18" t="s">
        <v>101</v>
      </c>
    </row>
    <row r="9">
      <c r="A9" s="14">
        <v>8.0</v>
      </c>
      <c r="B9" s="15" t="s">
        <v>18</v>
      </c>
      <c r="C9" s="16" t="s">
        <v>19</v>
      </c>
      <c r="D9" s="17" t="s">
        <v>97</v>
      </c>
      <c r="E9" s="17" t="s">
        <v>91</v>
      </c>
      <c r="F9" s="17" t="s">
        <v>98</v>
      </c>
      <c r="G9" s="17" t="s">
        <v>92</v>
      </c>
      <c r="H9" s="17"/>
      <c r="I9" s="17"/>
      <c r="J9" s="17"/>
      <c r="K9" s="17"/>
      <c r="L9" s="17"/>
      <c r="M9" s="18" t="s">
        <v>101</v>
      </c>
    </row>
    <row r="10">
      <c r="A10" s="14">
        <v>9.0</v>
      </c>
      <c r="B10" s="15" t="s">
        <v>20</v>
      </c>
      <c r="C10" s="16" t="s">
        <v>21</v>
      </c>
      <c r="D10" s="17" t="s">
        <v>97</v>
      </c>
      <c r="E10" s="17" t="s">
        <v>91</v>
      </c>
      <c r="F10" s="17" t="s">
        <v>98</v>
      </c>
      <c r="G10" s="17" t="s">
        <v>88</v>
      </c>
      <c r="H10" s="17" t="s">
        <v>93</v>
      </c>
      <c r="I10" s="17"/>
      <c r="J10" s="17"/>
      <c r="K10" s="17"/>
      <c r="L10" s="17"/>
      <c r="M10" s="18" t="s">
        <v>101</v>
      </c>
    </row>
    <row r="11">
      <c r="A11" s="14">
        <v>10.0</v>
      </c>
      <c r="B11" s="15" t="s">
        <v>22</v>
      </c>
      <c r="C11" s="16" t="s">
        <v>23</v>
      </c>
      <c r="D11" s="17" t="s">
        <v>97</v>
      </c>
      <c r="E11" s="17" t="s">
        <v>91</v>
      </c>
      <c r="F11" s="17" t="s">
        <v>98</v>
      </c>
      <c r="G11" s="17" t="s">
        <v>88</v>
      </c>
      <c r="H11" s="17" t="s">
        <v>93</v>
      </c>
      <c r="I11" s="17"/>
      <c r="J11" s="17"/>
      <c r="K11" s="17"/>
      <c r="L11" s="17"/>
      <c r="M11" s="18" t="s">
        <v>101</v>
      </c>
    </row>
    <row r="12">
      <c r="A12" s="14">
        <v>11.0</v>
      </c>
      <c r="B12" s="15" t="s">
        <v>24</v>
      </c>
      <c r="C12" s="16" t="s">
        <v>25</v>
      </c>
      <c r="D12" s="17" t="s">
        <v>102</v>
      </c>
      <c r="E12" s="20" t="s">
        <v>53</v>
      </c>
      <c r="F12" s="17" t="s">
        <v>93</v>
      </c>
      <c r="G12" s="17"/>
      <c r="H12" s="17"/>
      <c r="I12" s="17"/>
      <c r="J12" s="17"/>
      <c r="K12" s="17"/>
      <c r="L12" s="17"/>
      <c r="M12" s="18" t="s">
        <v>103</v>
      </c>
    </row>
    <row r="13">
      <c r="A13" s="14">
        <v>12.0</v>
      </c>
      <c r="B13" s="15" t="s">
        <v>26</v>
      </c>
      <c r="C13" s="16" t="s">
        <v>27</v>
      </c>
      <c r="D13" s="17" t="s">
        <v>104</v>
      </c>
      <c r="E13" s="17" t="s">
        <v>93</v>
      </c>
      <c r="F13" s="17"/>
      <c r="G13" s="17"/>
      <c r="H13" s="17"/>
      <c r="I13" s="17"/>
      <c r="J13" s="17"/>
      <c r="K13" s="17"/>
      <c r="L13" s="17"/>
      <c r="M13" s="18" t="s">
        <v>103</v>
      </c>
    </row>
    <row r="14">
      <c r="A14" s="14">
        <v>13.0</v>
      </c>
      <c r="B14" s="15" t="s">
        <v>28</v>
      </c>
      <c r="C14" s="16" t="s">
        <v>29</v>
      </c>
      <c r="D14" s="17" t="s">
        <v>97</v>
      </c>
      <c r="E14" s="17" t="s">
        <v>98</v>
      </c>
      <c r="F14" s="20" t="s">
        <v>105</v>
      </c>
      <c r="G14" s="17"/>
      <c r="H14" s="17"/>
      <c r="I14" s="17"/>
      <c r="J14" s="17"/>
      <c r="K14" s="17"/>
      <c r="L14" s="17"/>
      <c r="M14" s="18" t="s">
        <v>106</v>
      </c>
    </row>
    <row r="15">
      <c r="A15" s="14">
        <v>14.0</v>
      </c>
      <c r="B15" s="15" t="s">
        <v>30</v>
      </c>
      <c r="C15" s="16" t="s">
        <v>31</v>
      </c>
      <c r="D15" s="17" t="s">
        <v>97</v>
      </c>
      <c r="E15" s="17" t="s">
        <v>98</v>
      </c>
      <c r="F15" s="17" t="s">
        <v>107</v>
      </c>
      <c r="G15" s="17" t="s">
        <v>49</v>
      </c>
      <c r="H15" s="20" t="s">
        <v>105</v>
      </c>
      <c r="I15" s="17"/>
      <c r="J15" s="17"/>
      <c r="K15" s="17"/>
      <c r="L15" s="17"/>
      <c r="M15" s="18" t="s">
        <v>106</v>
      </c>
    </row>
    <row r="16">
      <c r="A16" s="14">
        <v>15.0</v>
      </c>
      <c r="B16" s="15" t="s">
        <v>32</v>
      </c>
      <c r="C16" s="16" t="s">
        <v>33</v>
      </c>
      <c r="D16" s="17" t="s">
        <v>97</v>
      </c>
      <c r="E16" s="17" t="s">
        <v>91</v>
      </c>
      <c r="F16" s="17" t="s">
        <v>98</v>
      </c>
      <c r="G16" s="17" t="s">
        <v>107</v>
      </c>
      <c r="H16" s="17" t="s">
        <v>49</v>
      </c>
      <c r="I16" s="20" t="s">
        <v>105</v>
      </c>
      <c r="J16" s="17" t="s">
        <v>93</v>
      </c>
      <c r="K16" s="17"/>
      <c r="L16" s="17"/>
      <c r="M16" s="18" t="s">
        <v>106</v>
      </c>
    </row>
    <row r="17">
      <c r="A17" s="14">
        <v>16.0</v>
      </c>
      <c r="B17" s="15" t="s">
        <v>34</v>
      </c>
      <c r="C17" s="16" t="s">
        <v>35</v>
      </c>
      <c r="D17" s="17" t="s">
        <v>97</v>
      </c>
      <c r="E17" s="17" t="s">
        <v>91</v>
      </c>
      <c r="F17" s="17" t="s">
        <v>98</v>
      </c>
      <c r="G17" s="17" t="s">
        <v>92</v>
      </c>
      <c r="H17" s="20" t="s">
        <v>105</v>
      </c>
      <c r="I17" s="17" t="s">
        <v>93</v>
      </c>
      <c r="J17" s="17"/>
      <c r="K17" s="17"/>
      <c r="L17" s="17"/>
      <c r="M17" s="18" t="s">
        <v>106</v>
      </c>
    </row>
    <row r="18">
      <c r="A18" s="14">
        <v>19.0</v>
      </c>
      <c r="B18" s="15" t="s">
        <v>36</v>
      </c>
      <c r="C18" s="16" t="s">
        <v>37</v>
      </c>
      <c r="D18" s="17" t="s">
        <v>99</v>
      </c>
      <c r="E18" s="17"/>
      <c r="F18" s="17"/>
      <c r="G18" s="17"/>
      <c r="H18" s="17"/>
      <c r="I18" s="17"/>
      <c r="J18" s="17"/>
      <c r="K18" s="17"/>
      <c r="L18" s="17"/>
      <c r="M18" s="19"/>
    </row>
    <row r="19">
      <c r="A19" s="14">
        <v>20.0</v>
      </c>
      <c r="B19" s="15" t="s">
        <v>38</v>
      </c>
      <c r="C19" s="16" t="s">
        <v>39</v>
      </c>
      <c r="D19" s="17" t="s">
        <v>99</v>
      </c>
      <c r="E19" s="17"/>
      <c r="F19" s="17"/>
      <c r="G19" s="17"/>
      <c r="H19" s="17"/>
      <c r="I19" s="17"/>
      <c r="J19" s="17"/>
      <c r="K19" s="17"/>
      <c r="L19" s="17"/>
      <c r="M19" s="19"/>
    </row>
    <row r="20">
      <c r="A20" s="14">
        <v>21.0</v>
      </c>
      <c r="B20" s="15" t="s">
        <v>40</v>
      </c>
      <c r="C20" s="16" t="s">
        <v>41</v>
      </c>
      <c r="D20" s="17" t="s">
        <v>99</v>
      </c>
      <c r="E20" s="17"/>
      <c r="F20" s="17"/>
      <c r="G20" s="17"/>
      <c r="H20" s="17"/>
      <c r="I20" s="17"/>
      <c r="J20" s="17"/>
      <c r="K20" s="17"/>
      <c r="L20" s="17"/>
      <c r="M20" s="19"/>
    </row>
    <row r="21">
      <c r="A21" s="14">
        <v>22.0</v>
      </c>
      <c r="B21" s="15" t="s">
        <v>42</v>
      </c>
      <c r="C21" s="16" t="s">
        <v>43</v>
      </c>
      <c r="D21" s="17" t="s">
        <v>88</v>
      </c>
      <c r="E21" s="17" t="s">
        <v>89</v>
      </c>
      <c r="F21" s="17" t="s">
        <v>98</v>
      </c>
      <c r="G21" s="17" t="s">
        <v>91</v>
      </c>
      <c r="H21" s="17"/>
      <c r="I21" s="17"/>
      <c r="J21" s="17"/>
      <c r="K21" s="17"/>
      <c r="L21" s="17"/>
      <c r="M21" s="18" t="s">
        <v>108</v>
      </c>
    </row>
    <row r="22">
      <c r="A22" s="14">
        <v>23.0</v>
      </c>
      <c r="B22" s="15" t="s">
        <v>44</v>
      </c>
      <c r="C22" s="16" t="s">
        <v>45</v>
      </c>
      <c r="D22" s="17" t="s">
        <v>45</v>
      </c>
      <c r="E22" s="17"/>
      <c r="F22" s="17"/>
      <c r="G22" s="17"/>
      <c r="H22" s="17"/>
      <c r="I22" s="17"/>
      <c r="J22" s="17"/>
      <c r="K22" s="17"/>
      <c r="L22" s="17"/>
      <c r="M22" s="19"/>
    </row>
    <row r="23">
      <c r="A23" s="14">
        <v>24.0</v>
      </c>
      <c r="B23" s="15" t="s">
        <v>46</v>
      </c>
      <c r="C23" s="16" t="s">
        <v>47</v>
      </c>
      <c r="D23" s="17" t="s">
        <v>102</v>
      </c>
      <c r="E23" s="17"/>
      <c r="F23" s="17"/>
      <c r="G23" s="17"/>
      <c r="H23" s="17"/>
      <c r="I23" s="17"/>
      <c r="J23" s="17"/>
      <c r="K23" s="17"/>
      <c r="L23" s="17"/>
      <c r="M23" s="19"/>
    </row>
    <row r="24">
      <c r="A24" s="14">
        <v>25.0</v>
      </c>
      <c r="B24" s="15" t="s">
        <v>48</v>
      </c>
      <c r="C24" s="16" t="s">
        <v>49</v>
      </c>
      <c r="D24" s="17" t="s">
        <v>49</v>
      </c>
      <c r="E24" s="17"/>
      <c r="F24" s="17"/>
      <c r="G24" s="17"/>
      <c r="H24" s="17"/>
      <c r="I24" s="17"/>
      <c r="J24" s="17"/>
      <c r="K24" s="17"/>
      <c r="L24" s="17"/>
      <c r="M24" s="19"/>
    </row>
    <row r="25">
      <c r="A25" s="14">
        <v>26.0</v>
      </c>
      <c r="B25" s="15" t="s">
        <v>50</v>
      </c>
      <c r="C25" s="16" t="s">
        <v>51</v>
      </c>
      <c r="D25" s="17" t="s">
        <v>51</v>
      </c>
      <c r="E25" s="17"/>
      <c r="F25" s="17"/>
      <c r="G25" s="17"/>
      <c r="H25" s="17"/>
      <c r="I25" s="17"/>
      <c r="J25" s="17"/>
      <c r="K25" s="17"/>
      <c r="L25" s="17"/>
      <c r="M25" s="19"/>
    </row>
    <row r="26">
      <c r="A26" s="14">
        <v>27.0</v>
      </c>
      <c r="B26" s="15" t="s">
        <v>52</v>
      </c>
      <c r="C26" s="21" t="s">
        <v>53</v>
      </c>
      <c r="D26" s="20" t="s">
        <v>53</v>
      </c>
      <c r="E26" s="17"/>
      <c r="F26" s="17"/>
      <c r="G26" s="17"/>
      <c r="H26" s="17"/>
      <c r="I26" s="17"/>
      <c r="J26" s="17"/>
      <c r="K26" s="17"/>
      <c r="L26" s="17"/>
      <c r="M26" s="19"/>
    </row>
    <row r="27">
      <c r="A27" s="14">
        <v>28.0</v>
      </c>
      <c r="B27" s="15" t="s">
        <v>54</v>
      </c>
      <c r="C27" s="16" t="s">
        <v>55</v>
      </c>
      <c r="D27" s="17" t="s">
        <v>107</v>
      </c>
      <c r="E27" s="17"/>
      <c r="F27" s="17"/>
      <c r="G27" s="17"/>
      <c r="H27" s="17"/>
      <c r="I27" s="17"/>
      <c r="J27" s="17"/>
      <c r="K27" s="17"/>
      <c r="L27" s="17"/>
      <c r="M27" s="19"/>
    </row>
    <row r="28">
      <c r="A28" s="14">
        <v>29.0</v>
      </c>
      <c r="B28" s="15" t="s">
        <v>56</v>
      </c>
      <c r="C28" s="16" t="s">
        <v>57</v>
      </c>
      <c r="D28" s="17" t="s">
        <v>109</v>
      </c>
      <c r="E28" s="17" t="s">
        <v>110</v>
      </c>
      <c r="F28" s="17"/>
      <c r="G28" s="17"/>
      <c r="H28" s="17"/>
      <c r="I28" s="17"/>
      <c r="J28" s="17"/>
      <c r="K28" s="17"/>
      <c r="L28" s="17"/>
      <c r="M28" s="19"/>
    </row>
    <row r="29">
      <c r="A29" s="14">
        <v>30.0</v>
      </c>
      <c r="B29" s="15" t="s">
        <v>58</v>
      </c>
      <c r="C29" s="16" t="s">
        <v>59</v>
      </c>
      <c r="D29" s="17" t="s">
        <v>109</v>
      </c>
      <c r="E29" s="17" t="s">
        <v>110</v>
      </c>
      <c r="F29" s="17"/>
      <c r="G29" s="17"/>
      <c r="H29" s="17"/>
      <c r="I29" s="17"/>
      <c r="J29" s="17"/>
      <c r="K29" s="17"/>
      <c r="L29" s="17"/>
      <c r="M29" s="19"/>
    </row>
    <row r="30">
      <c r="A30" s="14">
        <v>31.0</v>
      </c>
      <c r="B30" s="15" t="s">
        <v>60</v>
      </c>
      <c r="C30" s="16" t="s">
        <v>61</v>
      </c>
      <c r="D30" s="17" t="s">
        <v>98</v>
      </c>
      <c r="E30" s="17"/>
      <c r="F30" s="17"/>
      <c r="G30" s="17"/>
      <c r="H30" s="17"/>
      <c r="I30" s="17"/>
      <c r="J30" s="17"/>
      <c r="K30" s="17"/>
      <c r="L30" s="17"/>
      <c r="M30" s="19"/>
    </row>
    <row r="31">
      <c r="A31" s="14">
        <v>32.0</v>
      </c>
      <c r="B31" s="15" t="s">
        <v>62</v>
      </c>
      <c r="C31" s="16" t="s">
        <v>63</v>
      </c>
      <c r="D31" s="17" t="s">
        <v>98</v>
      </c>
      <c r="E31" s="17"/>
      <c r="F31" s="17"/>
      <c r="G31" s="17"/>
      <c r="H31" s="17"/>
      <c r="I31" s="17"/>
      <c r="J31" s="17"/>
      <c r="K31" s="17"/>
      <c r="L31" s="17"/>
      <c r="M31" s="19"/>
    </row>
    <row r="32">
      <c r="A32" s="14">
        <v>33.0</v>
      </c>
      <c r="B32" s="15" t="s">
        <v>64</v>
      </c>
      <c r="C32" s="16" t="s">
        <v>65</v>
      </c>
      <c r="D32" s="17" t="s">
        <v>91</v>
      </c>
      <c r="E32" s="17" t="s">
        <v>98</v>
      </c>
      <c r="F32" s="17" t="s">
        <v>93</v>
      </c>
      <c r="G32" s="17" t="s">
        <v>88</v>
      </c>
      <c r="H32" s="17" t="s">
        <v>89</v>
      </c>
      <c r="I32" s="17" t="s">
        <v>104</v>
      </c>
      <c r="J32" s="17" t="s">
        <v>107</v>
      </c>
      <c r="K32" s="17" t="s">
        <v>49</v>
      </c>
      <c r="L32" s="17" t="s">
        <v>97</v>
      </c>
      <c r="M32" s="19"/>
    </row>
    <row r="33">
      <c r="A33" s="14">
        <v>34.0</v>
      </c>
      <c r="B33" s="15" t="s">
        <v>66</v>
      </c>
      <c r="C33" s="16" t="s">
        <v>67</v>
      </c>
      <c r="D33" s="17" t="s">
        <v>91</v>
      </c>
      <c r="E33" s="17" t="s">
        <v>98</v>
      </c>
      <c r="F33" s="17" t="s">
        <v>93</v>
      </c>
      <c r="G33" s="17" t="s">
        <v>88</v>
      </c>
      <c r="H33" s="17" t="s">
        <v>89</v>
      </c>
      <c r="I33" s="17" t="s">
        <v>104</v>
      </c>
      <c r="J33" s="17" t="s">
        <v>107</v>
      </c>
      <c r="K33" s="17" t="s">
        <v>49</v>
      </c>
      <c r="L33" s="17" t="s">
        <v>97</v>
      </c>
      <c r="M33" s="19"/>
    </row>
    <row r="34">
      <c r="A34" s="14">
        <v>35.0</v>
      </c>
      <c r="B34" s="15" t="s">
        <v>68</v>
      </c>
      <c r="C34" s="16" t="s">
        <v>69</v>
      </c>
      <c r="D34" s="17" t="s">
        <v>91</v>
      </c>
      <c r="E34" s="17" t="s">
        <v>98</v>
      </c>
      <c r="F34" s="17" t="s">
        <v>88</v>
      </c>
      <c r="G34" s="17" t="s">
        <v>92</v>
      </c>
      <c r="H34" s="17" t="s">
        <v>97</v>
      </c>
      <c r="I34" s="17"/>
      <c r="J34" s="17"/>
      <c r="K34" s="17"/>
      <c r="L34" s="17"/>
      <c r="M34" s="19"/>
    </row>
    <row r="35">
      <c r="A35" s="14">
        <v>36.0</v>
      </c>
      <c r="B35" s="15" t="s">
        <v>70</v>
      </c>
      <c r="C35" s="16" t="s">
        <v>71</v>
      </c>
      <c r="D35" s="17" t="s">
        <v>91</v>
      </c>
      <c r="E35" s="17" t="s">
        <v>98</v>
      </c>
      <c r="F35" s="17" t="s">
        <v>88</v>
      </c>
      <c r="G35" s="17" t="s">
        <v>92</v>
      </c>
      <c r="H35" s="17" t="s">
        <v>97</v>
      </c>
      <c r="I35" s="17"/>
      <c r="J35" s="17"/>
      <c r="K35" s="17"/>
      <c r="L35" s="17"/>
      <c r="M35" s="19"/>
    </row>
    <row r="36">
      <c r="A36" s="14">
        <v>37.0</v>
      </c>
      <c r="B36" s="15" t="s">
        <v>72</v>
      </c>
      <c r="C36" s="16" t="s">
        <v>73</v>
      </c>
      <c r="D36" s="17" t="s">
        <v>97</v>
      </c>
      <c r="E36" s="20" t="s">
        <v>53</v>
      </c>
      <c r="F36" s="17"/>
      <c r="G36" s="17"/>
      <c r="H36" s="17"/>
      <c r="I36" s="17"/>
      <c r="J36" s="17"/>
      <c r="K36" s="17"/>
      <c r="L36" s="17"/>
      <c r="M36" s="18" t="s">
        <v>111</v>
      </c>
    </row>
    <row r="37">
      <c r="A37" s="14">
        <v>38.0</v>
      </c>
      <c r="B37" s="15" t="s">
        <v>74</v>
      </c>
      <c r="C37" s="16" t="s">
        <v>75</v>
      </c>
      <c r="D37" s="17" t="s">
        <v>88</v>
      </c>
      <c r="E37" s="17" t="s">
        <v>89</v>
      </c>
      <c r="F37" s="17" t="s">
        <v>96</v>
      </c>
      <c r="G37" s="17" t="s">
        <v>97</v>
      </c>
      <c r="H37" s="17" t="s">
        <v>91</v>
      </c>
      <c r="I37" s="17" t="s">
        <v>93</v>
      </c>
      <c r="J37" s="20" t="s">
        <v>53</v>
      </c>
      <c r="K37" s="17"/>
      <c r="L37" s="17"/>
      <c r="M37" s="19"/>
    </row>
    <row r="38">
      <c r="A38" s="14">
        <v>39.0</v>
      </c>
      <c r="B38" s="15" t="s">
        <v>76</v>
      </c>
      <c r="C38" s="16" t="s">
        <v>77</v>
      </c>
      <c r="D38" s="17" t="s">
        <v>88</v>
      </c>
      <c r="E38" s="17" t="s">
        <v>89</v>
      </c>
      <c r="F38" s="17" t="s">
        <v>96</v>
      </c>
      <c r="G38" s="17" t="s">
        <v>97</v>
      </c>
      <c r="H38" s="17" t="s">
        <v>91</v>
      </c>
      <c r="I38" s="17" t="s">
        <v>93</v>
      </c>
      <c r="J38" s="20" t="s">
        <v>53</v>
      </c>
      <c r="K38" s="17"/>
      <c r="L38" s="17"/>
      <c r="M38" s="19"/>
    </row>
    <row r="39">
      <c r="A39" s="14">
        <v>40.0</v>
      </c>
      <c r="B39" s="15" t="s">
        <v>78</v>
      </c>
      <c r="C39" s="16" t="s">
        <v>79</v>
      </c>
      <c r="D39" s="17" t="s">
        <v>91</v>
      </c>
      <c r="E39" s="17" t="s">
        <v>89</v>
      </c>
      <c r="F39" s="20" t="s">
        <v>98</v>
      </c>
      <c r="G39" s="17" t="s">
        <v>92</v>
      </c>
      <c r="H39" s="17"/>
      <c r="I39" s="17"/>
      <c r="J39" s="17"/>
      <c r="K39" s="17"/>
      <c r="L39" s="17"/>
      <c r="M39" s="19"/>
    </row>
    <row r="40">
      <c r="A40" s="14">
        <v>41.0</v>
      </c>
      <c r="B40" s="15" t="s">
        <v>80</v>
      </c>
      <c r="C40" s="16" t="s">
        <v>81</v>
      </c>
      <c r="D40" s="20" t="s">
        <v>112</v>
      </c>
      <c r="E40" s="20" t="s">
        <v>53</v>
      </c>
      <c r="F40" s="17"/>
      <c r="G40" s="17"/>
      <c r="H40" s="17"/>
      <c r="I40" s="17"/>
      <c r="J40" s="17"/>
      <c r="K40" s="17"/>
      <c r="L40" s="17"/>
      <c r="M40" s="19"/>
    </row>
    <row r="41">
      <c r="A41" s="14">
        <v>42.0</v>
      </c>
      <c r="B41" s="15" t="s">
        <v>82</v>
      </c>
      <c r="C41" s="16" t="s">
        <v>83</v>
      </c>
      <c r="D41" s="20" t="s">
        <v>112</v>
      </c>
      <c r="E41" s="20" t="s">
        <v>53</v>
      </c>
      <c r="F41" s="17"/>
      <c r="G41" s="17"/>
      <c r="H41" s="17"/>
      <c r="I41" s="17"/>
      <c r="J41" s="17"/>
      <c r="K41" s="17"/>
      <c r="L41" s="17"/>
      <c r="M41" s="19"/>
    </row>
    <row r="42">
      <c r="A42" s="14">
        <v>43.0</v>
      </c>
      <c r="B42" s="15" t="s">
        <v>84</v>
      </c>
      <c r="C42" s="16" t="s">
        <v>85</v>
      </c>
      <c r="D42" s="17" t="s">
        <v>95</v>
      </c>
      <c r="E42" s="17" t="s">
        <v>107</v>
      </c>
      <c r="F42" s="17" t="s">
        <v>49</v>
      </c>
      <c r="G42" s="17" t="s">
        <v>91</v>
      </c>
      <c r="H42" s="20" t="s">
        <v>112</v>
      </c>
      <c r="I42" s="17" t="s">
        <v>110</v>
      </c>
      <c r="J42" s="17" t="s">
        <v>109</v>
      </c>
      <c r="K42" s="17"/>
      <c r="L42" s="17"/>
      <c r="M42" s="18" t="s">
        <v>113</v>
      </c>
    </row>
  </sheetData>
  <mergeCells count="1">
    <mergeCell ref="D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37.63"/>
  </cols>
  <sheetData>
    <row r="1">
      <c r="A1" s="22" t="s">
        <v>114</v>
      </c>
      <c r="B1" s="22" t="s">
        <v>86</v>
      </c>
    </row>
    <row r="2">
      <c r="A2" s="23" t="s">
        <v>115</v>
      </c>
      <c r="B2" s="23" t="s">
        <v>98</v>
      </c>
    </row>
    <row r="3">
      <c r="A3" s="23" t="s">
        <v>116</v>
      </c>
      <c r="B3" s="23" t="s">
        <v>91</v>
      </c>
    </row>
    <row r="4">
      <c r="A4" s="23" t="s">
        <v>117</v>
      </c>
      <c r="B4" s="23" t="s">
        <v>88</v>
      </c>
    </row>
    <row r="5">
      <c r="A5" s="23" t="s">
        <v>118</v>
      </c>
      <c r="B5" s="23" t="s">
        <v>119</v>
      </c>
    </row>
    <row r="6">
      <c r="A6" s="23" t="s">
        <v>120</v>
      </c>
      <c r="B6" s="23" t="s">
        <v>109</v>
      </c>
    </row>
    <row r="7">
      <c r="A7" s="23" t="s">
        <v>121</v>
      </c>
      <c r="B7" s="23" t="s">
        <v>99</v>
      </c>
    </row>
    <row r="8">
      <c r="A8" s="23" t="s">
        <v>122</v>
      </c>
      <c r="B8" s="23" t="s">
        <v>93</v>
      </c>
    </row>
    <row r="9">
      <c r="A9" s="23" t="s">
        <v>123</v>
      </c>
      <c r="B9" s="23" t="s">
        <v>95</v>
      </c>
    </row>
    <row r="10">
      <c r="A10" s="23" t="s">
        <v>124</v>
      </c>
      <c r="B10" s="23" t="s">
        <v>96</v>
      </c>
    </row>
    <row r="11">
      <c r="A11" s="23" t="s">
        <v>125</v>
      </c>
      <c r="B11" s="23" t="s">
        <v>89</v>
      </c>
    </row>
    <row r="12">
      <c r="A12" s="23" t="s">
        <v>126</v>
      </c>
      <c r="B12" s="23" t="s">
        <v>92</v>
      </c>
    </row>
    <row r="13">
      <c r="A13" s="23" t="s">
        <v>127</v>
      </c>
      <c r="B13" s="23" t="s">
        <v>97</v>
      </c>
    </row>
    <row r="14">
      <c r="A14" s="23" t="s">
        <v>128</v>
      </c>
      <c r="B14" s="23" t="s">
        <v>104</v>
      </c>
    </row>
    <row r="15">
      <c r="A15" s="23" t="s">
        <v>129</v>
      </c>
      <c r="B15" s="23" t="s">
        <v>112</v>
      </c>
    </row>
    <row r="16">
      <c r="A16" s="23" t="s">
        <v>130</v>
      </c>
      <c r="B16" s="23" t="s">
        <v>131</v>
      </c>
    </row>
    <row r="17">
      <c r="A17" s="23" t="s">
        <v>132</v>
      </c>
      <c r="B17" s="24" t="s">
        <v>53</v>
      </c>
    </row>
    <row r="18">
      <c r="A18" s="23" t="s">
        <v>133</v>
      </c>
      <c r="B18" s="23" t="s">
        <v>45</v>
      </c>
    </row>
    <row r="19">
      <c r="A19" s="23" t="s">
        <v>134</v>
      </c>
      <c r="B19" s="23" t="s">
        <v>102</v>
      </c>
    </row>
    <row r="20">
      <c r="A20" s="23" t="s">
        <v>135</v>
      </c>
      <c r="B20" s="23" t="s">
        <v>107</v>
      </c>
    </row>
    <row r="21">
      <c r="A21" s="23" t="s">
        <v>136</v>
      </c>
      <c r="B21" s="23" t="s">
        <v>49</v>
      </c>
    </row>
    <row r="22">
      <c r="A22" s="23" t="s">
        <v>137</v>
      </c>
      <c r="B22" s="23" t="s">
        <v>51</v>
      </c>
    </row>
  </sheetData>
  <drawing r:id="rId1"/>
</worksheet>
</file>