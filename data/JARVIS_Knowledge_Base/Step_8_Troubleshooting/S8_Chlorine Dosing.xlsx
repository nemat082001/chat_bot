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or" sheetId="1" r:id="rId4"/>
  </sheets>
  <definedNames/>
  <calcPr/>
</workbook>
</file>

<file path=xl/sharedStrings.xml><?xml version="1.0" encoding="utf-8"?>
<sst xmlns="http://schemas.openxmlformats.org/spreadsheetml/2006/main" count="34" uniqueCount="31">
  <si>
    <t>CALCULATION TOOL</t>
  </si>
  <si>
    <t>INPUT :</t>
  </si>
  <si>
    <t>Solids inventory, Aeration Basin</t>
  </si>
  <si>
    <t>lbs</t>
  </si>
  <si>
    <t>Solids inventory, Secondary Clarifiers</t>
  </si>
  <si>
    <t>MLSS concentration</t>
  </si>
  <si>
    <t>mg/L</t>
  </si>
  <si>
    <t>MLVSS to MLSS ratio</t>
  </si>
  <si>
    <t>RAS flow rate</t>
  </si>
  <si>
    <t>MGD</t>
  </si>
  <si>
    <t>RAS solids concentration</t>
  </si>
  <si>
    <t>Minutes of operation of dosing pump, per hour</t>
  </si>
  <si>
    <t>mins/hr</t>
  </si>
  <si>
    <t>OUTPUT :</t>
  </si>
  <si>
    <t>Total Solids Inventory</t>
  </si>
  <si>
    <t>5-6 lbs of Cl2 required per 1000 lbs MLVSS</t>
  </si>
  <si>
    <t>Cl2 dosing amounts, required per day</t>
  </si>
  <si>
    <t>lbs Cl2/day</t>
  </si>
  <si>
    <t>Select your dosing chemical below :</t>
  </si>
  <si>
    <t>Sodium hypochlorite (NaOCl) 5.25%</t>
  </si>
  <si>
    <t>lbs Cl2/gal</t>
  </si>
  <si>
    <t>Dosing requirement in GPD or gal/day</t>
  </si>
  <si>
    <t>GPD or gal/day</t>
  </si>
  <si>
    <t>Dosing requirement in GPM or gal/min</t>
  </si>
  <si>
    <t>GPM or gal/min</t>
  </si>
  <si>
    <t>Dosing requirement in mL per minute</t>
  </si>
  <si>
    <t>mL ClO-/min</t>
  </si>
  <si>
    <t>RAS Solids pumped/day</t>
  </si>
  <si>
    <t>lbs/day</t>
  </si>
  <si>
    <t>Frequency of exposure</t>
  </si>
  <si>
    <t>times/day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</si>
</sst>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FF0000"/>
      <name val="Arial"/>
    </font>
    <font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2" numFmtId="164" xfId="0" applyAlignment="1" applyFont="1" applyNumberForma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164" xfId="0" applyAlignment="1" applyFont="1" applyNumberForma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3" xfId="0" applyAlignment="1" applyFont="1" applyNumberFormat="1">
      <alignment readingOrder="0" shrinkToFit="0" vertical="center" wrapText="1"/>
    </xf>
    <xf borderId="0" fillId="0" fontId="4" numFmtId="164" xfId="0" applyAlignment="1" applyFont="1" applyNumberFormat="1">
      <alignment readingOrder="0" shrinkToFit="0" vertical="center" wrapText="1"/>
    </xf>
    <xf borderId="0" fillId="0" fontId="4" numFmtId="3" xfId="0" applyAlignment="1" applyFont="1" applyNumberFormat="1">
      <alignment horizontal="right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horizontal="right" readingOrder="0" shrinkToFit="0" vertical="center" wrapText="1"/>
    </xf>
    <xf borderId="0" fillId="0" fontId="4" numFmtId="4" xfId="0" applyAlignment="1" applyFont="1" applyNumberFormat="1">
      <alignment horizontal="righ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3" xfId="0" applyAlignment="1" applyFont="1" applyNumberFormat="1">
      <alignment horizontal="right" shrinkToFit="0" vertical="center" wrapText="1"/>
    </xf>
    <xf borderId="0" fillId="0" fontId="5" numFmtId="164" xfId="0" applyAlignment="1" applyFont="1" applyNumberFormat="1">
      <alignment horizontal="right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3" xfId="0" applyAlignment="1" applyFont="1" applyNumberFormat="1">
      <alignment shrinkToFit="0" vertical="center" wrapText="1"/>
    </xf>
    <xf borderId="0" fillId="0" fontId="4" numFmtId="3" xfId="0" applyAlignment="1" applyFont="1" applyNumberFormat="1">
      <alignment shrinkToFit="0" vertical="center" wrapText="1"/>
    </xf>
    <xf borderId="0" fillId="0" fontId="6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10.75"/>
    <col customWidth="1" min="3" max="3" width="13.75"/>
  </cols>
  <sheetData>
    <row r="1">
      <c r="A1" s="1" t="s">
        <v>0</v>
      </c>
      <c r="B1" s="2"/>
      <c r="C1" s="3"/>
    </row>
    <row r="2">
      <c r="A2" s="4" t="s">
        <v>1</v>
      </c>
      <c r="B2" s="5"/>
      <c r="C2" s="6"/>
    </row>
    <row r="3">
      <c r="A3" s="7" t="s">
        <v>2</v>
      </c>
      <c r="B3" s="8">
        <v>45000.0</v>
      </c>
      <c r="C3" s="7" t="s">
        <v>3</v>
      </c>
    </row>
    <row r="4">
      <c r="A4" s="7" t="s">
        <v>4</v>
      </c>
      <c r="B4" s="8">
        <v>3000.0</v>
      </c>
      <c r="C4" s="7" t="s">
        <v>3</v>
      </c>
    </row>
    <row r="5">
      <c r="A5" s="6" t="s">
        <v>5</v>
      </c>
      <c r="B5" s="8">
        <v>2400.0</v>
      </c>
      <c r="C5" s="6" t="s">
        <v>6</v>
      </c>
    </row>
    <row r="6">
      <c r="A6" s="7" t="s">
        <v>7</v>
      </c>
      <c r="B6" s="9">
        <f>0.75</f>
        <v>0.75</v>
      </c>
      <c r="C6" s="6"/>
    </row>
    <row r="7">
      <c r="A7" s="6" t="s">
        <v>8</v>
      </c>
      <c r="B7" s="9">
        <v>0.9</v>
      </c>
      <c r="C7" s="6" t="s">
        <v>9</v>
      </c>
    </row>
    <row r="8">
      <c r="A8" s="6" t="s">
        <v>10</v>
      </c>
      <c r="B8" s="8">
        <v>8000.0</v>
      </c>
      <c r="C8" s="6" t="s">
        <v>6</v>
      </c>
    </row>
    <row r="9">
      <c r="A9" s="7" t="s">
        <v>11</v>
      </c>
      <c r="B9" s="8">
        <v>30.0</v>
      </c>
      <c r="C9" s="7" t="s">
        <v>12</v>
      </c>
    </row>
    <row r="10">
      <c r="A10" s="6"/>
      <c r="B10" s="5"/>
      <c r="C10" s="6"/>
    </row>
    <row r="11">
      <c r="A11" s="4" t="s">
        <v>13</v>
      </c>
      <c r="B11" s="5"/>
      <c r="C11" s="6"/>
    </row>
    <row r="12">
      <c r="A12" s="6" t="s">
        <v>14</v>
      </c>
      <c r="B12" s="10">
        <f>B3+B4</f>
        <v>48000</v>
      </c>
      <c r="C12" s="6" t="s">
        <v>3</v>
      </c>
    </row>
    <row r="13">
      <c r="A13" s="7" t="s">
        <v>15</v>
      </c>
      <c r="B13" s="5"/>
      <c r="C13" s="6"/>
    </row>
    <row r="14">
      <c r="A14" s="6" t="s">
        <v>16</v>
      </c>
      <c r="B14" s="10">
        <f>(B12*B6/1000)*6</f>
        <v>216</v>
      </c>
      <c r="C14" s="6" t="s">
        <v>17</v>
      </c>
    </row>
    <row r="15">
      <c r="A15" s="11" t="s">
        <v>18</v>
      </c>
      <c r="B15" s="12"/>
      <c r="C15" s="7"/>
    </row>
    <row r="16">
      <c r="A16" s="7" t="s">
        <v>19</v>
      </c>
      <c r="B16" s="13">
        <f>IFERROR(__xludf.DUMMYFUNCTION("IF(A16="""","""", IFS(
REGEXMATCH(A16,""5.25""),0.44,
REGEXMATCH(A16,""10.0""),0.83,
REGEXMATCH(A16,""12.5""),1,
REGEXMATCH(A16,""15.0""),1.25))"),0.44)</f>
        <v>0.44</v>
      </c>
      <c r="C16" s="7" t="s">
        <v>20</v>
      </c>
    </row>
    <row r="17">
      <c r="A17" s="6"/>
      <c r="B17" s="10"/>
      <c r="C17" s="6"/>
    </row>
    <row r="18">
      <c r="A18" s="14" t="s">
        <v>21</v>
      </c>
      <c r="B18" s="15">
        <f>B14/B16</f>
        <v>490.9090909</v>
      </c>
      <c r="C18" s="14" t="s">
        <v>22</v>
      </c>
    </row>
    <row r="19">
      <c r="A19" s="14" t="s">
        <v>23</v>
      </c>
      <c r="B19" s="16">
        <f>B18/(24*B9)</f>
        <v>0.6818181818</v>
      </c>
      <c r="C19" s="14" t="s">
        <v>24</v>
      </c>
    </row>
    <row r="20">
      <c r="A20" s="17" t="s">
        <v>25</v>
      </c>
      <c r="B20" s="18">
        <f>B19*3785.41</f>
        <v>2580.961364</v>
      </c>
      <c r="C20" s="17" t="s">
        <v>26</v>
      </c>
    </row>
    <row r="21">
      <c r="A21" s="17"/>
      <c r="B21" s="18"/>
      <c r="C21" s="17"/>
    </row>
    <row r="22">
      <c r="A22" s="7" t="s">
        <v>27</v>
      </c>
      <c r="B22" s="10">
        <f>B7*B8*8.34</f>
        <v>60048</v>
      </c>
      <c r="C22" s="6" t="s">
        <v>28</v>
      </c>
    </row>
    <row r="23">
      <c r="A23" s="6" t="s">
        <v>29</v>
      </c>
      <c r="B23" s="19">
        <f>IFERROR(ROUNDUP(B22/B12))</f>
        <v>2</v>
      </c>
      <c r="C23" s="6" t="s">
        <v>30</v>
      </c>
    </row>
    <row r="24">
      <c r="A24" s="20" t="str">
        <f>IF(B23="","",IF(B23&gt;=3,"Set up your pump to dose "&amp;ROUND(B20,0)&amp;" mL/min of  "&amp;A16&amp;"",IF(B23&lt;3,"You need more application points to dose the RAS. Set up two or more pumps to collectively dose "&amp;ROUND(B20,0)&amp;" mL/min of "&amp;A16&amp;"")))</f>
        <v>You need more application points to dose the RAS. Set up two or more pumps to collectively dose 2581 mL/min of Sodium hypochlorite (NaOCl) 5.25%</v>
      </c>
    </row>
  </sheetData>
  <mergeCells count="1">
    <mergeCell ref="A24:C24"/>
  </mergeCells>
  <dataValidations>
    <dataValidation type="list" allowBlank="1" showInputMessage="1" showErrorMessage="1" prompt="Click and enter a value from the list of items" sqref="A16">
      <formula1>"Sodium hypochlorite (NaOCl) 5.25%,Sodium hypochlorite (NaOCl) 10.0%,Sodium hypochlorite (NaOCl) 12.5%,Sodium hypochlorite (NaOCl) 15.0%"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