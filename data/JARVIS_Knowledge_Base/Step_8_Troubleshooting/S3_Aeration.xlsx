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1. AOR" sheetId="2" r:id="rId5"/>
    <sheet state="visible" name="2. SOR" sheetId="3" r:id="rId6"/>
    <sheet state="visible" name="3. Performance" sheetId="4" r:id="rId7"/>
    <sheet state="visible" name="Tables" sheetId="5" r:id="rId8"/>
  </sheets>
  <definedNames/>
  <calcPr/>
</workbook>
</file>

<file path=xl/sharedStrings.xml><?xml version="1.0" encoding="utf-8"?>
<sst xmlns="http://schemas.openxmlformats.org/spreadsheetml/2006/main" count="406" uniqueCount="324">
  <si>
    <t>Aeration Requirements for Process Control</t>
  </si>
  <si>
    <t>INPUTS :</t>
  </si>
  <si>
    <t>A. Flow and Polluting Parameters</t>
  </si>
  <si>
    <t>Design</t>
  </si>
  <si>
    <t>Are you mandated to Nitrify, Denitrify? Select accordingly.</t>
  </si>
  <si>
    <t>Yes - Nitrification &amp; Denitrification</t>
  </si>
  <si>
    <t>Weekly BOD Discharge Limit (mg/L or ppm)</t>
  </si>
  <si>
    <t>mg/L or ppm</t>
  </si>
  <si>
    <t>Weekly TSS Discharge Limit (mg/L or ppm)</t>
  </si>
  <si>
    <t>Weekly Total Nitrogen (TN) Discharge Limit (mg/L or ppm)</t>
  </si>
  <si>
    <t>Capacities</t>
  </si>
  <si>
    <t>Total Volume of Aeration Basins (million gal)</t>
  </si>
  <si>
    <t>million gal</t>
  </si>
  <si>
    <t>Flows</t>
  </si>
  <si>
    <r>
      <rPr>
        <rFont val="Arial"/>
        <color theme="1"/>
      </rPr>
      <t xml:space="preserve">Total Flow entering Aeration Basins </t>
    </r>
    <r>
      <rPr>
        <rFont val="Arial"/>
        <b/>
        <color theme="1"/>
      </rPr>
      <t>including</t>
    </r>
    <r>
      <rPr>
        <rFont val="Arial"/>
        <color theme="1"/>
      </rPr>
      <t xml:space="preserve"> RAS (MGD or million gal/day)</t>
    </r>
  </si>
  <si>
    <t>MGD or million gal/day</t>
  </si>
  <si>
    <t>RAS Flow (MGD or million gal/day)</t>
  </si>
  <si>
    <t>Primary WAS Flow (GPM or gal/minute)</t>
  </si>
  <si>
    <t>GPM or gal/minute</t>
  </si>
  <si>
    <t>Avg. BOD concentration in combined Aeration Basin Influent (mg/L or ppm)</t>
  </si>
  <si>
    <t>Filtrate from Sludge thickening, dewatering (GPD or gal/day)</t>
  </si>
  <si>
    <t>GPD or gal/day</t>
  </si>
  <si>
    <t>Concentrations</t>
  </si>
  <si>
    <t>Avg. Total Nitrogen (TN) concentration in combined Aeration Basin Influent (mg/L or ppm)</t>
  </si>
  <si>
    <t>Avg. MLVSS concentration (mg/L or ppm)</t>
  </si>
  <si>
    <t>Avg. TSS concentration in RAS (mg/L or ppm)</t>
  </si>
  <si>
    <t>Avg. TSS concentration in Primary WAS (mg/L or ppm)</t>
  </si>
  <si>
    <t>Avg. TSS concentration in Filtrate from Sludge thickening, dewatering (mg/L or ppm)</t>
  </si>
  <si>
    <t>Other</t>
  </si>
  <si>
    <t>Minutes of operation of Primary WAS pump per hour, on average</t>
  </si>
  <si>
    <t>minutes</t>
  </si>
  <si>
    <t>Minutes of operation of Secondary WAS pump per hour, on average</t>
  </si>
  <si>
    <t>B. Environmental Data</t>
  </si>
  <si>
    <t>Altitude (Elevation) at job site (feet) (h)</t>
  </si>
  <si>
    <t>feet</t>
  </si>
  <si>
    <t>T = Temperature at job site (°C)</t>
  </si>
  <si>
    <t>°C</t>
  </si>
  <si>
    <t>Tw = Process temperature of wastewater (°C)</t>
  </si>
  <si>
    <t>Select measurement parameter of wastewater salt concentration</t>
  </si>
  <si>
    <t>Salinity</t>
  </si>
  <si>
    <t>Salt concentration of wastewater (ppt or parts per trillion)</t>
  </si>
  <si>
    <t>ppt</t>
  </si>
  <si>
    <t>C. Aeration &amp; DO</t>
  </si>
  <si>
    <t>Select the type of Aeration System you use</t>
  </si>
  <si>
    <t>Fine Bubble Diffusers 
(1-3 mm bubbles)</t>
  </si>
  <si>
    <t>Select your specific aeration equipment</t>
  </si>
  <si>
    <t>Diffused Aeration - Coarse Bubble</t>
  </si>
  <si>
    <t>Depth of diffuser submergence, in feet (if you use a diffuser system) (d)</t>
  </si>
  <si>
    <t>Enter the desired DO to be maintained in the mixed liquor
(typically, 2 mg/L and a minimum of 1 mg/L)</t>
  </si>
  <si>
    <t>The existing DO in your mixed liquor (mg/L or ppm)</t>
  </si>
  <si>
    <t>Your current total air flow rate - for diffuser system (cfm) and/or</t>
  </si>
  <si>
    <t>cfm</t>
  </si>
  <si>
    <t>Your current total power input (hp)</t>
  </si>
  <si>
    <t>hp</t>
  </si>
  <si>
    <t>PROCEDURE :</t>
  </si>
  <si>
    <t>To determine the total air needed for your bugs, the following computations are made :</t>
  </si>
  <si>
    <t>#</t>
  </si>
  <si>
    <t>Computation</t>
  </si>
  <si>
    <t>Purpose</t>
  </si>
  <si>
    <t>Link</t>
  </si>
  <si>
    <t>AOR (Actual Oxygen Requirement)</t>
  </si>
  <si>
    <t>Total Oxygen required for design organic loading</t>
  </si>
  <si>
    <t>Click here to know how it's done.</t>
  </si>
  <si>
    <t>SOR (Standrad Oxygen Requirement)</t>
  </si>
  <si>
    <t>Total Oxygen required for design organic loading, for the aeration equipment used and the site conditions.</t>
  </si>
  <si>
    <t>Design Air Flow, Pressure, Power, Efficiency, Turndown</t>
  </si>
  <si>
    <t>Total Air Flow, Power required under field conditions</t>
  </si>
  <si>
    <t>OUTPUT :</t>
  </si>
  <si>
    <t>Maximum total Air flow requirement, in cfm</t>
  </si>
  <si>
    <t>Minimum Total Air flow requirement for mixing, process requirements, in cfm</t>
  </si>
  <si>
    <t>Your current total air flow - for diffuser system (cfm)</t>
  </si>
  <si>
    <t>Maximum total Power requirement (hp)</t>
  </si>
  <si>
    <t>Minimum Power requirement (hp)</t>
  </si>
  <si>
    <t>Design Discharge Pressure</t>
  </si>
  <si>
    <t>Avg Blower Efficiency or Efficiency of overall system</t>
  </si>
  <si>
    <t>Avg Blower Turndown</t>
  </si>
  <si>
    <t>I. Estimating AOR (Actual Oxygen Requirement)</t>
  </si>
  <si>
    <t>To determine how much air your equipment needs to supply, you need to start with determining how much oxygen your bugs need for digesting organic matter (substrate metabolism), decomposition (endogenous respiration) and/or nitrification-denitrifiction.</t>
  </si>
  <si>
    <t>where,</t>
  </si>
  <si>
    <t>Ltotal = Total oxygen required per day (lbs/day)</t>
  </si>
  <si>
    <t>LBOD = Oxygen required per day for BOD removal (lbs/day)</t>
  </si>
  <si>
    <t>LN = Oxygen required per day for Nitrification (lbs/day)</t>
  </si>
  <si>
    <t>LDN = Oxygen recovered per day through Denitrification (lbs/day)</t>
  </si>
  <si>
    <t>Oxygen required for BOD removal (LBOD) accounts for both substrate digestion and endogenous respiration. The proportions vary depending on the F/M Ratio illustrated below.</t>
  </si>
  <si>
    <t>F/M Ratio 
(lbs BOD per day/ lb VSS)</t>
  </si>
  <si>
    <t>Oxygen consumed for BOD removal 
(lbs O2/lb BOD removed)</t>
  </si>
  <si>
    <t>Nitrification-Denitrification Processes</t>
  </si>
  <si>
    <t>Proportion of Oxygen (lbs O2/lbs N)</t>
  </si>
  <si>
    <t>Consumed / Recovered</t>
  </si>
  <si>
    <t>Notes</t>
  </si>
  <si>
    <t>Nitrification</t>
  </si>
  <si>
    <t>Consumed</t>
  </si>
  <si>
    <t>Oxidizes N in Ammonia -&gt; NO3</t>
  </si>
  <si>
    <t>Dentrification</t>
  </si>
  <si>
    <t>Recovered</t>
  </si>
  <si>
    <t>Reduces NO3 -&gt; N2</t>
  </si>
  <si>
    <t>Sludge production</t>
  </si>
  <si>
    <t>8% of solids is Nitrogen by weight, leaving 92% that gets oxidized and reduced</t>
  </si>
  <si>
    <t>OUTPUTS</t>
  </si>
  <si>
    <t>Daily Oxygen Requirement</t>
  </si>
  <si>
    <t>Operating F/M Ratio</t>
  </si>
  <si>
    <t>Oxygen consumed for 1 lb BOD removed (from graph)</t>
  </si>
  <si>
    <t>lbs O2/lb BOD</t>
  </si>
  <si>
    <t>Biological sludge produced</t>
  </si>
  <si>
    <t>lbs SS/day</t>
  </si>
  <si>
    <t>LBOD = Total O2 consumed for BOD removal</t>
  </si>
  <si>
    <t>lbs O2/day</t>
  </si>
  <si>
    <t>LN = Total O2 consumed for Nitrification</t>
  </si>
  <si>
    <t>LDN = Total O2 recovered from Denitrification</t>
  </si>
  <si>
    <t>Ltotal = Total O2 consumed per day (AOR)</t>
  </si>
  <si>
    <t>1. The computed oxygen demand is not evenly distributed through the day. Oxygen requirements for endogenous respirtation are uniform over 24 hours. For substrate digestion, nitrification and denitrification, the oxygen requirements vary depending on the influent flow, so a Peaking Factor (PF) is applied depending on the Population Equivalent (PE) - ie, the total number of people contributing to the organic load.
2. The Oxygen requirements for BOD removal (LBOD) involves both Substrate Digestion, Endogenous respiration. The breakup depends on the F/M ratio in the table below:</t>
  </si>
  <si>
    <t>F/M Ratio</t>
  </si>
  <si>
    <t>Oxygen for Substrate Digestion</t>
  </si>
  <si>
    <t>Oxygen for Endogenous Respiration</t>
  </si>
  <si>
    <t>&lt;= 0.2</t>
  </si>
  <si>
    <t>&gt; 0.2</t>
  </si>
  <si>
    <t>Target Organic Load Removal</t>
  </si>
  <si>
    <t>lbs BOD/day</t>
  </si>
  <si>
    <t>Population Equivalent (PE) for your total organic load, at minimum of 80 g or 0.17 lbs/person/day</t>
  </si>
  <si>
    <t>PE</t>
  </si>
  <si>
    <t>Peaking Factor (PF)</t>
  </si>
  <si>
    <t>Peaking Factor (PF) for your facility</t>
  </si>
  <si>
    <t>Avg Hourly Flow to Aeration Basin</t>
  </si>
  <si>
    <t>gallons per hour</t>
  </si>
  <si>
    <t>Peak Hourly Flow = Avg Hourly Flow x PF</t>
  </si>
  <si>
    <t>Hourly Oxygen Requirement</t>
  </si>
  <si>
    <t>Peak requirement (lbs O2/hr)</t>
  </si>
  <si>
    <t>LBOD(sub) = Total Oxygen consumed for Substrate Digestion</t>
  </si>
  <si>
    <t>LBOD(er) = Total Oxygen consumed for Endogenous Respiration</t>
  </si>
  <si>
    <t>II. Estimating SOR (Standard Oxygen Requirement)</t>
  </si>
  <si>
    <r>
      <rPr>
        <rFont val="Arial"/>
        <color theme="1"/>
      </rPr>
      <t>1. You have determined the actual oxygen requirement (AOR) under</t>
    </r>
    <r>
      <rPr>
        <rFont val="Arial"/>
        <b/>
        <color theme="1"/>
      </rPr>
      <t xml:space="preserve"> field</t>
    </r>
    <r>
      <rPr>
        <rFont val="Arial"/>
        <color theme="1"/>
      </rPr>
      <t xml:space="preserve"> conditions. 
2. However, the capacity of aeration systems are given by the manufacturer under </t>
    </r>
    <r>
      <rPr>
        <rFont val="Arial"/>
        <b/>
        <color theme="1"/>
      </rPr>
      <t>standard</t>
    </r>
    <r>
      <rPr>
        <rFont val="Arial"/>
        <color theme="1"/>
      </rPr>
      <t xml:space="preserve"> conditions: a DO concentration of 0 mg/L, pure (tap) water at 20°C (68°F), 29.92 inches barometric pressure (atmospheric pressure), 0% relative humidity. This is called the standard oxygen requirment (SOR).
3. In the Aeration Basin, the oxygenating capacity of the equipment is reduced by anywhere between 25-75% due to the effect of salts, surfactants, residual DO &gt; 0 mg/L, temperature, pressure, etc. This would require correction factors to be applied to the AOR to determine the SOR. Ballpark figs. can be used in the absence of specific data on the environmental conditions and aeration equipment used.</t>
    </r>
  </si>
  <si>
    <t>Ballpark Figures:</t>
  </si>
  <si>
    <t>Aeration System</t>
  </si>
  <si>
    <t>AOR / SOR (typical figs.)</t>
  </si>
  <si>
    <t>Fine bubble diffusers</t>
  </si>
  <si>
    <t>Medium bubble diffusers</t>
  </si>
  <si>
    <t>Coarse bubble diffusers</t>
  </si>
  <si>
    <t>Mechanical surface aerator</t>
  </si>
  <si>
    <t>Detailed Calculation:</t>
  </si>
  <si>
    <t>Click here to know more.</t>
  </si>
  <si>
    <t>OUTPUTS : Correction factors &amp; Final result</t>
  </si>
  <si>
    <t>α = Wastewater Correction Factor for Oxygen Transfer</t>
  </si>
  <si>
    <t>TABLE 1</t>
  </si>
  <si>
    <t>F = Fouling factor</t>
  </si>
  <si>
    <t>β = Wastewater Correction Factor for Oxygen Solubility</t>
  </si>
  <si>
    <t>c = Depth correction factor for a diffuser system (if you use one)</t>
  </si>
  <si>
    <t>Pstd = Barometric pressure at Mean Sea Level (in of mercury)</t>
  </si>
  <si>
    <r>
      <rPr>
        <rFont val="Arial"/>
        <color theme="1"/>
      </rPr>
      <t xml:space="preserve">in Hg </t>
    </r>
    <r>
      <rPr>
        <rFont val="Arial"/>
        <color rgb="FFFF9900"/>
      </rPr>
      <t>(TABLE 3)</t>
    </r>
  </si>
  <si>
    <t>Pamb = Barometric pressure at the job site (in of mercury)</t>
  </si>
  <si>
    <r>
      <rPr>
        <rFont val="Arial"/>
        <color theme="1"/>
      </rPr>
      <t xml:space="preserve">inches of Hg </t>
    </r>
    <r>
      <rPr>
        <rFont val="Arial"/>
        <color rgb="FFFF9900"/>
      </rPr>
      <t>(FORMULA)</t>
    </r>
  </si>
  <si>
    <t>Pvap = Vapor pressure, caused due to evaporation at temperature T</t>
  </si>
  <si>
    <r>
      <rPr>
        <rFont val="Arial"/>
        <color theme="1"/>
      </rPr>
      <t xml:space="preserve">meters of H2O </t>
    </r>
    <r>
      <rPr>
        <rFont val="Arial"/>
        <color rgb="FFFF9900"/>
      </rPr>
      <t>(FORMULA)</t>
    </r>
  </si>
  <si>
    <t>Ω = Pressure Correction Factor for Oxygen Saturation</t>
  </si>
  <si>
    <t>FORMULA</t>
  </si>
  <si>
    <t>CsT = DO saturation value at water temp, (mg/L or ppm), zero salt conc</t>
  </si>
  <si>
    <r>
      <rPr>
        <rFont val="Arial"/>
        <color theme="1"/>
      </rPr>
      <t xml:space="preserve">mg/L or ppm </t>
    </r>
    <r>
      <rPr>
        <rFont val="Arial"/>
        <color rgb="FFFF9900"/>
      </rPr>
      <t>(TABLE 4, user input Tw)</t>
    </r>
  </si>
  <si>
    <t>Cs20 = DO saturation value of water at std 20°C, (mg/L) zero salt conc</t>
  </si>
  <si>
    <r>
      <rPr>
        <rFont val="Arial"/>
        <color theme="1"/>
      </rPr>
      <t xml:space="preserve">mg/L or ppm </t>
    </r>
    <r>
      <rPr>
        <rFont val="Arial"/>
        <color rgb="FFFF9900"/>
      </rPr>
      <t>(CONSTANT)</t>
    </r>
  </si>
  <si>
    <t>τ = Temperature Correction Factor for Oxygen Saturation</t>
  </si>
  <si>
    <t>θ = Temperature Correction Factor for Oxygen Transfer</t>
  </si>
  <si>
    <t>TABLE 2</t>
  </si>
  <si>
    <t>M = Molar mass of air</t>
  </si>
  <si>
    <r>
      <rPr>
        <rFont val="Arial"/>
        <color theme="1"/>
      </rPr>
      <t xml:space="preserve">kg/mol </t>
    </r>
    <r>
      <rPr>
        <rFont val="Arial"/>
        <color rgb="FFFF9900"/>
      </rPr>
      <t>CONSTANT</t>
    </r>
  </si>
  <si>
    <t>g = Gravitational constant</t>
  </si>
  <si>
    <r>
      <rPr>
        <rFont val="Arial"/>
        <color theme="1"/>
      </rPr>
      <t xml:space="preserve">m/s^2 </t>
    </r>
    <r>
      <rPr>
        <rFont val="Arial"/>
        <color rgb="FFFF9900"/>
      </rPr>
      <t>CONSTANT</t>
    </r>
  </si>
  <si>
    <t>R = Molar gas constant</t>
  </si>
  <si>
    <r>
      <rPr>
        <rFont val="Arial"/>
        <color theme="1"/>
      </rPr>
      <t xml:space="preserve">N.m/(mol.K) </t>
    </r>
    <r>
      <rPr>
        <rFont val="Arial"/>
        <color rgb="FFFF9900"/>
      </rPr>
      <t>CONSTANT</t>
    </r>
  </si>
  <si>
    <t>Csc = Depth corrected standard DO saturation value</t>
  </si>
  <si>
    <r>
      <rPr>
        <rFont val="Arial"/>
        <color theme="1"/>
      </rPr>
      <t xml:space="preserve">mg/L or ppm </t>
    </r>
    <r>
      <rPr>
        <rFont val="Arial"/>
        <color rgb="FFFF9900"/>
      </rPr>
      <t>FORMULA</t>
    </r>
  </si>
  <si>
    <t>AOR = Actual Oxygen Requirement (lbs oxygen per day)</t>
  </si>
  <si>
    <t>lbs O2/hr</t>
  </si>
  <si>
    <t>AOR/SOR ratio (computed or referenced)</t>
  </si>
  <si>
    <t>SOR = Standard Oxygen Requirement (lbs oxygen per day)</t>
  </si>
  <si>
    <t>III. Estimating Aearator Performance Parameters</t>
  </si>
  <si>
    <t>1. For mechanical surface aeration, the power required can be determined based on typical standard aeration efficiencies (SAE) and AOR/SOR ratio.
2. For diffuser systems, the air flow (cfm) and pressure (psi) requirements will be computed from the SOR, AOR and typical standard oxygen transfer efficiencies (SOTE). Discharge pressure required will be determined from depth of submergence, and head losses.
3. Blower horsepower will be determined based on typical standard aeration efficiencies (SAE) and AOR/SOR ratio. Turndown range will be determined from maximum and minimum air requirements.</t>
  </si>
  <si>
    <t>Air Flow (cfm) : Required air flow in cubic feet per minute (cfm)</t>
  </si>
  <si>
    <t>d : Depth of submergence (feet)</t>
  </si>
  <si>
    <t>% O2 : Percentage of oxygen in dry air, by weight (23.2%)</t>
  </si>
  <si>
    <t>ρ(air) : Density of dry air in standard conditions (0.075 lbs/cubic feet)</t>
  </si>
  <si>
    <t>SOR : Standard Oxygen Requirement in standard conditions (lbs O2/hr)</t>
  </si>
  <si>
    <t>AOR : Actual Oxygen Requirement in field conditions (lbs O2/hr)</t>
  </si>
  <si>
    <t>AOTE : Actual Oxygen Transfer Efficiency in field conditions (for diffused aeration) in %</t>
  </si>
  <si>
    <t>SOTE : Standard Oxygen Transfer Efficiency in standard conditions (for diffused aeration) in %</t>
  </si>
  <si>
    <t>SOTE(unit) : Standard Oxygen Transfer Efficiency in standard conditions (for diffused aeration) per foot of submergence, in %</t>
  </si>
  <si>
    <t>SAE : Standard Aeration Efficiency in standard conditions (lbs O2/hp.hr)</t>
  </si>
  <si>
    <t>FAE : Field Aeration Efficiency in field conditions (lbs O2/hp.hr)</t>
  </si>
  <si>
    <t>Pressure (psi) : Discharge pressure required (in pounds per square inch or psi)</t>
  </si>
  <si>
    <t>Pd : Pressure resulting from the depth of submergence in water (psi)</t>
  </si>
  <si>
    <t>Ploss : Pressure resulting from head losses over fan, impeller, suction, piping system (length, velocity, valves), fouling, etc. Assumed to be 2.75 psi</t>
  </si>
  <si>
    <t>Power (hp) : Total Power required of Diffuser or Mechanical Surface Aeration system (hp)</t>
  </si>
  <si>
    <t>Blower efficiency : Average operating efficiency of blowers (%)</t>
  </si>
  <si>
    <t>Blower turndown : Operating range or capability of individual blower or entire blower system (as ratio, or %)</t>
  </si>
  <si>
    <t>Qmax : Maximum Design Air Flow for process requirements (cfm)</t>
  </si>
  <si>
    <t>Qmin : Minimum Design Air Flow for process requirements (mixing, oxidation, etc.), (cfm)</t>
  </si>
  <si>
    <t>Click here to know more about Oxygen transfer rates, Aeration efficiencies and Minimum air flow requirements for different aeration equipment.</t>
  </si>
  <si>
    <t>for Blowers or Diffused Aeration :</t>
  </si>
  <si>
    <t>Design Process Volume in Aeration Basin (million gal)</t>
  </si>
  <si>
    <r>
      <rPr>
        <rFont val="Arial"/>
        <color theme="1"/>
      </rPr>
      <t xml:space="preserve">million gal </t>
    </r>
    <r>
      <rPr>
        <rFont val="Arial"/>
        <color rgb="FFFF9900"/>
      </rPr>
      <t>USER INPUT</t>
    </r>
  </si>
  <si>
    <t>d = Depth of diffuser submergence (feet)</t>
  </si>
  <si>
    <r>
      <rPr>
        <rFont val="Arial"/>
        <color theme="1"/>
      </rPr>
      <t xml:space="preserve">feet </t>
    </r>
    <r>
      <rPr>
        <rFont val="Arial"/>
        <color rgb="FFFF9900"/>
      </rPr>
      <t>USER INPUT</t>
    </r>
  </si>
  <si>
    <t>AOR/SOR ratio</t>
  </si>
  <si>
    <t>BASED ON SOR Sheet</t>
  </si>
  <si>
    <r>
      <rPr>
        <rFont val="Arial"/>
        <color theme="1"/>
      </rPr>
      <t xml:space="preserve">lbs O2/hr </t>
    </r>
    <r>
      <rPr>
        <rFont val="Arial"/>
        <color rgb="FFFF9900"/>
      </rPr>
      <t>BASED ON SOR Sheet</t>
    </r>
  </si>
  <si>
    <t>SOTE(unit) = Standard Oxygen Transfer Efficiency (%/ft submergence)</t>
  </si>
  <si>
    <r>
      <rPr>
        <rFont val="Arial"/>
        <color theme="1"/>
      </rPr>
      <t xml:space="preserve">% per ft of submergence </t>
    </r>
    <r>
      <rPr>
        <rFont val="Arial"/>
        <color rgb="FFFF9900"/>
      </rPr>
      <t>TABLE 5</t>
    </r>
  </si>
  <si>
    <t>SOTE = Standard Oxygen Transfer Efficiency (%)</t>
  </si>
  <si>
    <t>AOTE : Actual Oxygen Transfer Efficiency (%)</t>
  </si>
  <si>
    <t>% O2 : Percentage of oxygen in dry air, by weight</t>
  </si>
  <si>
    <t>CONSTANT</t>
  </si>
  <si>
    <t>ρ(air) : Density of dry air in standard conditions (lbs/cubic feet)</t>
  </si>
  <si>
    <r>
      <rPr>
        <rFont val="Arial"/>
        <color theme="1"/>
      </rPr>
      <t xml:space="preserve">lbs/ft3 </t>
    </r>
    <r>
      <rPr>
        <rFont val="Arial"/>
        <color rgb="FFFF9900"/>
      </rPr>
      <t>CONSTANT</t>
    </r>
  </si>
  <si>
    <r>
      <rPr>
        <rFont val="Arial"/>
        <color theme="1"/>
      </rPr>
      <t xml:space="preserve">lbs O2/hp.hr </t>
    </r>
    <r>
      <rPr>
        <rFont val="Arial"/>
        <color rgb="FFFF9900"/>
      </rPr>
      <t>TABLE 6</t>
    </r>
  </si>
  <si>
    <r>
      <rPr>
        <rFont val="Arial"/>
        <color theme="1"/>
      </rPr>
      <t xml:space="preserve">lbs O2/hp.hr </t>
    </r>
    <r>
      <rPr>
        <rFont val="Arial"/>
        <color rgb="FFFF9900"/>
      </rPr>
      <t>FORMULA</t>
    </r>
  </si>
  <si>
    <r>
      <rPr>
        <rFont val="Arial"/>
        <color rgb="FF0000FF"/>
      </rPr>
      <t xml:space="preserve">Maximum Total Air flow Requirement, in cfm </t>
    </r>
    <r>
      <rPr>
        <rFont val="Arial"/>
        <color rgb="FFFF9900"/>
      </rPr>
      <t>(Qmax)</t>
    </r>
  </si>
  <si>
    <r>
      <rPr>
        <rFont val="Arial"/>
        <color rgb="FF0000FF"/>
      </rPr>
      <t xml:space="preserve">cfm </t>
    </r>
    <r>
      <rPr>
        <rFont val="Arial"/>
        <color rgb="FFFF9900"/>
      </rPr>
      <t>FORMULA</t>
    </r>
  </si>
  <si>
    <r>
      <rPr>
        <rFont val="Arial"/>
        <color rgb="FF0000FF"/>
      </rPr>
      <t xml:space="preserve">Minimum Total Air flow Requirement for mixing, process requirements, in cfm </t>
    </r>
    <r>
      <rPr>
        <rFont val="Arial"/>
        <color rgb="FFFF9900"/>
      </rPr>
      <t>(Qmin)</t>
    </r>
  </si>
  <si>
    <r>
      <rPr>
        <rFont val="Arial"/>
        <color rgb="FF0000FF"/>
      </rPr>
      <t xml:space="preserve">cfm </t>
    </r>
    <r>
      <rPr>
        <rFont val="Arial"/>
        <color rgb="FFFF9900"/>
      </rPr>
      <t>(TABLE 7)</t>
    </r>
  </si>
  <si>
    <r>
      <rPr>
        <rFont val="Arial"/>
        <color rgb="FF0000FF"/>
      </rPr>
      <t xml:space="preserve">Design Discharge Pressure </t>
    </r>
    <r>
      <rPr>
        <rFont val="Arial"/>
        <color rgb="FFFF9900"/>
      </rPr>
      <t>(Pressure)</t>
    </r>
  </si>
  <si>
    <r>
      <rPr>
        <rFont val="Arial"/>
        <color rgb="FF0000FF"/>
      </rPr>
      <t xml:space="preserve">psi </t>
    </r>
    <r>
      <rPr>
        <rFont val="Arial"/>
        <color rgb="FFFF9900"/>
      </rPr>
      <t>FORMULA</t>
    </r>
  </si>
  <si>
    <r>
      <rPr>
        <rFont val="Arial"/>
        <color rgb="FF0000FF"/>
      </rPr>
      <t xml:space="preserve">Maximum Total Power required (hp) </t>
    </r>
    <r>
      <rPr>
        <rFont val="Arial"/>
        <color rgb="FFFF9900"/>
      </rPr>
      <t>(Power_max)</t>
    </r>
  </si>
  <si>
    <r>
      <rPr>
        <rFont val="Arial"/>
        <color rgb="FF0000FF"/>
      </rPr>
      <t xml:space="preserve">hp </t>
    </r>
    <r>
      <rPr>
        <rFont val="Arial"/>
        <color rgb="FFFF9900"/>
      </rPr>
      <t>FORMULA</t>
    </r>
  </si>
  <si>
    <r>
      <rPr>
        <rFont val="Arial"/>
        <color rgb="FF0000FF"/>
      </rPr>
      <t xml:space="preserve">Minimum Total Power required (hp) </t>
    </r>
    <r>
      <rPr>
        <rFont val="Arial"/>
        <color rgb="FFFF9900"/>
      </rPr>
      <t>(Power_min)</t>
    </r>
  </si>
  <si>
    <r>
      <rPr>
        <rFont val="Arial"/>
        <color rgb="FF0000FF"/>
      </rPr>
      <t xml:space="preserve">hp </t>
    </r>
    <r>
      <rPr>
        <rFont val="Arial"/>
        <color rgb="FFFF9900"/>
      </rPr>
      <t>FORMULA in Word Doc</t>
    </r>
  </si>
  <si>
    <t>for Mechanical Surface Aeration :</t>
  </si>
  <si>
    <t>lbs O2/hp.hr</t>
  </si>
  <si>
    <t>Maximum Total Power required (hp)</t>
  </si>
  <si>
    <t>Minimum Total Power required (hp) for mixing, process requirements</t>
  </si>
  <si>
    <r>
      <rPr>
        <rFont val="Arial"/>
        <color rgb="FF0000FF"/>
      </rPr>
      <t xml:space="preserve">hp </t>
    </r>
    <r>
      <rPr>
        <rFont val="Arial"/>
        <color rgb="FFFF9900"/>
      </rPr>
      <t>(TABLE 7)</t>
    </r>
  </si>
  <si>
    <t>SOR (Standard Oxygen Requirement) calculation from AOR (Actual Oxygen Requirement)</t>
  </si>
  <si>
    <t>AOR = actual oxygen requirement (lbs/day)</t>
  </si>
  <si>
    <r>
      <rPr>
        <rFont val="Arial"/>
        <color theme="1"/>
      </rPr>
      <t>SOR = standard oxygen requirement</t>
    </r>
    <r>
      <rPr>
        <rFont val="Arial"/>
        <color theme="1"/>
      </rPr>
      <t xml:space="preserve"> (lbs/day)</t>
    </r>
  </si>
  <si>
    <r>
      <rPr>
        <rFont val="Arial"/>
        <color theme="1"/>
      </rPr>
      <t xml:space="preserve">α = Wastewater Correction Factor for Oxygen Transfer
</t>
    </r>
    <r>
      <rPr>
        <rFont val="Arial"/>
        <color theme="1"/>
      </rPr>
      <t>Oxygen transfer depends on the quantity and type of suspended solids in the water, as these change the viscosity and density of the liquid and the mixing capacity of the device. The α-factor express the ratio between the oxygen mass transfer coefficients for wastewater compared to that for the same device in clean water (KLa wastewater / KLa tap water). The value depends on aeration system and design configuration.</t>
    </r>
  </si>
  <si>
    <r>
      <rPr>
        <rFont val="Arial"/>
        <color theme="1"/>
      </rPr>
      <t>F = Fouling factor</t>
    </r>
    <r>
      <rPr>
        <rFont val="Arial"/>
        <color theme="1"/>
      </rPr>
      <t>, accounts for the loss of oxygen transfer efficiency due to the buildup or scaling of biological and/or chemical film or deposits on the surface of aeration equipment.</t>
    </r>
  </si>
  <si>
    <r>
      <rPr>
        <rFont val="Arial"/>
        <color theme="1"/>
      </rPr>
      <t>β = Wastewater Correction Factor for Oxygen Solubility</t>
    </r>
    <r>
      <rPr>
        <rFont val="Arial"/>
        <color theme="1"/>
      </rPr>
      <t>, used to correct for the dissolved solids in wastewater. The solubility of oxygen in wastewater is 95 to 99 percent of that of pure water.</t>
    </r>
  </si>
  <si>
    <t xml:space="preserve">Ω = Pressure Correction Factor for Oxygen Saturation, accounts for variations in oxygen transfer efficiency due to changes in DO due to pressure changes. </t>
  </si>
  <si>
    <t>Csc = Depth corrected standard DO saturation value, mg/L</t>
  </si>
  <si>
    <t>Cs20 = DO saturation value of water at standard temperature of 20°C, zero salt concentration, (mg/L)</t>
  </si>
  <si>
    <t>CsT = DO saturation value of water at process temperature, zero salt concentration, mg/L</t>
  </si>
  <si>
    <r>
      <rPr>
        <rFont val="Arial"/>
        <color theme="1"/>
      </rPr>
      <t>CL = Desired DO concentration of the wastewater</t>
    </r>
    <r>
      <rPr>
        <rFont val="Arial"/>
        <color theme="1"/>
      </rPr>
      <t>, (mg/L)</t>
    </r>
  </si>
  <si>
    <t>c = Depth correction factor for the diffuser system</t>
  </si>
  <si>
    <t>d = Depth of diffuser, in feet</t>
  </si>
  <si>
    <r>
      <rPr>
        <rFont val="Arial"/>
        <color theme="1"/>
      </rPr>
      <t>Pamb = Barometric pressure at the job site</t>
    </r>
    <r>
      <rPr>
        <rFont val="Arial"/>
        <color theme="1"/>
      </rPr>
      <t xml:space="preserve"> (inches of mercury, or PSI)</t>
    </r>
  </si>
  <si>
    <t>Pstd = Barometric pressure at Mean Sea Level (29.92 in or 14.7 PSIA)</t>
  </si>
  <si>
    <t>Pvap = Vapor pressure, caused due to evaporation at temperature T (in meters of water column)</t>
  </si>
  <si>
    <t>M = Molar mass of air, 0.02896 kg/mol</t>
  </si>
  <si>
    <t>g = Gravitational constant, 9.807 m/s^2</t>
  </si>
  <si>
    <r>
      <rPr>
        <rFont val="Arial"/>
        <color theme="1"/>
      </rPr>
      <t>h = Elevation at job site</t>
    </r>
    <r>
      <rPr>
        <rFont val="Arial"/>
        <color theme="1"/>
      </rPr>
      <t>, in meters</t>
    </r>
  </si>
  <si>
    <t>R = Molar gas constant, 8.3143 N.m/(mol.K)</t>
  </si>
  <si>
    <t>REFERENCE TABLES, GRAPHS</t>
  </si>
  <si>
    <t>Table 1: α, β, F, c correction factors based on Aeration system</t>
  </si>
  <si>
    <t>α Range</t>
  </si>
  <si>
    <t>Typical α Value</t>
  </si>
  <si>
    <t>β Range</t>
  </si>
  <si>
    <t>Typical β Value</t>
  </si>
  <si>
    <t>F Range</t>
  </si>
  <si>
    <t>Typical F Value</t>
  </si>
  <si>
    <t>Typical c Value</t>
  </si>
  <si>
    <t>Fine bubble diffusers (no N-DN)</t>
  </si>
  <si>
    <t>0.40 to 0.45</t>
  </si>
  <si>
    <t>0.95 to 0.99</t>
  </si>
  <si>
    <t>0.50 to 1.00</t>
  </si>
  <si>
    <t>Fine bubble diffusers (N only)</t>
  </si>
  <si>
    <t>0.55 to 0.65</t>
  </si>
  <si>
    <t>Fine bubble diffusers (N-DN)</t>
  </si>
  <si>
    <t>0.65 to 0.75</t>
  </si>
  <si>
    <t>0.50 to 0.70</t>
  </si>
  <si>
    <t>0.70 to 0.80</t>
  </si>
  <si>
    <t>0.95 to 1.00</t>
  </si>
  <si>
    <t>Table 2: θ variation with Temperature</t>
  </si>
  <si>
    <t>Temperature Range (T)</t>
  </si>
  <si>
    <t>θ Value</t>
  </si>
  <si>
    <t>5°C to &lt; 20°C</t>
  </si>
  <si>
    <t>20°C to &lt; 35°C</t>
  </si>
  <si>
    <t>35°C to 45°C</t>
  </si>
  <si>
    <t>Table 3: Atm. Pressure vs Altitude (for Pstd)</t>
  </si>
  <si>
    <t>Altitude (feet)</t>
  </si>
  <si>
    <t>P(std) (inches)</t>
  </si>
  <si>
    <t>Table 4: Surface oxygen solubility for different temp. (Tw), salt conc. (Chlorinity or Salinity in ppt (parts per trillion))</t>
  </si>
  <si>
    <t>Chlorinity (ppt) ➡</t>
  </si>
  <si>
    <t>Salinity (ppt) ➡</t>
  </si>
  <si>
    <t>Temp (°C) ⬇</t>
  </si>
  <si>
    <t>DO (mg/L) ⬇</t>
  </si>
  <si>
    <t>Table 5: Standard Oxygen Transfer Efficiencies (SOTE unit) per ft submerged</t>
  </si>
  <si>
    <t>Diffuser System</t>
  </si>
  <si>
    <t>SOTE (%/ft)</t>
  </si>
  <si>
    <t>Table 6: Standard Aeration Efficiencies (SAE)</t>
  </si>
  <si>
    <t>Equipment</t>
  </si>
  <si>
    <t>SAE Range (lbs O2/hp.hr)</t>
  </si>
  <si>
    <t>Typical SAE (lbs O2/hp.hr)</t>
  </si>
  <si>
    <t>Mechanical Surface Aeration - Surface low-speed</t>
  </si>
  <si>
    <t>2.5 to 3.5</t>
  </si>
  <si>
    <t>Mechanical Surface Aeration - Surface low-speed with draft tube</t>
  </si>
  <si>
    <t>2.0 to 4.6</t>
  </si>
  <si>
    <t>Mechanical Surface Aeration - Surface high-speed</t>
  </si>
  <si>
    <t>1.8 to 2.3</t>
  </si>
  <si>
    <t>Mechanical Surface Aeration - Submerged turbine with draft tube</t>
  </si>
  <si>
    <t>2.0 to 3.3</t>
  </si>
  <si>
    <t>Mechanical Surface Aeration - Submerged turbine</t>
  </si>
  <si>
    <t>1.8 to 3.5</t>
  </si>
  <si>
    <t>Mechanical Surface Aeration - Submerged turbine with sparger</t>
  </si>
  <si>
    <t>Mechanical Surface Aeration - Horizontal rotor</t>
  </si>
  <si>
    <t>1.5 to 3.6</t>
  </si>
  <si>
    <t>Mechanical Surface Aeration - Other</t>
  </si>
  <si>
    <t>Diffused Aeration - Fine Bubble</t>
  </si>
  <si>
    <t>Diffused Aeration - Medium Bubble</t>
  </si>
  <si>
    <t>1.6 to 2.6</t>
  </si>
  <si>
    <t>1.0 to 2.0</t>
  </si>
  <si>
    <t>Diffused Aeration - Tubular System or Static Tube</t>
  </si>
  <si>
    <t>2.0 to 2.6</t>
  </si>
  <si>
    <t>Diffused Aeration - Jet</t>
  </si>
  <si>
    <t>2.0 to 4.0</t>
  </si>
  <si>
    <t>Diffused Aeration - Aspirator Jet</t>
  </si>
  <si>
    <t>2.5 to 4.0</t>
  </si>
  <si>
    <t>Diffused Aeration - U-Tube</t>
  </si>
  <si>
    <t>2.1 to 4.0</t>
  </si>
  <si>
    <t>Diffused Aeration - Other</t>
  </si>
  <si>
    <t>Table 7: Minimum Aeration Requirements</t>
  </si>
  <si>
    <t>Diffused Aeration</t>
  </si>
  <si>
    <t>Qmin,unit (m3 / 
1000 m3.min)</t>
  </si>
  <si>
    <t>Qmin,unit (cfm / million gal)</t>
  </si>
  <si>
    <t>Fine bubble diffused aeration</t>
  </si>
  <si>
    <t>Mechanical surface aeration</t>
  </si>
  <si>
    <t>Pmin,unit (kW / 
1000 m3)</t>
  </si>
  <si>
    <t>Pmin,unit (hp/gal)</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</si>
</sst>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
    <numFmt numFmtId="166" formatCode="0.000"/>
    <numFmt numFmtId="167" formatCode="0.0000"/>
    <numFmt numFmtId="168" formatCode="0.0%"/>
  </numFmts>
  <fonts count="22">
    <font>
      <sz val="10.0"/>
      <color rgb="FF000000"/>
      <name val="Arial"/>
      <scheme val="minor"/>
    </font>
    <font>
      <b/>
      <sz val="12.0"/>
      <color rgb="FFFF0000"/>
      <name val="Arial"/>
      <scheme val="minor"/>
    </font>
    <font>
      <b/>
      <sz val="12.0"/>
      <color theme="1"/>
      <name val="Arial"/>
      <scheme val="minor"/>
    </font>
    <font/>
    <font>
      <b/>
      <sz val="11.0"/>
      <color theme="1"/>
      <name val="Arial"/>
      <scheme val="minor"/>
    </font>
    <font>
      <b/>
      <color rgb="FF6AA84F"/>
      <name val="Arial"/>
      <scheme val="minor"/>
    </font>
    <font>
      <color theme="1"/>
      <name val="Arial"/>
      <scheme val="minor"/>
    </font>
    <font>
      <color theme="1"/>
      <name val="Arial"/>
    </font>
    <font>
      <color rgb="FF000000"/>
      <name val="Arial"/>
    </font>
    <font>
      <b/>
      <sz val="11.0"/>
      <color rgb="FF000000"/>
      <name val="Arial"/>
      <scheme val="minor"/>
    </font>
    <font>
      <u/>
      <color rgb="FF1155CC"/>
    </font>
    <font>
      <u/>
      <color rgb="FF1155CC"/>
      <name val="Arial"/>
      <scheme val="minor"/>
    </font>
    <font>
      <u/>
      <color rgb="FF1155CC"/>
    </font>
    <font>
      <color rgb="FFFF0000"/>
      <name val="Arial"/>
      <scheme val="minor"/>
    </font>
    <font>
      <color rgb="FF0000FF"/>
      <name val="Arial"/>
      <scheme val="minor"/>
    </font>
    <font>
      <color rgb="FF0000FF"/>
      <name val="Arial"/>
    </font>
    <font>
      <b/>
      <color theme="1"/>
      <name val="Arial"/>
      <scheme val="minor"/>
    </font>
    <font>
      <u/>
      <color rgb="FF1155CC"/>
    </font>
    <font>
      <color rgb="FFFF9900"/>
      <name val="Arial"/>
      <scheme val="minor"/>
    </font>
    <font>
      <u/>
      <color rgb="FF1155CC"/>
    </font>
    <font>
      <sz val="10.0"/>
      <color theme="1"/>
      <name val="Arial"/>
      <scheme val="minor"/>
    </font>
    <font>
      <b/>
      <color rgb="FF000000"/>
      <name val="Arial"/>
    </font>
  </fonts>
  <fills count="9">
    <fill>
      <patternFill patternType="none"/>
    </fill>
    <fill>
      <patternFill patternType="lightGray"/>
    </fill>
    <fill>
      <patternFill patternType="solid">
        <fgColor rgb="FFEFEFEF"/>
        <bgColor rgb="FFEFEFEF"/>
      </patternFill>
    </fill>
    <fill>
      <patternFill patternType="solid">
        <fgColor rgb="FFF4CCCC"/>
        <bgColor rgb="FFF4CCCC"/>
      </patternFill>
    </fill>
    <fill>
      <patternFill patternType="solid">
        <fgColor theme="0"/>
        <bgColor theme="0"/>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FCE5CD"/>
        <bgColor rgb="FFFCE5CD"/>
      </patternFill>
    </fill>
  </fills>
  <borders count="2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border>
    <border>
      <left style="thin">
        <color rgb="FF000000"/>
      </left>
    </border>
    <border>
      <left style="thin">
        <color rgb="FF000000"/>
      </left>
      <right style="thin">
        <color rgb="FF000000"/>
      </right>
      <bottom style="thin">
        <color rgb="FF000000"/>
      </bottom>
    </border>
    <border>
      <left style="thin">
        <color rgb="FF000000"/>
      </left>
      <bottom style="thin">
        <color rgb="FF000000"/>
      </bottom>
    </border>
    <border>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
      <right style="thin">
        <color rgb="FF000000"/>
      </right>
      <bottom style="medium">
        <color rgb="FF000000"/>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bottom style="medium">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border>
    <border>
      <left style="thin">
        <color rgb="FF000000"/>
      </left>
      <right style="medium">
        <color rgb="FF000000"/>
      </right>
      <bottom style="thin">
        <color rgb="FF000000"/>
      </bottom>
    </border>
    <border>
      <left style="thin">
        <color rgb="FF000000"/>
      </left>
      <top style="thin">
        <color rgb="FF000000"/>
      </top>
    </border>
  </borders>
  <cellStyleXfs count="1">
    <xf borderId="0" fillId="0" fontId="0" numFmtId="0" applyAlignment="1" applyFont="1"/>
  </cellStyleXfs>
  <cellXfs count="256">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1" fillId="2" fontId="2" numFmtId="0" xfId="0" applyAlignment="1" applyBorder="1" applyFill="1" applyFont="1">
      <alignment readingOrder="0" vertical="center"/>
    </xf>
    <xf borderId="2" fillId="0" fontId="3" numFmtId="0" xfId="0" applyBorder="1" applyFont="1"/>
    <xf borderId="3" fillId="0" fontId="3" numFmtId="0" xfId="0" applyBorder="1" applyFont="1"/>
    <xf borderId="1" fillId="3" fontId="4" numFmtId="0" xfId="0" applyAlignment="1" applyBorder="1" applyFill="1" applyFont="1">
      <alignment horizontal="left" readingOrder="0" shrinkToFit="0" vertical="center" wrapText="1"/>
    </xf>
    <xf borderId="4" fillId="4" fontId="5" numFmtId="0" xfId="0" applyAlignment="1" applyBorder="1" applyFill="1" applyFont="1">
      <alignment horizontal="left" readingOrder="0" shrinkToFit="0" vertical="center" wrapText="1"/>
    </xf>
    <xf borderId="4" fillId="0" fontId="3" numFmtId="0" xfId="0" applyBorder="1" applyFont="1"/>
    <xf borderId="0" fillId="4" fontId="6" numFmtId="0" xfId="0" applyAlignment="1" applyFont="1">
      <alignment horizontal="center" readingOrder="0" shrinkToFit="0" vertical="center" wrapText="1"/>
    </xf>
    <xf borderId="5" fillId="0" fontId="6" numFmtId="0" xfId="0" applyAlignment="1" applyBorder="1" applyFont="1">
      <alignment horizontal="left" readingOrder="0" shrinkToFit="0" vertical="center" wrapText="1"/>
    </xf>
    <xf borderId="0" fillId="5" fontId="6" numFmtId="0" xfId="0" applyAlignment="1" applyFill="1" applyFont="1">
      <alignment horizontal="right" readingOrder="0" shrinkToFit="0" vertical="center" wrapText="1"/>
    </xf>
    <xf borderId="0" fillId="0" fontId="6" numFmtId="0" xfId="0" applyAlignment="1" applyFont="1">
      <alignment horizontal="left" vertical="center"/>
    </xf>
    <xf borderId="0" fillId="4" fontId="6" numFmtId="0" xfId="0" applyAlignment="1" applyFont="1">
      <alignment horizontal="center" readingOrder="0" vertical="center"/>
    </xf>
    <xf borderId="5" fillId="0" fontId="6" numFmtId="0" xfId="0" applyAlignment="1" applyBorder="1" applyFont="1">
      <alignment readingOrder="0" vertical="center"/>
    </xf>
    <xf borderId="0" fillId="5" fontId="6" numFmtId="3" xfId="0" applyAlignment="1" applyFont="1" applyNumberFormat="1">
      <alignment horizontal="right" readingOrder="0" vertical="center"/>
    </xf>
    <xf borderId="0" fillId="4" fontId="6" numFmtId="0" xfId="0" applyAlignment="1" applyFont="1">
      <alignment horizontal="left" readingOrder="0" vertical="center"/>
    </xf>
    <xf borderId="0" fillId="5" fontId="6" numFmtId="164" xfId="0" applyAlignment="1" applyFont="1" applyNumberFormat="1">
      <alignment horizontal="right" readingOrder="0" vertical="center"/>
    </xf>
    <xf borderId="1" fillId="4" fontId="5" numFmtId="0" xfId="0" applyAlignment="1" applyBorder="1" applyFont="1">
      <alignment horizontal="left" readingOrder="0" shrinkToFit="0" vertical="center" wrapText="1"/>
    </xf>
    <xf borderId="5" fillId="4" fontId="6" numFmtId="0" xfId="0" applyAlignment="1" applyBorder="1" applyFont="1">
      <alignment horizontal="left" readingOrder="0" shrinkToFit="0" vertical="center" wrapText="1"/>
    </xf>
    <xf borderId="0" fillId="5" fontId="6" numFmtId="4" xfId="0" applyAlignment="1" applyFont="1" applyNumberFormat="1">
      <alignment horizontal="right" readingOrder="0" vertical="center"/>
    </xf>
    <xf borderId="0" fillId="0" fontId="7" numFmtId="3" xfId="0" applyAlignment="1" applyFont="1" applyNumberFormat="1">
      <alignment horizontal="left" readingOrder="0" vertical="center"/>
    </xf>
    <xf borderId="0" fillId="4" fontId="5" numFmtId="0" xfId="0" applyAlignment="1" applyFont="1">
      <alignment horizontal="left" readingOrder="0" shrinkToFit="0" vertical="center" wrapText="1"/>
    </xf>
    <xf borderId="5" fillId="0" fontId="7" numFmtId="0" xfId="0" applyAlignment="1" applyBorder="1" applyFont="1">
      <alignment readingOrder="0" vertical="top"/>
    </xf>
    <xf borderId="0" fillId="6" fontId="8" numFmtId="0" xfId="0" applyAlignment="1" applyFill="1" applyFont="1">
      <alignment horizontal="left" readingOrder="0" vertical="center"/>
    </xf>
    <xf borderId="0" fillId="0" fontId="6" numFmtId="0" xfId="0" applyAlignment="1" applyFont="1">
      <alignment vertical="center"/>
    </xf>
    <xf borderId="0" fillId="5" fontId="6" numFmtId="0" xfId="0" applyAlignment="1" applyFont="1">
      <alignment horizontal="right" readingOrder="0" vertical="center"/>
    </xf>
    <xf borderId="0" fillId="5" fontId="6" numFmtId="3" xfId="0" applyAlignment="1" applyFont="1" applyNumberFormat="1">
      <alignment horizontal="right" vertical="center"/>
    </xf>
    <xf borderId="0" fillId="4" fontId="6" numFmtId="0" xfId="0" applyAlignment="1" applyFont="1">
      <alignment horizontal="left" readingOrder="0" shrinkToFit="0" vertical="center" wrapText="1"/>
    </xf>
    <xf borderId="5" fillId="0" fontId="7" numFmtId="0" xfId="0" applyAlignment="1" applyBorder="1" applyFont="1">
      <alignment readingOrder="0" vertical="center"/>
    </xf>
    <xf borderId="0" fillId="5" fontId="7" numFmtId="0" xfId="0" applyAlignment="1" applyFont="1">
      <alignment horizontal="right" readingOrder="0" vertical="center"/>
    </xf>
    <xf borderId="0" fillId="0" fontId="7" numFmtId="0" xfId="0" applyAlignment="1" applyFont="1">
      <alignment horizontal="left" vertical="center"/>
    </xf>
    <xf borderId="5" fillId="0" fontId="7" numFmtId="0" xfId="0" applyAlignment="1" applyBorder="1" applyFont="1">
      <alignment vertical="center"/>
    </xf>
    <xf borderId="0" fillId="0" fontId="6" numFmtId="0" xfId="0" applyAlignment="1" applyFont="1">
      <alignment horizontal="center" readingOrder="0" shrinkToFit="0" vertical="center" wrapText="1"/>
    </xf>
    <xf borderId="5" fillId="0" fontId="6" numFmtId="0" xfId="0" applyAlignment="1" applyBorder="1" applyFont="1">
      <alignment readingOrder="0" shrinkToFit="0" vertical="center" wrapText="1"/>
    </xf>
    <xf borderId="6" fillId="5" fontId="6" numFmtId="0" xfId="0" applyAlignment="1" applyBorder="1" applyFont="1">
      <alignment horizontal="right" readingOrder="0" shrinkToFit="0" vertical="center" wrapText="1"/>
    </xf>
    <xf borderId="0" fillId="0" fontId="6" numFmtId="0" xfId="0" applyAlignment="1" applyFont="1">
      <alignment horizontal="left" shrinkToFit="0" vertical="center" wrapText="1"/>
    </xf>
    <xf borderId="0" fillId="0" fontId="6" numFmtId="0" xfId="0" applyAlignment="1" applyFont="1">
      <alignment shrinkToFit="0" vertical="center" wrapText="1"/>
    </xf>
    <xf borderId="6" fillId="5" fontId="6" numFmtId="165" xfId="0" applyAlignment="1" applyBorder="1" applyFont="1" applyNumberFormat="1">
      <alignment horizontal="right" readingOrder="0" shrinkToFit="0" vertical="center" wrapText="1"/>
    </xf>
    <xf borderId="4" fillId="0" fontId="6" numFmtId="0" xfId="0" applyAlignment="1" applyBorder="1" applyFont="1">
      <alignment horizontal="center" readingOrder="0" shrinkToFit="0" vertical="center" wrapText="1"/>
    </xf>
    <xf borderId="7" fillId="0" fontId="6" numFmtId="0" xfId="0" applyAlignment="1" applyBorder="1" applyFont="1">
      <alignment readingOrder="0" shrinkToFit="0" vertical="center" wrapText="1"/>
    </xf>
    <xf borderId="8" fillId="5" fontId="6" numFmtId="165" xfId="0" applyAlignment="1" applyBorder="1" applyFont="1" applyNumberFormat="1">
      <alignment horizontal="right" readingOrder="0" shrinkToFit="0" vertical="center" wrapText="1"/>
    </xf>
    <xf borderId="4" fillId="0" fontId="6" numFmtId="0" xfId="0" applyAlignment="1" applyBorder="1" applyFont="1">
      <alignment horizontal="left" shrinkToFit="0" vertical="center" wrapText="1"/>
    </xf>
    <xf borderId="4" fillId="0" fontId="6" numFmtId="0" xfId="0" applyAlignment="1" applyBorder="1" applyFont="1">
      <alignment shrinkToFit="0" vertical="center" wrapText="1"/>
    </xf>
    <xf borderId="6" fillId="0" fontId="6" numFmtId="0" xfId="0" applyAlignment="1" applyBorder="1" applyFont="1">
      <alignment readingOrder="0" shrinkToFit="0" vertical="center" wrapText="1"/>
    </xf>
    <xf borderId="6" fillId="0" fontId="6" numFmtId="0" xfId="0" applyAlignment="1" applyBorder="1" applyFont="1">
      <alignment horizontal="left" readingOrder="0" shrinkToFit="0" vertical="center" wrapText="1"/>
    </xf>
    <xf borderId="0" fillId="0" fontId="6" numFmtId="0" xfId="0" applyAlignment="1" applyFont="1">
      <alignment horizontal="left" readingOrder="0" shrinkToFit="0" vertical="center" wrapText="1"/>
    </xf>
    <xf borderId="9" fillId="0" fontId="6" numFmtId="0" xfId="0" applyAlignment="1" applyBorder="1" applyFont="1">
      <alignment horizontal="center" readingOrder="0" shrinkToFit="0" vertical="center" wrapText="1"/>
    </xf>
    <xf borderId="10" fillId="0" fontId="6" numFmtId="0" xfId="0" applyAlignment="1" applyBorder="1" applyFont="1">
      <alignment readingOrder="0" shrinkToFit="0" vertical="center" wrapText="1"/>
    </xf>
    <xf borderId="9" fillId="5" fontId="6" numFmtId="3" xfId="0" applyAlignment="1" applyBorder="1" applyFont="1" applyNumberFormat="1">
      <alignment horizontal="right" readingOrder="0" vertical="center"/>
    </xf>
    <xf borderId="9" fillId="0" fontId="6" numFmtId="0" xfId="0" applyAlignment="1" applyBorder="1" applyFont="1">
      <alignment horizontal="left" readingOrder="0" shrinkToFit="0" vertical="center" wrapText="1"/>
    </xf>
    <xf borderId="9" fillId="0" fontId="6" numFmtId="0" xfId="0" applyAlignment="1" applyBorder="1" applyFont="1">
      <alignment shrinkToFit="0" vertical="center" wrapText="1"/>
    </xf>
    <xf borderId="0" fillId="0" fontId="6" numFmtId="0" xfId="0" applyAlignment="1" applyFont="1">
      <alignment horizontal="center" shrinkToFit="0" vertical="center" wrapText="1"/>
    </xf>
    <xf borderId="1" fillId="2" fontId="2" numFmtId="0" xfId="0" applyAlignment="1" applyBorder="1" applyFont="1">
      <alignment readingOrder="0" shrinkToFit="0" vertical="center" wrapText="1"/>
    </xf>
    <xf borderId="0" fillId="0" fontId="6" numFmtId="0" xfId="0" applyAlignment="1" applyFont="1">
      <alignment readingOrder="0" shrinkToFit="0" vertical="center" wrapText="1"/>
    </xf>
    <xf borderId="11" fillId="3" fontId="9" numFmtId="0" xfId="0" applyAlignment="1" applyBorder="1" applyFont="1">
      <alignment horizontal="center" readingOrder="0" shrinkToFit="0" vertical="center" wrapText="1"/>
    </xf>
    <xf borderId="11" fillId="3" fontId="4" numFmtId="0" xfId="0" applyAlignment="1" applyBorder="1" applyFont="1">
      <alignment readingOrder="0" shrinkToFit="0" vertical="center" wrapText="1"/>
    </xf>
    <xf borderId="11" fillId="3" fontId="4" numFmtId="0" xfId="0" applyAlignment="1" applyBorder="1" applyFont="1">
      <alignment horizontal="left" readingOrder="0" shrinkToFit="0" vertical="center" wrapText="1"/>
    </xf>
    <xf borderId="0" fillId="6" fontId="4" numFmtId="0" xfId="0" applyAlignment="1" applyFont="1">
      <alignment readingOrder="0" shrinkToFit="0" vertical="center" wrapText="1"/>
    </xf>
    <xf borderId="12" fillId="0" fontId="6" numFmtId="0" xfId="0" applyAlignment="1" applyBorder="1" applyFont="1">
      <alignment horizontal="center" readingOrder="0" shrinkToFit="0" vertical="center" wrapText="1"/>
    </xf>
    <xf borderId="5" fillId="0" fontId="10" numFmtId="0" xfId="0" applyAlignment="1" applyBorder="1" applyFont="1">
      <alignment horizontal="left" readingOrder="0" shrinkToFit="0" vertical="center" wrapText="1"/>
    </xf>
    <xf borderId="0" fillId="0" fontId="11" numFmtId="0" xfId="0" applyAlignment="1" applyFont="1">
      <alignment readingOrder="0" shrinkToFit="0" vertical="center" wrapText="1"/>
    </xf>
    <xf borderId="13" fillId="0" fontId="6" numFmtId="0" xfId="0" applyAlignment="1" applyBorder="1" applyFont="1">
      <alignment horizontal="center" readingOrder="0" shrinkToFit="0" vertical="center" wrapText="1"/>
    </xf>
    <xf borderId="7" fillId="0" fontId="6" numFmtId="0" xfId="0" applyAlignment="1" applyBorder="1" applyFont="1">
      <alignment horizontal="left" readingOrder="0" shrinkToFit="0" vertical="center" wrapText="1"/>
    </xf>
    <xf borderId="7" fillId="0" fontId="12" numFmtId="0" xfId="0" applyAlignment="1" applyBorder="1" applyFont="1">
      <alignment horizontal="left" readingOrder="0" shrinkToFit="0" vertical="center" wrapText="1"/>
    </xf>
    <xf borderId="12" fillId="0" fontId="13" numFmtId="0" xfId="0" applyAlignment="1" applyBorder="1" applyFont="1">
      <alignment horizontal="center" readingOrder="0" shrinkToFit="0" vertical="center" wrapText="1"/>
    </xf>
    <xf borderId="12" fillId="0" fontId="13" numFmtId="0" xfId="0" applyAlignment="1" applyBorder="1" applyFont="1">
      <alignment readingOrder="0" shrinkToFit="0" wrapText="1"/>
    </xf>
    <xf borderId="0" fillId="7" fontId="13" numFmtId="3" xfId="0" applyAlignment="1" applyFill="1" applyFont="1" applyNumberFormat="1">
      <alignment horizontal="right" shrinkToFit="0" vertical="center" wrapText="1"/>
    </xf>
    <xf borderId="12" fillId="0" fontId="13" numFmtId="0" xfId="0" applyAlignment="1" applyBorder="1" applyFont="1">
      <alignment horizontal="left" shrinkToFit="0" vertical="center" wrapText="1"/>
    </xf>
    <xf borderId="14" fillId="0" fontId="13" numFmtId="0" xfId="0" applyAlignment="1" applyBorder="1" applyFont="1">
      <alignment horizontal="center" readingOrder="0" shrinkToFit="0" vertical="center" wrapText="1"/>
    </xf>
    <xf borderId="14" fillId="0" fontId="13" numFmtId="0" xfId="0" applyAlignment="1" applyBorder="1" applyFont="1">
      <alignment readingOrder="0" shrinkToFit="0" wrapText="1"/>
    </xf>
    <xf borderId="9" fillId="7" fontId="13" numFmtId="3" xfId="0" applyAlignment="1" applyBorder="1" applyFont="1" applyNumberFormat="1">
      <alignment horizontal="right" shrinkToFit="0" vertical="center" wrapText="1"/>
    </xf>
    <xf borderId="14" fillId="0" fontId="13" numFmtId="0" xfId="0" applyAlignment="1" applyBorder="1" applyFont="1">
      <alignment horizontal="left" shrinkToFit="0" vertical="center" wrapText="1"/>
    </xf>
    <xf borderId="9" fillId="0" fontId="13" numFmtId="0" xfId="0" applyAlignment="1" applyBorder="1" applyFont="1">
      <alignment horizontal="center" readingOrder="0"/>
    </xf>
    <xf borderId="14" fillId="0" fontId="13" numFmtId="0" xfId="0" applyAlignment="1" applyBorder="1" applyFont="1">
      <alignment horizontal="left" readingOrder="0" shrinkToFit="0" vertical="center" wrapText="1"/>
    </xf>
    <xf borderId="12" fillId="0" fontId="14" numFmtId="0" xfId="0" applyAlignment="1" applyBorder="1" applyFont="1">
      <alignment horizontal="center" readingOrder="0" shrinkToFit="0" vertical="center" wrapText="1"/>
    </xf>
    <xf borderId="12" fillId="0" fontId="14" numFmtId="0" xfId="0" applyAlignment="1" applyBorder="1" applyFont="1">
      <alignment readingOrder="0" shrinkToFit="0" wrapText="1"/>
    </xf>
    <xf borderId="0" fillId="7" fontId="14" numFmtId="1" xfId="0" applyAlignment="1" applyFont="1" applyNumberFormat="1">
      <alignment horizontal="right" shrinkToFit="0" vertical="center" wrapText="1"/>
    </xf>
    <xf borderId="12" fillId="0" fontId="14" numFmtId="0" xfId="0" applyAlignment="1" applyBorder="1" applyFont="1">
      <alignment horizontal="left" shrinkToFit="0" vertical="center" wrapText="1"/>
    </xf>
    <xf borderId="14" fillId="0" fontId="14" numFmtId="0" xfId="0" applyAlignment="1" applyBorder="1" applyFont="1">
      <alignment horizontal="center" readingOrder="0" shrinkToFit="0" vertical="center" wrapText="1"/>
    </xf>
    <xf borderId="14" fillId="6" fontId="15" numFmtId="0" xfId="0" applyAlignment="1" applyBorder="1" applyFont="1">
      <alignment horizontal="left" readingOrder="0" shrinkToFit="0" wrapText="1"/>
    </xf>
    <xf borderId="9" fillId="7" fontId="14" numFmtId="3" xfId="0" applyAlignment="1" applyBorder="1" applyFont="1" applyNumberFormat="1">
      <alignment horizontal="right" shrinkToFit="0" vertical="center" wrapText="1"/>
    </xf>
    <xf borderId="14" fillId="0" fontId="14" numFmtId="0" xfId="0" applyAlignment="1" applyBorder="1" applyFont="1">
      <alignment horizontal="left" shrinkToFit="0" vertical="center" wrapText="1"/>
    </xf>
    <xf borderId="9" fillId="0" fontId="14" numFmtId="0" xfId="0" applyAlignment="1" applyBorder="1" applyFont="1">
      <alignment horizontal="center" readingOrder="0"/>
    </xf>
    <xf borderId="12" fillId="0" fontId="6" numFmtId="0" xfId="0" applyAlignment="1" applyBorder="1" applyFont="1">
      <alignment readingOrder="0" shrinkToFit="0" vertical="center" wrapText="1"/>
    </xf>
    <xf borderId="0" fillId="7" fontId="6" numFmtId="165" xfId="0" applyAlignment="1" applyFont="1" applyNumberFormat="1">
      <alignment horizontal="right" shrinkToFit="0" vertical="center" wrapText="1"/>
    </xf>
    <xf borderId="12" fillId="0" fontId="6" numFmtId="0" xfId="0" applyAlignment="1" applyBorder="1" applyFont="1">
      <alignment horizontal="left" shrinkToFit="0" vertical="center" wrapText="1"/>
    </xf>
    <xf borderId="0" fillId="7" fontId="6" numFmtId="9" xfId="0" applyAlignment="1" applyFont="1" applyNumberFormat="1">
      <alignment horizontal="right" shrinkToFit="0" vertical="center" wrapText="1"/>
    </xf>
    <xf borderId="14" fillId="0" fontId="6" numFmtId="0" xfId="0" applyAlignment="1" applyBorder="1" applyFont="1">
      <alignment horizontal="center" readingOrder="0" shrinkToFit="0" vertical="center" wrapText="1"/>
    </xf>
    <xf borderId="14" fillId="0" fontId="6" numFmtId="0" xfId="0" applyAlignment="1" applyBorder="1" applyFont="1">
      <alignment readingOrder="0" shrinkToFit="0" vertical="center" wrapText="1"/>
    </xf>
    <xf borderId="9" fillId="7" fontId="6" numFmtId="0" xfId="0" applyAlignment="1" applyBorder="1" applyFont="1">
      <alignment horizontal="right" shrinkToFit="0" vertical="center" wrapText="1"/>
    </xf>
    <xf borderId="14" fillId="0" fontId="6" numFmtId="0" xfId="0" applyAlignment="1" applyBorder="1" applyFont="1">
      <alignment horizontal="left" shrinkToFit="0" vertical="center" wrapText="1"/>
    </xf>
    <xf borderId="11" fillId="2" fontId="16" numFmtId="0" xfId="0" applyAlignment="1" applyBorder="1" applyFont="1">
      <alignment horizontal="center" readingOrder="0" vertical="center"/>
    </xf>
    <xf borderId="3" fillId="2" fontId="16" numFmtId="0" xfId="0" applyAlignment="1" applyBorder="1" applyFont="1">
      <alignment horizontal="center" readingOrder="0" vertical="center"/>
    </xf>
    <xf borderId="5" fillId="0" fontId="6" numFmtId="0" xfId="0" applyAlignment="1" applyBorder="1" applyFont="1">
      <alignment horizontal="center" readingOrder="0" vertical="center"/>
    </xf>
    <xf borderId="12" fillId="0" fontId="6" numFmtId="0" xfId="0" applyAlignment="1" applyBorder="1" applyFont="1">
      <alignment horizontal="center" readingOrder="0" vertical="center"/>
    </xf>
    <xf borderId="12" fillId="0" fontId="6" numFmtId="165" xfId="0" applyAlignment="1" applyBorder="1" applyFont="1" applyNumberFormat="1">
      <alignment horizontal="center" readingOrder="0" vertical="center"/>
    </xf>
    <xf borderId="5" fillId="0" fontId="6" numFmtId="165" xfId="0" applyAlignment="1" applyBorder="1" applyFont="1" applyNumberFormat="1">
      <alignment horizontal="center" readingOrder="0" vertical="center"/>
    </xf>
    <xf borderId="7" fillId="0" fontId="6" numFmtId="165" xfId="0" applyAlignment="1" applyBorder="1" applyFont="1" applyNumberFormat="1">
      <alignment horizontal="center" readingOrder="0" vertical="center"/>
    </xf>
    <xf borderId="13" fillId="0" fontId="6" numFmtId="0" xfId="0" applyAlignment="1" applyBorder="1" applyFont="1">
      <alignment horizontal="center" readingOrder="0" vertical="center"/>
    </xf>
    <xf borderId="0" fillId="0" fontId="6" numFmtId="165" xfId="0" applyAlignment="1" applyFont="1" applyNumberFormat="1">
      <alignment readingOrder="0" shrinkToFit="0" vertical="center" wrapText="1"/>
    </xf>
    <xf borderId="11" fillId="2" fontId="16" numFmtId="0" xfId="0" applyAlignment="1" applyBorder="1" applyFont="1">
      <alignment readingOrder="0" shrinkToFit="0" vertical="center" wrapText="1"/>
    </xf>
    <xf borderId="3" fillId="2" fontId="16" numFmtId="0" xfId="0" applyAlignment="1" applyBorder="1" applyFont="1">
      <alignment readingOrder="0" vertical="center"/>
    </xf>
    <xf borderId="12" fillId="0" fontId="6" numFmtId="0" xfId="0" applyAlignment="1" applyBorder="1" applyFont="1">
      <alignment readingOrder="0" vertical="center"/>
    </xf>
    <xf borderId="13" fillId="0" fontId="6" numFmtId="0" xfId="0" applyAlignment="1" applyBorder="1" applyFont="1">
      <alignment horizontal="center" vertical="center"/>
    </xf>
    <xf borderId="13" fillId="0" fontId="6" numFmtId="0" xfId="0" applyAlignment="1" applyBorder="1" applyFont="1">
      <alignment vertical="center"/>
    </xf>
    <xf borderId="13" fillId="0" fontId="6" numFmtId="0" xfId="0" applyAlignment="1" applyBorder="1" applyFont="1">
      <alignment readingOrder="0" shrinkToFit="0" vertical="center" wrapText="1"/>
    </xf>
    <xf borderId="15" fillId="2" fontId="16" numFmtId="0" xfId="0" applyAlignment="1" applyBorder="1" applyFont="1">
      <alignment readingOrder="0" shrinkToFit="0" vertical="center" wrapText="1"/>
    </xf>
    <xf borderId="16" fillId="2" fontId="6" numFmtId="0" xfId="0" applyAlignment="1" applyBorder="1" applyFont="1">
      <alignment vertical="center"/>
    </xf>
    <xf borderId="17" fillId="2" fontId="6" numFmtId="0" xfId="0" applyAlignment="1" applyBorder="1" applyFont="1">
      <alignment vertical="center"/>
    </xf>
    <xf borderId="7" fillId="2" fontId="16" numFmtId="0" xfId="0" applyAlignment="1" applyBorder="1" applyFont="1">
      <alignment readingOrder="0" shrinkToFit="0" vertical="center" wrapText="1"/>
    </xf>
    <xf borderId="4" fillId="2" fontId="6" numFmtId="2" xfId="0" applyAlignment="1" applyBorder="1" applyFont="1" applyNumberFormat="1">
      <alignment vertical="center"/>
    </xf>
    <xf borderId="13" fillId="2" fontId="6" numFmtId="0" xfId="0" applyAlignment="1" applyBorder="1" applyFont="1">
      <alignment vertical="center"/>
    </xf>
    <xf borderId="0" fillId="7" fontId="6" numFmtId="2" xfId="0" applyAlignment="1" applyFont="1" applyNumberFormat="1">
      <alignment horizontal="center" vertical="center"/>
    </xf>
    <xf borderId="12" fillId="0" fontId="6" numFmtId="0" xfId="0" applyAlignment="1" applyBorder="1" applyFont="1">
      <alignment vertical="center"/>
    </xf>
    <xf borderId="0" fillId="7" fontId="6" numFmtId="3" xfId="0" applyAlignment="1" applyFont="1" applyNumberFormat="1">
      <alignment horizontal="center" readingOrder="0" vertical="center"/>
    </xf>
    <xf borderId="0" fillId="0" fontId="6" numFmtId="0" xfId="0" applyAlignment="1" applyFont="1">
      <alignment readingOrder="0" vertical="center"/>
    </xf>
    <xf borderId="11" fillId="0" fontId="16" numFmtId="0" xfId="0" applyAlignment="1" applyBorder="1" applyFont="1">
      <alignment readingOrder="0" shrinkToFit="0" vertical="center" wrapText="1"/>
    </xf>
    <xf borderId="2" fillId="7" fontId="16" numFmtId="3" xfId="0" applyAlignment="1" applyBorder="1" applyFont="1" applyNumberFormat="1">
      <alignment horizontal="center" readingOrder="0" vertical="center"/>
    </xf>
    <xf borderId="3" fillId="0" fontId="16" numFmtId="0" xfId="0" applyAlignment="1" applyBorder="1" applyFont="1">
      <alignment readingOrder="0" vertical="center"/>
    </xf>
    <xf borderId="15" fillId="0" fontId="6" numFmtId="0" xfId="0" applyAlignment="1" applyBorder="1" applyFont="1">
      <alignment readingOrder="0" shrinkToFit="0" vertical="center" wrapText="1"/>
    </xf>
    <xf borderId="16" fillId="0" fontId="6" numFmtId="9" xfId="0" applyAlignment="1" applyBorder="1" applyFont="1" applyNumberFormat="1">
      <alignment horizontal="center" vertical="center"/>
    </xf>
    <xf borderId="17" fillId="0" fontId="6" numFmtId="9" xfId="0" applyAlignment="1" applyBorder="1" applyFont="1" applyNumberFormat="1">
      <alignment horizontal="center" vertical="center"/>
    </xf>
    <xf borderId="4" fillId="0" fontId="6" numFmtId="9" xfId="0" applyAlignment="1" applyBorder="1" applyFont="1" applyNumberFormat="1">
      <alignment horizontal="center" vertical="center"/>
    </xf>
    <xf borderId="13" fillId="0" fontId="6" numFmtId="9" xfId="0" applyAlignment="1" applyBorder="1" applyFont="1" applyNumberFormat="1">
      <alignment horizontal="center" vertical="center"/>
    </xf>
    <xf borderId="0" fillId="0" fontId="6" numFmtId="0" xfId="0" applyAlignment="1" applyFont="1">
      <alignment readingOrder="0"/>
    </xf>
    <xf borderId="0" fillId="0" fontId="6" numFmtId="0" xfId="0" applyAlignment="1" applyFont="1">
      <alignment horizontal="center" vertical="center"/>
    </xf>
    <xf borderId="12" fillId="7" fontId="6" numFmtId="164" xfId="0" applyAlignment="1" applyBorder="1" applyFont="1" applyNumberFormat="1">
      <alignment horizontal="center" readingOrder="0" vertical="center"/>
    </xf>
    <xf borderId="0" fillId="0" fontId="6" numFmtId="2" xfId="0" applyFont="1" applyNumberFormat="1"/>
    <xf borderId="12" fillId="7" fontId="6" numFmtId="3" xfId="0" applyAlignment="1" applyBorder="1" applyFont="1" applyNumberFormat="1">
      <alignment horizontal="center" readingOrder="0" vertical="center"/>
    </xf>
    <xf borderId="0" fillId="0" fontId="6" numFmtId="2" xfId="0" applyAlignment="1" applyFont="1" applyNumberFormat="1">
      <alignment vertical="center"/>
    </xf>
    <xf borderId="3" fillId="7" fontId="16" numFmtId="3" xfId="0" applyAlignment="1" applyBorder="1" applyFont="1" applyNumberFormat="1">
      <alignment horizontal="center" readingOrder="0" vertical="center"/>
    </xf>
    <xf borderId="0" fillId="0" fontId="14" numFmtId="0" xfId="0" applyAlignment="1" applyFont="1">
      <alignment readingOrder="0" shrinkToFit="0" vertical="center" wrapText="1"/>
    </xf>
    <xf borderId="0" fillId="0" fontId="16" numFmtId="0" xfId="0" applyAlignment="1" applyFont="1">
      <alignment readingOrder="0" shrinkToFit="0" vertical="center" wrapText="1"/>
    </xf>
    <xf borderId="6" fillId="0" fontId="6" numFmtId="0" xfId="0" applyAlignment="1" applyBorder="1" applyFont="1">
      <alignment shrinkToFit="0" vertical="center" wrapText="1"/>
    </xf>
    <xf borderId="12" fillId="0" fontId="6" numFmtId="0" xfId="0" applyAlignment="1" applyBorder="1" applyFont="1">
      <alignment shrinkToFit="0" vertical="center" wrapText="1"/>
    </xf>
    <xf borderId="11" fillId="2" fontId="16"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1"/>
    </xf>
    <xf borderId="5" fillId="0" fontId="6" numFmtId="2" xfId="0" applyAlignment="1" applyBorder="1" applyFont="1" applyNumberFormat="1">
      <alignment horizontal="center" readingOrder="0" shrinkToFit="0" vertical="center" wrapText="1"/>
    </xf>
    <xf borderId="7" fillId="0" fontId="6" numFmtId="2" xfId="0" applyAlignment="1" applyBorder="1" applyFont="1" applyNumberFormat="1">
      <alignment horizontal="center" readingOrder="0" shrinkToFit="0" vertical="center" wrapText="1"/>
    </xf>
    <xf borderId="12" fillId="0" fontId="3" numFmtId="0" xfId="0" applyBorder="1" applyFont="1"/>
    <xf borderId="6" fillId="0" fontId="17" numFmtId="0" xfId="0" applyAlignment="1" applyBorder="1" applyFont="1">
      <alignment readingOrder="0" shrinkToFit="0" vertical="center" wrapText="1"/>
    </xf>
    <xf borderId="11" fillId="2" fontId="4" numFmtId="0" xfId="0" applyAlignment="1" applyBorder="1" applyFont="1">
      <alignment readingOrder="0" shrinkToFit="0" vertical="center" wrapText="1"/>
    </xf>
    <xf borderId="1" fillId="2" fontId="6" numFmtId="0" xfId="0" applyAlignment="1" applyBorder="1" applyFont="1">
      <alignment shrinkToFit="0" vertical="center" wrapText="1"/>
    </xf>
    <xf borderId="3" fillId="2" fontId="6" numFmtId="0" xfId="0" applyAlignment="1" applyBorder="1" applyFont="1">
      <alignment shrinkToFit="0" vertical="center" wrapText="1"/>
    </xf>
    <xf borderId="6" fillId="7" fontId="6" numFmtId="2" xfId="0" applyAlignment="1" applyBorder="1" applyFont="1" applyNumberFormat="1">
      <alignment horizontal="center" readingOrder="0" shrinkToFit="0" vertical="center" wrapText="1"/>
    </xf>
    <xf borderId="12" fillId="0" fontId="18" numFmtId="0" xfId="0" applyAlignment="1" applyBorder="1" applyFont="1">
      <alignment readingOrder="0" shrinkToFit="0" vertical="center" wrapText="1"/>
    </xf>
    <xf borderId="6" fillId="7" fontId="6" numFmtId="2" xfId="0" applyAlignment="1" applyBorder="1" applyFont="1" applyNumberFormat="1">
      <alignment horizontal="center" shrinkToFit="0" vertical="center" wrapText="1"/>
    </xf>
    <xf borderId="6" fillId="7" fontId="6" numFmtId="0" xfId="0" applyAlignment="1" applyBorder="1" applyFont="1">
      <alignment horizontal="center" readingOrder="0" shrinkToFit="0" vertical="center" wrapText="1"/>
    </xf>
    <xf borderId="6" fillId="7" fontId="6" numFmtId="2" xfId="0" applyAlignment="1" applyBorder="1" applyFont="1" applyNumberFormat="1">
      <alignment horizontal="center"/>
    </xf>
    <xf borderId="12" fillId="0" fontId="6" numFmtId="0" xfId="0" applyAlignment="1" applyBorder="1" applyFont="1">
      <alignment readingOrder="0"/>
    </xf>
    <xf borderId="6" fillId="7" fontId="6" numFmtId="166" xfId="0" applyAlignment="1" applyBorder="1" applyFont="1" applyNumberFormat="1">
      <alignment horizontal="center"/>
    </xf>
    <xf borderId="12" fillId="0" fontId="18" numFmtId="0" xfId="0" applyAlignment="1" applyBorder="1" applyFont="1">
      <alignment readingOrder="0"/>
    </xf>
    <xf borderId="6" fillId="7" fontId="6" numFmtId="0" xfId="0" applyAlignment="1" applyBorder="1" applyFont="1">
      <alignment horizontal="center" shrinkToFit="0" vertical="center" wrapText="1"/>
    </xf>
    <xf borderId="6" fillId="7" fontId="6" numFmtId="0" xfId="0" applyAlignment="1" applyBorder="1" applyFont="1">
      <alignment horizontal="center" readingOrder="0"/>
    </xf>
    <xf borderId="6" fillId="7" fontId="6" numFmtId="167" xfId="0" applyAlignment="1" applyBorder="1" applyFont="1" applyNumberFormat="1">
      <alignment horizontal="center" readingOrder="0" shrinkToFit="0" vertical="center" wrapText="1"/>
    </xf>
    <xf borderId="18" fillId="7" fontId="6" numFmtId="2" xfId="0" applyAlignment="1" applyBorder="1" applyFont="1" applyNumberFormat="1">
      <alignment horizontal="center" shrinkToFit="0" vertical="center" wrapText="1"/>
    </xf>
    <xf borderId="6" fillId="7" fontId="6" numFmtId="1" xfId="0" applyAlignment="1" applyBorder="1" applyFont="1" applyNumberFormat="1">
      <alignment horizontal="center" readingOrder="0" shrinkToFit="0" vertical="center" wrapText="1"/>
    </xf>
    <xf borderId="9" fillId="0" fontId="16" numFmtId="0" xfId="0" applyAlignment="1" applyBorder="1" applyFont="1">
      <alignment readingOrder="0" shrinkToFit="0" vertical="center" wrapText="1"/>
    </xf>
    <xf borderId="18" fillId="7" fontId="16" numFmtId="1" xfId="0" applyAlignment="1" applyBorder="1" applyFont="1" applyNumberFormat="1">
      <alignment horizontal="center" shrinkToFit="0" vertical="center" wrapText="1"/>
    </xf>
    <xf borderId="14" fillId="0" fontId="16" numFmtId="0" xfId="0" applyAlignment="1" applyBorder="1" applyFont="1">
      <alignment readingOrder="0" shrinkToFit="0" vertical="center" wrapText="1"/>
    </xf>
    <xf borderId="0" fillId="0" fontId="19" numFmtId="0" xfId="0" applyAlignment="1" applyFont="1">
      <alignment readingOrder="0" shrinkToFit="0" vertical="center" wrapText="1"/>
    </xf>
    <xf borderId="0" fillId="2" fontId="4" numFmtId="0" xfId="0" applyAlignment="1" applyFont="1">
      <alignment readingOrder="0" shrinkToFit="0" vertical="center" wrapText="1"/>
    </xf>
    <xf borderId="0" fillId="8" fontId="4" numFmtId="0" xfId="0" applyAlignment="1" applyFill="1" applyFont="1">
      <alignment readingOrder="0" shrinkToFit="0" vertical="center" wrapText="1"/>
    </xf>
    <xf borderId="0" fillId="7" fontId="6" numFmtId="4" xfId="0" applyAlignment="1" applyFont="1" applyNumberFormat="1">
      <alignment horizontal="center" readingOrder="0" shrinkToFit="0" vertical="center" wrapText="1"/>
    </xf>
    <xf borderId="0" fillId="7" fontId="6" numFmtId="165" xfId="0" applyAlignment="1" applyFont="1" applyNumberFormat="1">
      <alignment horizontal="center" shrinkToFit="0" vertical="center" wrapText="1"/>
    </xf>
    <xf borderId="0" fillId="7" fontId="6" numFmtId="2" xfId="0" applyAlignment="1" applyFont="1" applyNumberFormat="1">
      <alignment horizontal="center" shrinkToFit="0" vertical="center" wrapText="1"/>
    </xf>
    <xf borderId="0" fillId="0" fontId="18" numFmtId="0" xfId="0" applyAlignment="1" applyFont="1">
      <alignment readingOrder="0" shrinkToFit="0" vertical="center" wrapText="1"/>
    </xf>
    <xf borderId="0" fillId="7" fontId="6" numFmtId="1" xfId="0" applyAlignment="1" applyFont="1" applyNumberFormat="1">
      <alignment horizontal="center" shrinkToFit="0" vertical="center" wrapText="1"/>
    </xf>
    <xf borderId="0" fillId="7" fontId="6" numFmtId="168" xfId="0" applyAlignment="1" applyFont="1" applyNumberFormat="1">
      <alignment horizontal="center" shrinkToFit="0" vertical="center" wrapText="1"/>
    </xf>
    <xf borderId="0" fillId="7" fontId="6" numFmtId="168" xfId="0" applyAlignment="1" applyFont="1" applyNumberFormat="1">
      <alignment horizontal="center" readingOrder="0" shrinkToFit="0" vertical="center" wrapText="1"/>
    </xf>
    <xf borderId="0" fillId="7" fontId="6" numFmtId="0" xfId="0" applyAlignment="1" applyFont="1">
      <alignment horizontal="center" readingOrder="0" shrinkToFit="0" vertical="center" wrapText="1"/>
    </xf>
    <xf borderId="0" fillId="7" fontId="6" numFmtId="165" xfId="0" applyAlignment="1" applyFont="1" applyNumberFormat="1">
      <alignment horizontal="center"/>
    </xf>
    <xf borderId="9" fillId="0" fontId="6" numFmtId="0" xfId="0" applyAlignment="1" applyBorder="1" applyFont="1">
      <alignment readingOrder="0"/>
    </xf>
    <xf borderId="9" fillId="7" fontId="6" numFmtId="165" xfId="0" applyAlignment="1" applyBorder="1" applyFont="1" applyNumberFormat="1">
      <alignment horizontal="center"/>
    </xf>
    <xf borderId="0" fillId="0" fontId="14" numFmtId="0" xfId="0" applyAlignment="1" applyFont="1">
      <alignment readingOrder="0"/>
    </xf>
    <xf borderId="0" fillId="7" fontId="14" numFmtId="3" xfId="0" applyAlignment="1" applyFont="1" applyNumberFormat="1">
      <alignment horizontal="center" shrinkToFit="0" vertical="center" wrapText="1"/>
    </xf>
    <xf borderId="0" fillId="7" fontId="14" numFmtId="165" xfId="0" applyAlignment="1" applyFont="1" applyNumberFormat="1">
      <alignment horizontal="center" shrinkToFit="0" vertical="center" wrapText="1"/>
    </xf>
    <xf borderId="0" fillId="7" fontId="14" numFmtId="1" xfId="0" applyAlignment="1" applyFont="1" applyNumberFormat="1">
      <alignment horizontal="center" shrinkToFit="0" vertical="center" wrapText="1"/>
    </xf>
    <xf borderId="0" fillId="7" fontId="14" numFmtId="9" xfId="0" applyAlignment="1" applyFont="1" applyNumberFormat="1">
      <alignment horizontal="center" shrinkToFit="0" vertical="center" wrapText="1"/>
    </xf>
    <xf borderId="9" fillId="0" fontId="14" numFmtId="0" xfId="0" applyAlignment="1" applyBorder="1" applyFont="1">
      <alignment readingOrder="0" shrinkToFit="0" vertical="center" wrapText="1"/>
    </xf>
    <xf borderId="9" fillId="7" fontId="14" numFmtId="0" xfId="0" applyAlignment="1" applyBorder="1" applyFont="1">
      <alignment horizontal="center" shrinkToFit="0" vertical="center" wrapText="1"/>
    </xf>
    <xf borderId="9" fillId="0" fontId="18" numFmtId="0" xfId="0" applyAlignment="1" applyBorder="1" applyFont="1">
      <alignment readingOrder="0" shrinkToFit="0" vertical="center" wrapText="1"/>
    </xf>
    <xf borderId="0" fillId="7" fontId="6" numFmtId="4" xfId="0" applyAlignment="1" applyFont="1" applyNumberFormat="1">
      <alignment horizontal="center" shrinkToFit="0" vertical="center" wrapText="1"/>
    </xf>
    <xf borderId="0" fillId="7" fontId="6" numFmtId="0" xfId="0" applyAlignment="1" applyFont="1">
      <alignment horizontal="center" shrinkToFit="0" vertical="center" wrapText="1"/>
    </xf>
    <xf borderId="9" fillId="7" fontId="6" numFmtId="165" xfId="0" applyAlignment="1" applyBorder="1" applyFont="1" applyNumberFormat="1">
      <alignment horizontal="center" shrinkToFit="0" vertical="center" wrapText="1"/>
    </xf>
    <xf borderId="9" fillId="0" fontId="14" numFmtId="0" xfId="0" applyAlignment="1" applyBorder="1" applyFont="1">
      <alignment readingOrder="0"/>
    </xf>
    <xf borderId="9" fillId="7" fontId="14" numFmtId="1" xfId="0" applyAlignment="1" applyBorder="1" applyFont="1" applyNumberFormat="1">
      <alignment horizontal="center" shrinkToFit="0" vertical="center" wrapText="1"/>
    </xf>
    <xf borderId="1" fillId="5" fontId="1" numFmtId="0" xfId="0" applyAlignment="1" applyBorder="1" applyFont="1">
      <alignment readingOrder="0" shrinkToFit="0" vertical="center" wrapText="1"/>
    </xf>
    <xf borderId="1" fillId="5" fontId="2" numFmtId="0" xfId="0" applyAlignment="1" applyBorder="1" applyFont="1">
      <alignment readingOrder="0" shrinkToFit="0" vertical="center" wrapText="1"/>
    </xf>
    <xf borderId="1" fillId="7" fontId="4" numFmtId="0" xfId="0" applyAlignment="1" applyBorder="1" applyFont="1">
      <alignment readingOrder="0" shrinkToFit="0" vertical="center" wrapText="1"/>
    </xf>
    <xf borderId="19" fillId="2" fontId="16" numFmtId="0" xfId="0" applyAlignment="1" applyBorder="1" applyFont="1">
      <alignment horizontal="left" readingOrder="0" shrinkToFit="0" vertical="center" wrapText="1"/>
    </xf>
    <xf borderId="3" fillId="2" fontId="16" numFmtId="0" xfId="0" applyAlignment="1" applyBorder="1" applyFont="1">
      <alignment horizontal="center" readingOrder="0" shrinkToFit="0" vertical="center" wrapText="1"/>
    </xf>
    <xf borderId="2" fillId="2" fontId="16" numFmtId="0" xfId="0" applyAlignment="1" applyBorder="1" applyFont="1">
      <alignment horizontal="center" readingOrder="0" shrinkToFit="0" vertical="center" wrapText="1"/>
    </xf>
    <xf borderId="20" fillId="0" fontId="6" numFmtId="0" xfId="0" applyAlignment="1" applyBorder="1" applyFont="1">
      <alignment horizontal="left" readingOrder="0" shrinkToFit="0" vertical="center" wrapText="1"/>
    </xf>
    <xf borderId="0" fillId="0" fontId="6" numFmtId="2" xfId="0" applyAlignment="1" applyFont="1" applyNumberFormat="1">
      <alignment horizontal="center" readingOrder="0" shrinkToFit="0" vertical="center" wrapText="1"/>
    </xf>
    <xf borderId="6" fillId="0" fontId="6" numFmtId="0" xfId="0" applyAlignment="1" applyBorder="1" applyFont="1">
      <alignment horizontal="center" readingOrder="0" shrinkToFit="0" vertical="center" wrapText="1"/>
    </xf>
    <xf borderId="12" fillId="0" fontId="6" numFmtId="2" xfId="0" applyAlignment="1" applyBorder="1" applyFont="1" applyNumberFormat="1">
      <alignment horizontal="center" readingOrder="0" shrinkToFit="0" vertical="center" wrapText="1"/>
    </xf>
    <xf borderId="0" fillId="0" fontId="6" numFmtId="0" xfId="0" applyAlignment="1" applyFont="1">
      <alignment horizontal="center" readingOrder="0"/>
    </xf>
    <xf borderId="0" fillId="0" fontId="6" numFmtId="0" xfId="0" applyAlignment="1" applyFont="1">
      <alignment horizontal="center" readingOrder="0" shrinkToFit="0" wrapText="1"/>
    </xf>
    <xf borderId="0" fillId="0" fontId="6" numFmtId="2" xfId="0" applyAlignment="1" applyFont="1" applyNumberFormat="1">
      <alignment horizontal="center" readingOrder="0" shrinkToFit="0" wrapText="1"/>
    </xf>
    <xf borderId="12" fillId="0" fontId="6" numFmtId="2" xfId="0" applyAlignment="1" applyBorder="1" applyFont="1" applyNumberFormat="1">
      <alignment horizontal="center" readingOrder="0"/>
    </xf>
    <xf borderId="6" fillId="0" fontId="20" numFmtId="0" xfId="0" applyAlignment="1" applyBorder="1" applyFont="1">
      <alignment readingOrder="0" shrinkToFit="0" wrapText="1"/>
    </xf>
    <xf borderId="0" fillId="0" fontId="20" numFmtId="0" xfId="0" applyAlignment="1" applyFont="1">
      <alignment readingOrder="0" shrinkToFit="0" wrapText="1"/>
    </xf>
    <xf borderId="12" fillId="0" fontId="6" numFmtId="2" xfId="0" applyAlignment="1" applyBorder="1" applyFont="1" applyNumberFormat="1">
      <alignment horizontal="center" readingOrder="0" shrinkToFit="0" wrapText="1"/>
    </xf>
    <xf borderId="21" fillId="0" fontId="6" numFmtId="0" xfId="0" applyAlignment="1" applyBorder="1" applyFont="1">
      <alignment horizontal="left" readingOrder="0" shrinkToFit="0" vertical="center" wrapText="1"/>
    </xf>
    <xf borderId="4" fillId="0" fontId="6" numFmtId="2" xfId="0" applyAlignment="1" applyBorder="1" applyFont="1" applyNumberFormat="1">
      <alignment horizontal="center" readingOrder="0" shrinkToFit="0" vertical="center" wrapText="1"/>
    </xf>
    <xf borderId="8" fillId="0" fontId="6" numFmtId="0" xfId="0" applyAlignment="1" applyBorder="1" applyFont="1">
      <alignment horizontal="center" readingOrder="0" shrinkToFit="0" vertical="center" wrapText="1"/>
    </xf>
    <xf borderId="13" fillId="0" fontId="6" numFmtId="2" xfId="0" applyAlignment="1" applyBorder="1" applyFont="1" applyNumberFormat="1">
      <alignment horizontal="center" readingOrder="0" shrinkToFit="0" vertical="center" wrapText="1"/>
    </xf>
    <xf borderId="22" fillId="7" fontId="4" numFmtId="0" xfId="0" applyAlignment="1" applyBorder="1" applyFont="1">
      <alignment readingOrder="0" shrinkToFit="0" wrapText="1"/>
    </xf>
    <xf borderId="17" fillId="0" fontId="3" numFmtId="0" xfId="0" applyBorder="1" applyFont="1"/>
    <xf borderId="6" fillId="0" fontId="6" numFmtId="2" xfId="0" applyAlignment="1" applyBorder="1" applyFont="1" applyNumberFormat="1">
      <alignment horizontal="center" readingOrder="0" shrinkToFit="0" vertical="center" wrapText="1"/>
    </xf>
    <xf borderId="0" fillId="0" fontId="6" numFmtId="2" xfId="0" applyAlignment="1" applyFont="1" applyNumberFormat="1">
      <alignment horizontal="left" readingOrder="0" shrinkToFit="0" vertical="center" wrapText="1"/>
    </xf>
    <xf borderId="1" fillId="2" fontId="16" numFmtId="0" xfId="0" applyAlignment="1" applyBorder="1" applyFont="1">
      <alignment horizontal="center" readingOrder="0" shrinkToFit="0" vertical="center" wrapText="1"/>
    </xf>
    <xf borderId="1" fillId="7" fontId="4" numFmtId="0" xfId="0" applyAlignment="1" applyBorder="1" applyFont="1">
      <alignment readingOrder="0" shrinkToFit="0" wrapText="1"/>
    </xf>
    <xf borderId="3" fillId="2" fontId="16" numFmtId="0" xfId="0" applyAlignment="1" applyBorder="1" applyFont="1">
      <alignment horizontal="center" readingOrder="0" shrinkToFit="0" wrapText="1"/>
    </xf>
    <xf borderId="0" fillId="0" fontId="20" numFmtId="0" xfId="0" applyAlignment="1" applyFont="1">
      <alignment horizontal="center" readingOrder="0" shrinkToFit="0" wrapText="1"/>
    </xf>
    <xf borderId="12" fillId="0" fontId="20" numFmtId="2" xfId="0" applyAlignment="1" applyBorder="1" applyFont="1" applyNumberFormat="1">
      <alignment horizontal="center" readingOrder="0" shrinkToFit="0" vertical="center" wrapText="1"/>
    </xf>
    <xf borderId="12" fillId="0" fontId="20" numFmtId="2" xfId="0" applyAlignment="1" applyBorder="1" applyFont="1" applyNumberFormat="1">
      <alignment horizontal="center" shrinkToFit="0" vertical="center" wrapText="1"/>
    </xf>
    <xf borderId="6" fillId="0" fontId="20" numFmtId="0" xfId="0" applyAlignment="1" applyBorder="1" applyFont="1">
      <alignment horizontal="center" readingOrder="0" shrinkToFit="0" wrapText="1"/>
    </xf>
    <xf borderId="8" fillId="0" fontId="20" numFmtId="0" xfId="0" applyAlignment="1" applyBorder="1" applyFont="1">
      <alignment horizontal="center" readingOrder="0" shrinkToFit="0" wrapText="1"/>
    </xf>
    <xf borderId="13" fillId="0" fontId="20" numFmtId="2" xfId="0" applyAlignment="1" applyBorder="1" applyFont="1" applyNumberFormat="1">
      <alignment horizontal="center" shrinkToFit="0" vertical="center" wrapText="1"/>
    </xf>
    <xf borderId="16" fillId="0" fontId="3" numFmtId="0" xfId="0" applyBorder="1" applyFont="1"/>
    <xf borderId="15" fillId="2" fontId="16" numFmtId="2" xfId="0" applyAlignment="1" applyBorder="1" applyFont="1" applyNumberFormat="1">
      <alignment horizontal="center" readingOrder="0" shrinkToFit="0" wrapText="1"/>
    </xf>
    <xf borderId="16" fillId="2" fontId="6" numFmtId="2" xfId="0" applyAlignment="1" applyBorder="1" applyFont="1" applyNumberFormat="1">
      <alignment horizontal="center" readingOrder="0" shrinkToFit="0" vertical="center" wrapText="1"/>
    </xf>
    <xf borderId="17" fillId="2" fontId="6" numFmtId="2" xfId="0" applyAlignment="1" applyBorder="1" applyFont="1" applyNumberFormat="1">
      <alignment horizontal="center" readingOrder="0" shrinkToFit="0" vertical="center" wrapText="1"/>
    </xf>
    <xf borderId="7" fillId="2" fontId="16" numFmtId="2" xfId="0" applyAlignment="1" applyBorder="1" applyFont="1" applyNumberFormat="1">
      <alignment horizontal="center" readingOrder="0" shrinkToFit="0" vertical="center" wrapText="1"/>
    </xf>
    <xf borderId="4" fillId="2" fontId="6" numFmtId="2" xfId="0" applyAlignment="1" applyBorder="1" applyFont="1" applyNumberFormat="1">
      <alignment horizontal="center" readingOrder="0" shrinkToFit="0" vertical="center" wrapText="1"/>
    </xf>
    <xf borderId="13" fillId="2" fontId="6" numFmtId="2" xfId="0" applyAlignment="1" applyBorder="1" applyFont="1" applyNumberFormat="1">
      <alignment horizontal="center" readingOrder="0" shrinkToFit="0" vertical="center" wrapText="1"/>
    </xf>
    <xf borderId="4" fillId="2" fontId="16" numFmtId="2" xfId="0" applyAlignment="1" applyBorder="1" applyFont="1" applyNumberFormat="1">
      <alignment horizontal="center" readingOrder="0" shrinkToFit="0" vertical="center" wrapText="1"/>
    </xf>
    <xf borderId="13" fillId="2" fontId="16" numFmtId="2" xfId="0" applyAlignment="1" applyBorder="1" applyFont="1" applyNumberFormat="1">
      <alignment horizontal="center" readingOrder="0" shrinkToFit="0" vertical="center" wrapText="1"/>
    </xf>
    <xf borderId="5" fillId="0" fontId="6" numFmtId="2" xfId="0" applyAlignment="1" applyBorder="1" applyFont="1" applyNumberFormat="1">
      <alignment horizontal="center" shrinkToFit="0" vertical="center" wrapText="1"/>
    </xf>
    <xf borderId="0" fillId="0" fontId="6" numFmtId="2" xfId="0" applyAlignment="1" applyFont="1" applyNumberFormat="1">
      <alignment horizontal="center" shrinkToFit="0" vertical="center" wrapText="1"/>
    </xf>
    <xf borderId="12" fillId="0" fontId="6" numFmtId="2" xfId="0" applyAlignment="1" applyBorder="1" applyFont="1" applyNumberFormat="1">
      <alignment horizontal="center" shrinkToFit="0" vertical="center" wrapText="1"/>
    </xf>
    <xf borderId="5" fillId="0" fontId="6" numFmtId="2" xfId="0" applyAlignment="1" applyBorder="1" applyFont="1" applyNumberFormat="1">
      <alignment horizontal="center" shrinkToFit="0" wrapText="1"/>
    </xf>
    <xf borderId="0" fillId="0" fontId="6" numFmtId="0" xfId="0" applyAlignment="1" applyFont="1">
      <alignment shrinkToFit="0" wrapText="1"/>
    </xf>
    <xf borderId="0" fillId="0" fontId="6" numFmtId="2" xfId="0" applyAlignment="1" applyFont="1" applyNumberFormat="1">
      <alignment horizontal="center" shrinkToFit="0" wrapText="1"/>
    </xf>
    <xf borderId="7" fillId="0" fontId="6" numFmtId="2" xfId="0" applyAlignment="1" applyBorder="1" applyFont="1" applyNumberFormat="1">
      <alignment horizontal="center" shrinkToFit="0" vertical="center" wrapText="1"/>
    </xf>
    <xf borderId="4" fillId="0" fontId="6" numFmtId="2" xfId="0" applyAlignment="1" applyBorder="1" applyFont="1" applyNumberFormat="1">
      <alignment horizontal="center" shrinkToFit="0" vertical="center" wrapText="1"/>
    </xf>
    <xf borderId="13" fillId="0" fontId="6" numFmtId="2" xfId="0" applyAlignment="1" applyBorder="1" applyFont="1" applyNumberFormat="1">
      <alignment horizontal="center" shrinkToFit="0" vertical="center" wrapText="1"/>
    </xf>
    <xf borderId="4" fillId="7" fontId="4" numFmtId="165" xfId="0" applyAlignment="1" applyBorder="1" applyFont="1" applyNumberFormat="1">
      <alignment readingOrder="0" shrinkToFit="0" vertical="center" wrapText="1"/>
    </xf>
    <xf borderId="13" fillId="0" fontId="3" numFmtId="0" xfId="0" applyBorder="1" applyFont="1"/>
    <xf borderId="0" fillId="4" fontId="4" numFmtId="165" xfId="0" applyAlignment="1" applyFont="1" applyNumberFormat="1">
      <alignment readingOrder="0" shrinkToFit="0" vertical="center" wrapText="1"/>
    </xf>
    <xf borderId="13" fillId="2" fontId="4" numFmtId="165" xfId="0" applyAlignment="1" applyBorder="1" applyFont="1" applyNumberFormat="1">
      <alignment readingOrder="0" shrinkToFit="0" vertical="center" wrapText="1"/>
    </xf>
    <xf borderId="12" fillId="4" fontId="20" numFmtId="168" xfId="0" applyAlignment="1" applyBorder="1" applyFont="1" applyNumberFormat="1">
      <alignment horizontal="center" readingOrder="0" shrinkToFit="0" vertical="center" wrapText="1"/>
    </xf>
    <xf borderId="2" fillId="7" fontId="4" numFmtId="165" xfId="0" applyAlignment="1" applyBorder="1" applyFont="1" applyNumberFormat="1">
      <alignment readingOrder="0" shrinkToFit="0" vertical="center" wrapText="1"/>
    </xf>
    <xf borderId="3" fillId="2" fontId="4" numFmtId="0" xfId="0" applyAlignment="1" applyBorder="1" applyFont="1">
      <alignment readingOrder="0" shrinkToFit="0" vertical="center" wrapText="1"/>
    </xf>
    <xf borderId="2" fillId="2" fontId="4" numFmtId="0" xfId="0" applyAlignment="1" applyBorder="1" applyFont="1">
      <alignment horizontal="center" readingOrder="0" shrinkToFit="0" vertical="center" wrapText="1"/>
    </xf>
    <xf borderId="3" fillId="2" fontId="4" numFmtId="0" xfId="0" applyAlignment="1" applyBorder="1" applyFont="1">
      <alignment horizontal="center" readingOrder="0" shrinkToFit="0" vertical="center" wrapText="1"/>
    </xf>
    <xf borderId="12" fillId="0" fontId="6" numFmtId="165" xfId="0" applyAlignment="1" applyBorder="1" applyFont="1" applyNumberFormat="1">
      <alignment horizontal="center" shrinkToFit="0" vertical="center" wrapText="1"/>
    </xf>
    <xf borderId="4" fillId="0" fontId="6" numFmtId="0" xfId="0" applyAlignment="1" applyBorder="1" applyFont="1">
      <alignment horizontal="center" shrinkToFit="0" vertical="center" wrapText="1"/>
    </xf>
    <xf borderId="13" fillId="0" fontId="6" numFmtId="165" xfId="0" applyAlignment="1" applyBorder="1" applyFont="1" applyNumberFormat="1">
      <alignment horizontal="center" shrinkToFit="0" vertical="center" wrapText="1"/>
    </xf>
    <xf borderId="11" fillId="2" fontId="16" numFmtId="0" xfId="0" applyAlignment="1" applyBorder="1" applyFont="1">
      <alignment horizontal="left" readingOrder="0" shrinkToFit="0" vertical="center" wrapText="1"/>
    </xf>
    <xf borderId="12" fillId="0" fontId="6" numFmtId="3" xfId="0" applyAlignment="1" applyBorder="1" applyFont="1" applyNumberFormat="1">
      <alignment horizontal="center" shrinkToFit="0" vertical="center" wrapText="1"/>
    </xf>
    <xf borderId="2" fillId="2" fontId="21" numFmtId="0" xfId="0" applyAlignment="1" applyBorder="1" applyFont="1">
      <alignment horizontal="center" readingOrder="0"/>
    </xf>
    <xf borderId="3" fillId="2" fontId="16" numFmtId="165" xfId="0" applyAlignment="1" applyBorder="1" applyFont="1" applyNumberFormat="1">
      <alignment horizontal="center" readingOrder="0" shrinkToFit="0" vertical="center" wrapText="1"/>
    </xf>
    <xf borderId="13" fillId="0" fontId="6" numFmtId="1"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Oxygen required for BOD removal 
(lbs O2/lb BOD removed) vs. F/M Ratio 
(lbs BOD per day/ lb VSS)</a:t>
            </a:r>
          </a:p>
        </c:rich>
      </c:tx>
      <c:overlay val="0"/>
    </c:title>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exp"/>
            <c:dispRSqr val="0"/>
            <c:dispEq val="1"/>
          </c:trendline>
          <c:xVal>
            <c:numRef>
              <c:f>'1. AOR'!$A$12:$A$17</c:f>
            </c:numRef>
          </c:xVal>
          <c:yVal>
            <c:numRef>
              <c:f>'1. AOR'!$B$12:$B$17</c:f>
              <c:numCache/>
            </c:numRef>
          </c:yVal>
        </c:ser>
        <c:dLbls>
          <c:showLegendKey val="0"/>
          <c:showVal val="0"/>
          <c:showCatName val="0"/>
          <c:showSerName val="0"/>
          <c:showPercent val="0"/>
          <c:showBubbleSize val="0"/>
        </c:dLbls>
        <c:axId val="565560661"/>
        <c:axId val="351426188"/>
      </c:scatterChart>
      <c:valAx>
        <c:axId val="56556066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F/M Ratio 
(lbs BOD per day/ lb VSS)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1426188"/>
      </c:valAx>
      <c:valAx>
        <c:axId val="3514261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Oxygen required for BOD removal 
(lbs O2/lb BOD removed)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556066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Absolute Atmospheric Pressure (in Hg) vs Altitude (ft)</a:t>
            </a:r>
          </a:p>
        </c:rich>
      </c:tx>
      <c:overlay val="0"/>
    </c:title>
    <c:plotArea>
      <c:layout/>
      <c:lineChart>
        <c:varyColors val="0"/>
        <c:ser>
          <c:idx val="0"/>
          <c:order val="0"/>
          <c:spPr>
            <a:ln cmpd="sng">
              <a:solidFill>
                <a:srgbClr val="4285F4"/>
              </a:solidFill>
            </a:ln>
          </c:spPr>
          <c:marker>
            <c:symbol val="none"/>
          </c:marker>
          <c:dPt>
            <c:idx val="0"/>
            <c:marker>
              <c:symbol val="none"/>
            </c:marker>
          </c:dPt>
          <c:cat>
            <c:strRef>
              <c:f>Tables!$A$44:$A$58</c:f>
            </c:strRef>
          </c:cat>
          <c:val>
            <c:numRef>
              <c:f>Tables!$B$44:$B$58</c:f>
              <c:numCache/>
            </c:numRef>
          </c:val>
          <c:smooth val="0"/>
        </c:ser>
        <c:axId val="1293317881"/>
        <c:axId val="1670170883"/>
      </c:lineChart>
      <c:catAx>
        <c:axId val="12933178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Altitude (ft)</a:t>
                </a:r>
              </a:p>
            </c:rich>
          </c:tx>
          <c:overlay val="0"/>
        </c:title>
        <c:numFmt formatCode="General" sourceLinked="1"/>
        <c:majorTickMark val="none"/>
        <c:minorTickMark val="none"/>
        <c:spPr/>
        <c:txPr>
          <a:bodyPr/>
          <a:lstStyle/>
          <a:p>
            <a:pPr lvl="0">
              <a:defRPr b="0">
                <a:solidFill>
                  <a:srgbClr val="000000"/>
                </a:solidFill>
                <a:latin typeface="+mn-lt"/>
              </a:defRPr>
            </a:pPr>
          </a:p>
        </c:txPr>
        <c:crossAx val="1670170883"/>
      </c:catAx>
      <c:valAx>
        <c:axId val="16701708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Barometric Pressure (in Hg)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331788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Surface DO (mg/L) vs Temperature (°C) </a:t>
            </a:r>
          </a:p>
        </c:rich>
      </c:tx>
      <c:overlay val="0"/>
    </c:title>
    <c:plotArea>
      <c:layout/>
      <c:lineChart>
        <c:ser>
          <c:idx val="0"/>
          <c:order val="0"/>
          <c:tx>
            <c:v>Chlorinity 0 Salinity 0</c:v>
          </c:tx>
          <c:spPr>
            <a:ln cmpd="sng">
              <a:solidFill>
                <a:srgbClr val="4285F4"/>
              </a:solidFill>
            </a:ln>
          </c:spPr>
          <c:marker>
            <c:symbol val="none"/>
          </c:marker>
          <c:cat>
            <c:strRef>
              <c:f>Tables!$A$63:$A$108</c:f>
            </c:strRef>
          </c:cat>
          <c:val>
            <c:numRef>
              <c:f>Tables!$B$63:$B$108</c:f>
              <c:numCache/>
            </c:numRef>
          </c:val>
          <c:smooth val="0"/>
        </c:ser>
        <c:ser>
          <c:idx val="1"/>
          <c:order val="1"/>
          <c:tx>
            <c:v>Chlorinity 5 Salinity 9 </c:v>
          </c:tx>
          <c:spPr>
            <a:ln cmpd="sng">
              <a:solidFill>
                <a:srgbClr val="EA4335"/>
              </a:solidFill>
            </a:ln>
          </c:spPr>
          <c:marker>
            <c:symbol val="none"/>
          </c:marker>
          <c:cat>
            <c:strRef>
              <c:f>Tables!$A$63:$A$108</c:f>
            </c:strRef>
          </c:cat>
          <c:val>
            <c:numRef>
              <c:f>Tables!$C$63:$C$108</c:f>
              <c:numCache/>
            </c:numRef>
          </c:val>
          <c:smooth val="0"/>
        </c:ser>
        <c:ser>
          <c:idx val="2"/>
          <c:order val="2"/>
          <c:tx>
            <c:v>Chlorinity 10 Salinity 18</c:v>
          </c:tx>
          <c:spPr>
            <a:ln cmpd="sng">
              <a:solidFill>
                <a:srgbClr val="FBBC04"/>
              </a:solidFill>
            </a:ln>
          </c:spPr>
          <c:marker>
            <c:symbol val="none"/>
          </c:marker>
          <c:cat>
            <c:strRef>
              <c:f>Tables!$A$63:$A$108</c:f>
            </c:strRef>
          </c:cat>
          <c:val>
            <c:numRef>
              <c:f>Tables!$D$63:$D$108</c:f>
              <c:numCache/>
            </c:numRef>
          </c:val>
          <c:smooth val="0"/>
        </c:ser>
        <c:ser>
          <c:idx val="3"/>
          <c:order val="3"/>
          <c:tx>
            <c:v>Chlorinity 15 Salinity 27</c:v>
          </c:tx>
          <c:spPr>
            <a:ln cmpd="sng">
              <a:solidFill>
                <a:srgbClr val="34A853"/>
              </a:solidFill>
            </a:ln>
          </c:spPr>
          <c:marker>
            <c:symbol val="none"/>
          </c:marker>
          <c:cat>
            <c:strRef>
              <c:f>Tables!$A$63:$A$108</c:f>
            </c:strRef>
          </c:cat>
          <c:val>
            <c:numRef>
              <c:f>Tables!$E$63:$E$108</c:f>
              <c:numCache/>
            </c:numRef>
          </c:val>
          <c:smooth val="0"/>
        </c:ser>
        <c:ser>
          <c:idx val="4"/>
          <c:order val="4"/>
          <c:tx>
            <c:v>Chlorinity 20 Salinity 36</c:v>
          </c:tx>
          <c:spPr>
            <a:ln cmpd="sng">
              <a:solidFill>
                <a:srgbClr val="FF6D01"/>
              </a:solidFill>
            </a:ln>
          </c:spPr>
          <c:marker>
            <c:symbol val="none"/>
          </c:marker>
          <c:cat>
            <c:strRef>
              <c:f>Tables!$A$63:$A$108</c:f>
            </c:strRef>
          </c:cat>
          <c:val>
            <c:numRef>
              <c:f>Tables!$F$63:$F$108</c:f>
              <c:numCache/>
            </c:numRef>
          </c:val>
          <c:smooth val="0"/>
        </c:ser>
        <c:ser>
          <c:idx val="5"/>
          <c:order val="5"/>
          <c:tx>
            <c:v>Chlorinity 25 Salinity 45</c:v>
          </c:tx>
          <c:spPr>
            <a:ln cmpd="sng">
              <a:solidFill>
                <a:srgbClr val="46BDC6"/>
              </a:solidFill>
            </a:ln>
          </c:spPr>
          <c:marker>
            <c:symbol val="none"/>
          </c:marker>
          <c:cat>
            <c:strRef>
              <c:f>Tables!$A$63:$A$108</c:f>
            </c:strRef>
          </c:cat>
          <c:val>
            <c:numRef>
              <c:f>Tables!$G$63:$G$108</c:f>
              <c:numCache/>
            </c:numRef>
          </c:val>
          <c:smooth val="0"/>
        </c:ser>
        <c:axId val="1825029158"/>
        <c:axId val="803724983"/>
      </c:lineChart>
      <c:catAx>
        <c:axId val="18250291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Temperature (°C)</a:t>
                </a:r>
              </a:p>
            </c:rich>
          </c:tx>
          <c:overlay val="0"/>
        </c:title>
        <c:numFmt formatCode="General" sourceLinked="1"/>
        <c:majorTickMark val="none"/>
        <c:minorTickMark val="none"/>
        <c:spPr/>
        <c:txPr>
          <a:bodyPr/>
          <a:lstStyle/>
          <a:p>
            <a:pPr lvl="0">
              <a:defRPr b="0">
                <a:solidFill>
                  <a:srgbClr val="000000"/>
                </a:solidFill>
                <a:latin typeface="+mn-lt"/>
              </a:defRPr>
            </a:pPr>
          </a:p>
        </c:txPr>
        <c:crossAx val="803724983"/>
      </c:catAx>
      <c:valAx>
        <c:axId val="8037249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Surface DO (mg/L)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5029158"/>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2</xdr:row>
      <xdr:rowOff>257175</xdr:rowOff>
    </xdr:from>
    <xdr:ext cx="5248275" cy="3238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xdr:row>
      <xdr:rowOff>0</xdr:rowOff>
    </xdr:from>
    <xdr:ext cx="2286000" cy="3810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0</xdr:rowOff>
    </xdr:from>
    <xdr:ext cx="4143375" cy="23812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2667000" cy="28575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76200</xdr:colOff>
      <xdr:row>41</xdr:row>
      <xdr:rowOff>19050</xdr:rowOff>
    </xdr:from>
    <xdr:ext cx="4562475" cy="32766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9525</xdr:colOff>
      <xdr:row>57</xdr:row>
      <xdr:rowOff>190500</xdr:rowOff>
    </xdr:from>
    <xdr:ext cx="4505325" cy="54006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1</xdr:row>
      <xdr:rowOff>0</xdr:rowOff>
    </xdr:from>
    <xdr:ext cx="2066925" cy="11811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3"/>
    <col customWidth="1" min="2" max="2" width="56.38"/>
    <col customWidth="1" min="3" max="3" width="44.38"/>
    <col customWidth="1" min="4" max="4" width="25.88"/>
    <col customWidth="1" min="5" max="5" width="18.63"/>
    <col customWidth="1" min="6" max="6" width="21.63"/>
  </cols>
  <sheetData>
    <row r="1">
      <c r="A1" s="1" t="s">
        <v>0</v>
      </c>
      <c r="E1" s="1"/>
      <c r="F1" s="1"/>
    </row>
    <row r="2">
      <c r="A2" s="2" t="s">
        <v>1</v>
      </c>
      <c r="B2" s="3"/>
      <c r="C2" s="3"/>
      <c r="D2" s="3"/>
      <c r="E2" s="3"/>
      <c r="F2" s="4"/>
    </row>
    <row r="3">
      <c r="A3" s="5" t="s">
        <v>2</v>
      </c>
      <c r="B3" s="3"/>
      <c r="C3" s="3"/>
      <c r="D3" s="3"/>
      <c r="E3" s="3"/>
      <c r="F3" s="4"/>
    </row>
    <row r="4">
      <c r="A4" s="6" t="s">
        <v>3</v>
      </c>
      <c r="B4" s="7"/>
      <c r="C4" s="7"/>
      <c r="D4" s="7"/>
      <c r="E4" s="7"/>
      <c r="F4" s="7"/>
    </row>
    <row r="5">
      <c r="A5" s="8">
        <v>1.0</v>
      </c>
      <c r="B5" s="9" t="s">
        <v>4</v>
      </c>
      <c r="C5" s="10" t="s">
        <v>5</v>
      </c>
      <c r="D5" s="11"/>
      <c r="E5" s="12"/>
      <c r="F5" s="12"/>
    </row>
    <row r="6">
      <c r="A6" s="8">
        <v>2.0</v>
      </c>
      <c r="B6" s="13" t="s">
        <v>6</v>
      </c>
      <c r="C6" s="14">
        <v>10.0</v>
      </c>
      <c r="D6" s="15" t="s">
        <v>7</v>
      </c>
      <c r="E6" s="12"/>
      <c r="F6" s="12"/>
    </row>
    <row r="7">
      <c r="A7" s="8">
        <v>3.0</v>
      </c>
      <c r="B7" s="13" t="s">
        <v>8</v>
      </c>
      <c r="C7" s="14">
        <v>30.0</v>
      </c>
      <c r="D7" s="15" t="s">
        <v>7</v>
      </c>
      <c r="E7" s="12"/>
      <c r="F7" s="12"/>
    </row>
    <row r="8">
      <c r="A8" s="8">
        <v>4.0</v>
      </c>
      <c r="B8" s="13" t="s">
        <v>9</v>
      </c>
      <c r="C8" s="16">
        <v>4.0</v>
      </c>
      <c r="D8" s="15" t="s">
        <v>7</v>
      </c>
      <c r="E8" s="12"/>
      <c r="F8" s="12"/>
    </row>
    <row r="9">
      <c r="A9" s="17" t="s">
        <v>10</v>
      </c>
      <c r="B9" s="3"/>
      <c r="C9" s="3"/>
      <c r="D9" s="3"/>
      <c r="E9" s="3"/>
      <c r="F9" s="4"/>
    </row>
    <row r="10">
      <c r="A10" s="8">
        <v>5.0</v>
      </c>
      <c r="B10" s="18" t="s">
        <v>11</v>
      </c>
      <c r="C10" s="19">
        <v>0.4</v>
      </c>
      <c r="D10" s="20" t="s">
        <v>12</v>
      </c>
      <c r="E10" s="21"/>
      <c r="F10" s="21"/>
    </row>
    <row r="11">
      <c r="A11" s="17" t="s">
        <v>13</v>
      </c>
      <c r="B11" s="3"/>
      <c r="C11" s="3"/>
      <c r="D11" s="3"/>
      <c r="E11" s="3"/>
      <c r="F11" s="4"/>
    </row>
    <row r="12">
      <c r="A12" s="8">
        <v>6.0</v>
      </c>
      <c r="B12" s="22" t="s">
        <v>14</v>
      </c>
      <c r="C12" s="19">
        <v>0.5</v>
      </c>
      <c r="D12" s="20" t="s">
        <v>15</v>
      </c>
      <c r="E12" s="12"/>
      <c r="F12" s="12"/>
    </row>
    <row r="13">
      <c r="A13" s="8">
        <v>7.0</v>
      </c>
      <c r="B13" s="18" t="s">
        <v>16</v>
      </c>
      <c r="C13" s="19">
        <v>0.1</v>
      </c>
      <c r="D13" s="20" t="s">
        <v>15</v>
      </c>
      <c r="E13" s="12"/>
      <c r="F13" s="12"/>
    </row>
    <row r="14">
      <c r="A14" s="8">
        <v>8.0</v>
      </c>
      <c r="B14" s="18" t="s">
        <v>17</v>
      </c>
      <c r="C14" s="16">
        <v>25.0</v>
      </c>
      <c r="D14" s="23" t="s">
        <v>18</v>
      </c>
      <c r="E14" s="12"/>
      <c r="F14" s="12"/>
    </row>
    <row r="15">
      <c r="A15" s="8">
        <v>9.0</v>
      </c>
      <c r="B15" s="18" t="s">
        <v>19</v>
      </c>
      <c r="C15" s="16">
        <v>15.0</v>
      </c>
      <c r="D15" s="23" t="s">
        <v>18</v>
      </c>
      <c r="E15" s="12"/>
      <c r="F15" s="12"/>
    </row>
    <row r="16">
      <c r="A16" s="8">
        <v>10.0</v>
      </c>
      <c r="B16" s="18" t="s">
        <v>20</v>
      </c>
      <c r="C16" s="14">
        <v>25000.0</v>
      </c>
      <c r="D16" s="23" t="s">
        <v>21</v>
      </c>
      <c r="E16" s="24"/>
      <c r="F16" s="12"/>
    </row>
    <row r="17">
      <c r="A17" s="17" t="s">
        <v>22</v>
      </c>
      <c r="B17" s="3"/>
      <c r="C17" s="3"/>
      <c r="D17" s="3"/>
      <c r="E17" s="3"/>
      <c r="F17" s="4"/>
    </row>
    <row r="18">
      <c r="A18" s="8">
        <v>11.0</v>
      </c>
      <c r="C18" s="14">
        <v>250.0</v>
      </c>
      <c r="D18" s="15" t="s">
        <v>7</v>
      </c>
      <c r="E18" s="12"/>
      <c r="F18" s="12"/>
    </row>
    <row r="19">
      <c r="A19" s="8">
        <v>12.0</v>
      </c>
      <c r="B19" s="18" t="s">
        <v>23</v>
      </c>
      <c r="C19" s="25">
        <v>35.0</v>
      </c>
      <c r="D19" s="15" t="s">
        <v>7</v>
      </c>
      <c r="E19" s="12"/>
      <c r="F19" s="12"/>
    </row>
    <row r="20">
      <c r="A20" s="8">
        <v>13.0</v>
      </c>
      <c r="B20" s="18" t="s">
        <v>24</v>
      </c>
      <c r="C20" s="14">
        <v>1800.0</v>
      </c>
      <c r="D20" s="15" t="s">
        <v>7</v>
      </c>
      <c r="E20" s="12"/>
      <c r="F20" s="12"/>
    </row>
    <row r="21">
      <c r="A21" s="8">
        <v>14.0</v>
      </c>
      <c r="B21" s="18" t="s">
        <v>25</v>
      </c>
      <c r="C21" s="26">
        <v>7000.0</v>
      </c>
      <c r="D21" s="15" t="s">
        <v>7</v>
      </c>
      <c r="E21" s="27"/>
      <c r="F21" s="12"/>
    </row>
    <row r="22">
      <c r="A22" s="8">
        <v>15.0</v>
      </c>
      <c r="B22" s="18" t="s">
        <v>26</v>
      </c>
      <c r="C22" s="14">
        <v>12000.0</v>
      </c>
      <c r="D22" s="15" t="s">
        <v>7</v>
      </c>
      <c r="E22" s="12"/>
      <c r="F22" s="12"/>
    </row>
    <row r="23">
      <c r="A23" s="8">
        <v>16.0</v>
      </c>
      <c r="B23" s="18" t="s">
        <v>27</v>
      </c>
      <c r="C23" s="14">
        <v>1600.0</v>
      </c>
      <c r="D23" s="15" t="s">
        <v>7</v>
      </c>
      <c r="E23" s="12"/>
      <c r="F23" s="12"/>
    </row>
    <row r="24">
      <c r="A24" s="17" t="s">
        <v>28</v>
      </c>
      <c r="B24" s="3"/>
      <c r="C24" s="3"/>
      <c r="D24" s="3"/>
      <c r="E24" s="3"/>
      <c r="F24" s="4"/>
    </row>
    <row r="25">
      <c r="A25" s="8">
        <v>17.0</v>
      </c>
      <c r="B25" s="28" t="s">
        <v>29</v>
      </c>
      <c r="C25" s="29">
        <v>20.0</v>
      </c>
      <c r="D25" s="30" t="s">
        <v>30</v>
      </c>
      <c r="E25" s="12"/>
      <c r="F25" s="12"/>
    </row>
    <row r="26">
      <c r="A26" s="8">
        <v>18.0</v>
      </c>
      <c r="B26" s="31" t="s">
        <v>31</v>
      </c>
      <c r="C26" s="29">
        <v>15.0</v>
      </c>
      <c r="D26" s="30" t="s">
        <v>30</v>
      </c>
      <c r="E26" s="12"/>
      <c r="F26" s="12"/>
    </row>
    <row r="27">
      <c r="A27" s="5" t="s">
        <v>32</v>
      </c>
      <c r="B27" s="3"/>
      <c r="C27" s="3"/>
      <c r="D27" s="3"/>
      <c r="E27" s="3"/>
      <c r="F27" s="4"/>
    </row>
    <row r="28">
      <c r="A28" s="32">
        <v>1.0</v>
      </c>
      <c r="B28" s="33" t="s">
        <v>33</v>
      </c>
      <c r="C28" s="34">
        <v>1000.0</v>
      </c>
      <c r="D28" s="35" t="s">
        <v>34</v>
      </c>
      <c r="E28" s="36"/>
      <c r="F28" s="36"/>
    </row>
    <row r="29">
      <c r="A29" s="32">
        <v>2.0</v>
      </c>
      <c r="B29" s="33" t="s">
        <v>35</v>
      </c>
      <c r="C29" s="37">
        <v>30.0</v>
      </c>
      <c r="D29" s="35" t="s">
        <v>36</v>
      </c>
      <c r="E29" s="36"/>
      <c r="F29" s="36"/>
    </row>
    <row r="30">
      <c r="A30" s="32">
        <v>3.0</v>
      </c>
      <c r="B30" s="33" t="s">
        <v>37</v>
      </c>
      <c r="C30" s="37">
        <v>27.0</v>
      </c>
      <c r="D30" s="35" t="s">
        <v>36</v>
      </c>
      <c r="E30" s="36"/>
      <c r="F30" s="36"/>
    </row>
    <row r="31">
      <c r="A31" s="32">
        <v>4.0</v>
      </c>
      <c r="B31" s="33" t="s">
        <v>38</v>
      </c>
      <c r="C31" s="34" t="s">
        <v>39</v>
      </c>
      <c r="D31" s="35"/>
      <c r="E31" s="36"/>
      <c r="F31" s="36"/>
    </row>
    <row r="32">
      <c r="A32" s="38">
        <v>5.0</v>
      </c>
      <c r="B32" s="39" t="s">
        <v>40</v>
      </c>
      <c r="C32" s="40">
        <v>5.0</v>
      </c>
      <c r="D32" s="41" t="s">
        <v>41</v>
      </c>
      <c r="E32" s="42"/>
      <c r="F32" s="42"/>
    </row>
    <row r="33">
      <c r="A33" s="5" t="s">
        <v>42</v>
      </c>
      <c r="B33" s="3"/>
      <c r="C33" s="3"/>
      <c r="D33" s="3"/>
      <c r="E33" s="3"/>
      <c r="F33" s="4"/>
    </row>
    <row r="34">
      <c r="A34" s="32">
        <v>1.0</v>
      </c>
      <c r="B34" s="43" t="s">
        <v>43</v>
      </c>
      <c r="C34" s="34" t="s">
        <v>44</v>
      </c>
      <c r="D34" s="35"/>
      <c r="E34" s="36"/>
      <c r="F34" s="36"/>
    </row>
    <row r="35">
      <c r="A35" s="32">
        <v>2.0</v>
      </c>
      <c r="B35" s="44" t="s">
        <v>45</v>
      </c>
      <c r="C35" s="34" t="s">
        <v>46</v>
      </c>
      <c r="D35" s="35"/>
      <c r="E35" s="36"/>
      <c r="F35" s="36"/>
    </row>
    <row r="36">
      <c r="A36" s="32">
        <v>3.0</v>
      </c>
      <c r="B36" s="33" t="s">
        <v>47</v>
      </c>
      <c r="C36" s="37">
        <v>5.0</v>
      </c>
      <c r="D36" s="35" t="s">
        <v>34</v>
      </c>
      <c r="E36" s="36"/>
      <c r="F36" s="36"/>
    </row>
    <row r="37">
      <c r="A37" s="32">
        <v>4.0</v>
      </c>
      <c r="B37" s="43" t="s">
        <v>48</v>
      </c>
      <c r="C37" s="37">
        <v>2.0</v>
      </c>
      <c r="D37" s="35" t="s">
        <v>7</v>
      </c>
      <c r="E37" s="36"/>
      <c r="F37" s="36"/>
    </row>
    <row r="38">
      <c r="A38" s="32">
        <v>5.0</v>
      </c>
      <c r="B38" s="43" t="s">
        <v>49</v>
      </c>
      <c r="C38" s="37">
        <f>1.5</f>
        <v>1.5</v>
      </c>
      <c r="D38" s="35" t="s">
        <v>7</v>
      </c>
      <c r="E38" s="36"/>
      <c r="F38" s="36"/>
    </row>
    <row r="39">
      <c r="A39" s="32">
        <v>6.0</v>
      </c>
      <c r="B39" s="33" t="s">
        <v>50</v>
      </c>
      <c r="C39" s="14">
        <v>6000.0</v>
      </c>
      <c r="D39" s="45" t="s">
        <v>51</v>
      </c>
      <c r="E39" s="36"/>
      <c r="F39" s="36"/>
    </row>
    <row r="40">
      <c r="A40" s="46">
        <v>7.0</v>
      </c>
      <c r="B40" s="47" t="s">
        <v>52</v>
      </c>
      <c r="C40" s="48">
        <v>200.0</v>
      </c>
      <c r="D40" s="49" t="s">
        <v>53</v>
      </c>
      <c r="E40" s="50"/>
      <c r="F40" s="50"/>
    </row>
    <row r="41">
      <c r="A41" s="51"/>
    </row>
    <row r="42">
      <c r="A42" s="52" t="s">
        <v>54</v>
      </c>
      <c r="B42" s="3"/>
      <c r="C42" s="3"/>
      <c r="D42" s="3"/>
      <c r="E42" s="3"/>
      <c r="F42" s="4"/>
    </row>
    <row r="43">
      <c r="A43" s="53" t="s">
        <v>55</v>
      </c>
      <c r="E43" s="53"/>
      <c r="F43" s="53"/>
    </row>
    <row r="44">
      <c r="A44" s="54" t="s">
        <v>56</v>
      </c>
      <c r="B44" s="55" t="s">
        <v>57</v>
      </c>
      <c r="C44" s="56" t="s">
        <v>58</v>
      </c>
      <c r="D44" s="56" t="s">
        <v>59</v>
      </c>
      <c r="E44" s="57"/>
      <c r="F44" s="57"/>
    </row>
    <row r="45">
      <c r="A45" s="58">
        <v>1.0</v>
      </c>
      <c r="B45" s="33" t="s">
        <v>60</v>
      </c>
      <c r="C45" s="9" t="s">
        <v>61</v>
      </c>
      <c r="D45" s="59" t="s">
        <v>62</v>
      </c>
      <c r="E45" s="60"/>
      <c r="F45" s="60"/>
    </row>
    <row r="46">
      <c r="A46" s="58">
        <v>2.0</v>
      </c>
      <c r="B46" s="33" t="s">
        <v>63</v>
      </c>
      <c r="C46" s="9" t="s">
        <v>64</v>
      </c>
      <c r="D46" s="59" t="s">
        <v>62</v>
      </c>
      <c r="E46" s="60"/>
      <c r="F46" s="60"/>
    </row>
    <row r="47">
      <c r="A47" s="61">
        <v>3.0</v>
      </c>
      <c r="B47" s="39" t="s">
        <v>65</v>
      </c>
      <c r="C47" s="62" t="s">
        <v>66</v>
      </c>
      <c r="D47" s="63" t="s">
        <v>62</v>
      </c>
      <c r="E47" s="60"/>
      <c r="F47" s="60"/>
    </row>
    <row r="48">
      <c r="A48" s="52" t="s">
        <v>67</v>
      </c>
      <c r="B48" s="3"/>
      <c r="C48" s="3"/>
      <c r="D48" s="3"/>
      <c r="E48" s="3"/>
      <c r="F48" s="4"/>
    </row>
    <row r="49">
      <c r="A49" s="64">
        <v>1.0</v>
      </c>
      <c r="B49" s="65" t="s">
        <v>68</v>
      </c>
      <c r="C49" s="66">
        <f>IFERROR(__xludf.DUMMYFUNCTION("IF(AND(REGEXMATCH(C$34,""Mechanical""),REGEXMATCH(C$35,""Mechanical"")),""N/A"",'3. Performance'!B39)"),7464.601174815066)</f>
        <v>7464.601175</v>
      </c>
      <c r="D49" s="67" t="str">
        <f t="shared" ref="D49:D50" si="1">IF(C49="","","cfm")</f>
        <v>cfm</v>
      </c>
      <c r="E49" s="36"/>
      <c r="F49" s="36"/>
    </row>
    <row r="50">
      <c r="A50" s="68">
        <v>2.0</v>
      </c>
      <c r="B50" s="69" t="s">
        <v>69</v>
      </c>
      <c r="C50" s="70">
        <f>IFERROR(__xludf.DUMMYFUNCTION("IF(AND(REGEXMATCH(C$34,""Mechanical""),REGEXMATCH(C$35,""Mechanical"")),""N/A"",'3. Performance'!B40)"),802.0910618839239)</f>
        <v>802.0910619</v>
      </c>
      <c r="D50" s="71" t="str">
        <f t="shared" si="1"/>
        <v>cfm</v>
      </c>
      <c r="E50" s="36"/>
      <c r="F50" s="36"/>
    </row>
    <row r="51">
      <c r="A51" s="72">
        <v>3.0</v>
      </c>
      <c r="B51" s="69" t="s">
        <v>70</v>
      </c>
      <c r="C51" s="70">
        <f>C39</f>
        <v>6000</v>
      </c>
      <c r="D51" s="73" t="s">
        <v>51</v>
      </c>
      <c r="E51" s="50"/>
      <c r="F51" s="50"/>
    </row>
    <row r="52">
      <c r="A52" s="74">
        <v>4.0</v>
      </c>
      <c r="B52" s="75" t="s">
        <v>71</v>
      </c>
      <c r="C52" s="76">
        <f>IFERROR(__xludf.DUMMYFUNCTION("IF(AND(REGEXMATCH(C$34,""Mechanical""),REGEXMATCH(C$35,""Mechanical"")),'3. Performance'!B53,'3. Performance'!B42)"),545.5130538554852)</f>
        <v>545.5130539</v>
      </c>
      <c r="D52" s="77" t="str">
        <f t="shared" ref="D52:D54" si="2">IF(C52="","","hp")</f>
        <v>hp</v>
      </c>
      <c r="E52" s="36"/>
      <c r="F52" s="36"/>
    </row>
    <row r="53">
      <c r="A53" s="78">
        <v>5.0</v>
      </c>
      <c r="B53" s="79" t="s">
        <v>72</v>
      </c>
      <c r="C53" s="80">
        <f>IFERROR(__xludf.DUMMYFUNCTION("IF(AND(REGEXMATCH(C$34,""Mechanical""),REGEXMATCH(C$35,""Mechanical"")),'3. Performance'!B54,'3. Performance'!B43)"),58.61681480247717)</f>
        <v>58.6168148</v>
      </c>
      <c r="D53" s="81" t="str">
        <f t="shared" si="2"/>
        <v>hp</v>
      </c>
      <c r="E53" s="36"/>
      <c r="F53" s="36"/>
    </row>
    <row r="54">
      <c r="A54" s="82">
        <v>6.0</v>
      </c>
      <c r="B54" s="79" t="s">
        <v>52</v>
      </c>
      <c r="C54" s="80">
        <f>C40</f>
        <v>200</v>
      </c>
      <c r="D54" s="81" t="str">
        <f t="shared" si="2"/>
        <v>hp</v>
      </c>
      <c r="E54" s="50"/>
      <c r="F54" s="50"/>
    </row>
    <row r="55">
      <c r="A55" s="58">
        <v>7.0</v>
      </c>
      <c r="B55" s="83" t="s">
        <v>73</v>
      </c>
      <c r="C55" s="84">
        <f>IFERROR(__xludf.DUMMYFUNCTION("IF(AND(REGEXMATCH(C$34,""Mechanical""),REGEXMATCH(C$35,""Mechanical"")),""N/A"",'3. Performance'!B41)"),4.915)</f>
        <v>4.915</v>
      </c>
      <c r="D55" s="85" t="str">
        <f>IF(C55="","","psi")</f>
        <v>psi</v>
      </c>
      <c r="E55" s="36"/>
      <c r="F55" s="36"/>
    </row>
    <row r="56">
      <c r="A56" s="58">
        <v>8.0</v>
      </c>
      <c r="B56" s="83" t="s">
        <v>74</v>
      </c>
      <c r="C56" s="86">
        <f>IFERROR(__xludf.DUMMYFUNCTION("IF(AND(REGEXMATCH(C$34,""Mechanical""),REGEXMATCH(C$35,""Mechanical"")),""N/A"",'3. Performance'!B44)"),0.2936902311996423)</f>
        <v>0.2936902312</v>
      </c>
      <c r="D56" s="85"/>
      <c r="E56" s="36"/>
      <c r="F56" s="36"/>
    </row>
    <row r="57">
      <c r="A57" s="87">
        <v>9.0</v>
      </c>
      <c r="B57" s="88" t="s">
        <v>75</v>
      </c>
      <c r="C57" s="89" t="str">
        <f>IFERROR(__xludf.DUMMYFUNCTION("IF(AND(REGEXMATCH(C$34,""Mechanical""),REGEXMATCH(C$35,""Mechanical"")),""N/A"",'3. Performance'!B45)"),"1:10 or 89%")</f>
        <v>1:10 or 89%</v>
      </c>
      <c r="D57" s="90"/>
      <c r="E57" s="50"/>
      <c r="F57" s="50"/>
    </row>
  </sheetData>
  <mergeCells count="14">
    <mergeCell ref="A24:F24"/>
    <mergeCell ref="A27:F27"/>
    <mergeCell ref="A33:F33"/>
    <mergeCell ref="A41:F41"/>
    <mergeCell ref="A42:F42"/>
    <mergeCell ref="A43:D43"/>
    <mergeCell ref="A48:F48"/>
    <mergeCell ref="A1:D1"/>
    <mergeCell ref="A2:F2"/>
    <mergeCell ref="A3:F3"/>
    <mergeCell ref="A4:F4"/>
    <mergeCell ref="A9:F9"/>
    <mergeCell ref="A11:F11"/>
    <mergeCell ref="A17:F17"/>
  </mergeCells>
  <dataValidations>
    <dataValidation type="list" allowBlank="1" showInputMessage="1" showErrorMessage="1" prompt="Click and enter a value from the list of items" sqref="C34">
      <formula1>"Fine Bubble Diffusers 
(1-3 mm bubbles),Medium Bubble Diffusers 
(3-10 mm bubbles),Coarse Bubble Diffusers 
(&gt;10 mm bubbles),Mechanical Surface Aerator"</formula1>
    </dataValidation>
    <dataValidation type="list" allowBlank="1" showInputMessage="1" showErrorMessage="1" prompt="Click and enter a value from range '3. Air Flow, Power'!B5:B20" sqref="C35">
      <formula1>Tables!$A$116:$A$131</formula1>
    </dataValidation>
    <dataValidation type="list" allowBlank="1" showInputMessage="1" showErrorMessage="1" prompt="Click and enter a value from the list of items" sqref="C5">
      <formula1>"No Nitrification-Denitrification,Nitrification Only,Yes - Nitrification &amp; Denitrification"</formula1>
    </dataValidation>
    <dataValidation type="list" allowBlank="1" showInputMessage="1" showErrorMessage="1" prompt="Click and enter a value from the list of items" sqref="C31">
      <formula1>"Chlorinity,Salinity"</formula1>
    </dataValidation>
  </dataValidations>
  <hyperlinks>
    <hyperlink display="Click here to know how it's done." location="'1. AOR'!A1" ref="D45"/>
    <hyperlink display="Click here to know how it's done." location="'2. SOR'!A1" ref="D46"/>
    <hyperlink display="Click here to know how it's done." location="'3. Performance'!A1" ref="D47"/>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0"/>
    <col customWidth="1" min="2" max="2" width="34.38"/>
    <col customWidth="1" min="3" max="3" width="29.13"/>
    <col customWidth="1" min="4" max="4" width="28.13"/>
    <col customWidth="1" min="5" max="5" width="17.88"/>
  </cols>
  <sheetData>
    <row r="1">
      <c r="A1" s="1" t="s">
        <v>76</v>
      </c>
    </row>
    <row r="2" ht="30.0" customHeight="1">
      <c r="A2" s="53" t="s">
        <v>77</v>
      </c>
    </row>
    <row r="3" ht="30.0" customHeight="1">
      <c r="A3" s="36"/>
    </row>
    <row r="4">
      <c r="A4" s="53" t="s">
        <v>78</v>
      </c>
      <c r="D4" s="24"/>
      <c r="E4" s="24"/>
    </row>
    <row r="5">
      <c r="A5" s="53" t="s">
        <v>79</v>
      </c>
      <c r="D5" s="24"/>
      <c r="E5" s="24"/>
    </row>
    <row r="6">
      <c r="A6" s="53" t="s">
        <v>80</v>
      </c>
      <c r="D6" s="24"/>
      <c r="E6" s="24"/>
    </row>
    <row r="7">
      <c r="A7" s="53" t="s">
        <v>81</v>
      </c>
      <c r="D7" s="24"/>
      <c r="E7" s="24"/>
    </row>
    <row r="8">
      <c r="A8" s="53" t="s">
        <v>82</v>
      </c>
      <c r="D8" s="24"/>
      <c r="E8" s="24"/>
    </row>
    <row r="9">
      <c r="A9" s="36"/>
      <c r="B9" s="24"/>
      <c r="C9" s="24"/>
      <c r="D9" s="24"/>
      <c r="E9" s="24"/>
    </row>
    <row r="10">
      <c r="A10" s="53" t="s">
        <v>83</v>
      </c>
      <c r="C10" s="53"/>
      <c r="D10" s="24"/>
      <c r="E10" s="24"/>
    </row>
    <row r="11">
      <c r="A11" s="91" t="s">
        <v>84</v>
      </c>
      <c r="B11" s="92" t="s">
        <v>85</v>
      </c>
      <c r="D11" s="24"/>
      <c r="E11" s="24"/>
    </row>
    <row r="12">
      <c r="A12" s="93">
        <v>0.05</v>
      </c>
      <c r="B12" s="94">
        <v>1.3</v>
      </c>
      <c r="D12" s="24"/>
      <c r="E12" s="24"/>
    </row>
    <row r="13">
      <c r="A13" s="93">
        <v>0.1</v>
      </c>
      <c r="B13" s="94">
        <v>1.2</v>
      </c>
      <c r="D13" s="24"/>
      <c r="E13" s="24"/>
    </row>
    <row r="14">
      <c r="A14" s="93">
        <v>0.2</v>
      </c>
      <c r="B14" s="94">
        <v>1.1</v>
      </c>
      <c r="D14" s="24"/>
      <c r="E14" s="24"/>
    </row>
    <row r="15">
      <c r="A15" s="93">
        <v>0.5</v>
      </c>
      <c r="B15" s="95">
        <v>1.0</v>
      </c>
      <c r="D15" s="24"/>
      <c r="E15" s="24"/>
    </row>
    <row r="16">
      <c r="A16" s="96">
        <v>1.0</v>
      </c>
      <c r="B16" s="94">
        <v>0.9</v>
      </c>
      <c r="D16" s="24"/>
      <c r="E16" s="24"/>
    </row>
    <row r="17">
      <c r="A17" s="97">
        <v>5.0</v>
      </c>
      <c r="B17" s="98">
        <v>0.7</v>
      </c>
      <c r="D17" s="24"/>
      <c r="E17" s="24"/>
    </row>
    <row r="18">
      <c r="A18" s="99"/>
      <c r="B18" s="24"/>
      <c r="C18" s="24"/>
      <c r="D18" s="24"/>
      <c r="E18" s="24"/>
    </row>
    <row r="19">
      <c r="A19" s="100" t="s">
        <v>86</v>
      </c>
      <c r="B19" s="92" t="s">
        <v>87</v>
      </c>
      <c r="C19" s="101" t="s">
        <v>88</v>
      </c>
      <c r="D19" s="101" t="s">
        <v>89</v>
      </c>
      <c r="E19" s="24"/>
    </row>
    <row r="20">
      <c r="A20" s="33" t="s">
        <v>90</v>
      </c>
      <c r="B20" s="94">
        <v>4.6</v>
      </c>
      <c r="C20" s="102" t="s">
        <v>91</v>
      </c>
      <c r="D20" s="83" t="s">
        <v>92</v>
      </c>
      <c r="E20" s="24"/>
    </row>
    <row r="21">
      <c r="A21" s="33" t="s">
        <v>93</v>
      </c>
      <c r="B21" s="94">
        <v>2.86</v>
      </c>
      <c r="C21" s="102" t="s">
        <v>94</v>
      </c>
      <c r="D21" s="83" t="s">
        <v>95</v>
      </c>
      <c r="E21" s="24"/>
    </row>
    <row r="22">
      <c r="A22" s="39" t="s">
        <v>96</v>
      </c>
      <c r="B22" s="103"/>
      <c r="C22" s="104"/>
      <c r="D22" s="105" t="s">
        <v>97</v>
      </c>
      <c r="E22" s="24"/>
    </row>
    <row r="23">
      <c r="A23" s="36"/>
    </row>
    <row r="24">
      <c r="A24" s="106" t="s">
        <v>98</v>
      </c>
      <c r="B24" s="107"/>
      <c r="C24" s="108"/>
      <c r="D24" s="24"/>
      <c r="E24" s="24"/>
    </row>
    <row r="25">
      <c r="A25" s="109" t="s">
        <v>99</v>
      </c>
      <c r="B25" s="110"/>
      <c r="C25" s="111"/>
      <c r="D25" s="24"/>
      <c r="E25" s="24"/>
    </row>
    <row r="26">
      <c r="A26" s="33" t="s">
        <v>100</v>
      </c>
      <c r="B26" s="112">
        <f>Summary!C12*Summary!C18/(Summary!C10*Summary!C20)</f>
        <v>0.1736111111</v>
      </c>
      <c r="C26" s="113"/>
      <c r="D26" s="24"/>
      <c r="E26" s="24"/>
    </row>
    <row r="27">
      <c r="A27" s="33" t="s">
        <v>101</v>
      </c>
      <c r="B27" s="112">
        <f>IF(B26="","",0.904-(0.129*LN(B26)))</f>
        <v>1.129870934</v>
      </c>
      <c r="C27" s="102" t="s">
        <v>102</v>
      </c>
      <c r="D27" s="24"/>
      <c r="E27" s="24"/>
    </row>
    <row r="28">
      <c r="A28" s="33" t="s">
        <v>103</v>
      </c>
      <c r="B28" s="114">
        <f>((Summary!C14*Summary!C22*Summary!C25*24)+(Summary!C15*Summary!C21*Summary!C26*24)-(Summary!C16*Summary!C23))*8.34*(10^-6)</f>
        <v>1182.612</v>
      </c>
      <c r="C28" s="102" t="s">
        <v>104</v>
      </c>
      <c r="D28" s="115"/>
      <c r="E28" s="24"/>
    </row>
    <row r="29">
      <c r="A29" s="33" t="s">
        <v>105</v>
      </c>
      <c r="B29" s="114">
        <f>B27*Summary!C12*Summary!C18*8.34</f>
        <v>1177.890449</v>
      </c>
      <c r="C29" s="102" t="s">
        <v>106</v>
      </c>
      <c r="D29" s="115"/>
      <c r="E29" s="24"/>
    </row>
    <row r="30">
      <c r="A30" s="33" t="s">
        <v>107</v>
      </c>
      <c r="B30" s="114">
        <f>IF(Summary!C5&lt;&gt;"No Nitrification-Denitrification",B20*((Summary!C12*Summary!C19*8.34)-(0.08*B28)),0)</f>
        <v>236.168784</v>
      </c>
      <c r="C30" s="102" t="s">
        <v>106</v>
      </c>
      <c r="D30" s="24"/>
      <c r="E30" s="24"/>
    </row>
    <row r="31">
      <c r="A31" s="33" t="s">
        <v>108</v>
      </c>
      <c r="B31" s="114">
        <f>IF(Summary!C5="Yes - Nitrification &amp; Denitrification",B21*((B30/B20)-(Summary!C12-Summary!C13-(Summary!C15*Summary!C26*24*(10^-6)))*Summary!C8*8.34),0)</f>
        <v>109.1867462</v>
      </c>
      <c r="C31" s="102" t="s">
        <v>106</v>
      </c>
      <c r="D31" s="24"/>
      <c r="E31" s="24"/>
    </row>
    <row r="32">
      <c r="A32" s="116" t="s">
        <v>109</v>
      </c>
      <c r="B32" s="117">
        <f>IF(OR(B29="",B30="",B31=""),"",B29+B30-B31)</f>
        <v>1304.872487</v>
      </c>
      <c r="C32" s="118" t="s">
        <v>106</v>
      </c>
      <c r="D32" s="24"/>
      <c r="E32" s="24"/>
    </row>
    <row r="33">
      <c r="A33" s="36"/>
      <c r="B33" s="24"/>
      <c r="C33" s="24"/>
      <c r="D33" s="24"/>
      <c r="E33" s="24"/>
    </row>
    <row r="34">
      <c r="A34" s="53" t="s">
        <v>110</v>
      </c>
    </row>
    <row r="35">
      <c r="A35" s="100" t="s">
        <v>111</v>
      </c>
      <c r="B35" s="92" t="s">
        <v>112</v>
      </c>
      <c r="C35" s="101" t="s">
        <v>113</v>
      </c>
      <c r="D35" s="24"/>
      <c r="E35" s="24"/>
    </row>
    <row r="36">
      <c r="A36" s="119" t="s">
        <v>114</v>
      </c>
      <c r="B36" s="120">
        <f>0.4</f>
        <v>0.4</v>
      </c>
      <c r="C36" s="121">
        <f t="shared" ref="C36:C37" si="1">1-B36</f>
        <v>0.6</v>
      </c>
      <c r="D36" s="24"/>
      <c r="E36" s="24"/>
    </row>
    <row r="37">
      <c r="A37" s="105" t="s">
        <v>115</v>
      </c>
      <c r="B37" s="122">
        <f>0.6</f>
        <v>0.6</v>
      </c>
      <c r="C37" s="123">
        <f t="shared" si="1"/>
        <v>0.4</v>
      </c>
      <c r="D37" s="24"/>
      <c r="E37" s="24"/>
    </row>
    <row r="38">
      <c r="D38" s="24"/>
      <c r="E38" s="24"/>
    </row>
    <row r="39">
      <c r="A39" s="124" t="s">
        <v>116</v>
      </c>
      <c r="B39" s="114">
        <f>((Summary!C12*Summary!C18)-((Summary!C12-Summary!C13-(Summary!C15*Summary!C26*24*(10^-6)))*Summary!C6))*8.34</f>
        <v>1009.59036</v>
      </c>
      <c r="C39" s="115" t="s">
        <v>117</v>
      </c>
      <c r="D39" s="24"/>
      <c r="E39" s="24"/>
    </row>
    <row r="40">
      <c r="A40" s="53" t="s">
        <v>118</v>
      </c>
      <c r="B40" s="114">
        <f>IF(B39="","",B39/0.17)</f>
        <v>5938.766824</v>
      </c>
      <c r="C40" s="115" t="s">
        <v>119</v>
      </c>
      <c r="D40" s="24"/>
      <c r="E40" s="24"/>
    </row>
    <row r="41">
      <c r="A41" s="53" t="s">
        <v>120</v>
      </c>
      <c r="B41" s="24" t="str">
        <f>"= 4.7.(PE^ -0.11), where PE = Population Equivalent"</f>
        <v>= 4.7.(PE^ -0.11), where PE = Population Equivalent</v>
      </c>
      <c r="D41" s="24"/>
      <c r="E41" s="24"/>
    </row>
    <row r="42">
      <c r="A42" s="53" t="s">
        <v>121</v>
      </c>
      <c r="B42" s="112">
        <f>IF(B40="","",4.7*(B40^-0.11))</f>
        <v>1.80713779</v>
      </c>
      <c r="C42" s="24"/>
      <c r="D42" s="24"/>
      <c r="E42" s="24"/>
    </row>
    <row r="43">
      <c r="A43" s="53" t="s">
        <v>122</v>
      </c>
      <c r="B43" s="114">
        <f>Summary!C12*(10^6)/24</f>
        <v>20833.33333</v>
      </c>
      <c r="C43" s="115" t="s">
        <v>123</v>
      </c>
      <c r="D43" s="24"/>
      <c r="E43" s="24"/>
    </row>
    <row r="44">
      <c r="A44" s="53" t="s">
        <v>124</v>
      </c>
      <c r="B44" s="114">
        <f>IF(B42="","",B43*B42)</f>
        <v>37648.70396</v>
      </c>
      <c r="C44" s="115" t="s">
        <v>123</v>
      </c>
      <c r="D44" s="24"/>
      <c r="E44" s="24"/>
    </row>
    <row r="45">
      <c r="A45" s="36"/>
      <c r="B45" s="125"/>
      <c r="C45" s="24"/>
      <c r="D45" s="24"/>
      <c r="E45" s="24"/>
    </row>
    <row r="46">
      <c r="A46" s="100" t="s">
        <v>125</v>
      </c>
      <c r="B46" s="92" t="s">
        <v>126</v>
      </c>
      <c r="C46" s="24"/>
      <c r="D46" s="24"/>
    </row>
    <row r="47">
      <c r="A47" s="33" t="s">
        <v>127</v>
      </c>
      <c r="B47" s="126">
        <f>IF(B26&lt;=0.2,B29*B42*B36/24,B29*B42*B37/24)</f>
        <v>35.47683905</v>
      </c>
      <c r="C47" s="127"/>
      <c r="D47" s="24"/>
    </row>
    <row r="48">
      <c r="A48" s="33" t="s">
        <v>128</v>
      </c>
      <c r="B48" s="128">
        <f>IF(B26&lt;=0.2,B29*C36/24,B29*C37/24)</f>
        <v>29.44726122</v>
      </c>
      <c r="C48" s="129"/>
      <c r="D48" s="24"/>
    </row>
    <row r="49">
      <c r="A49" s="33" t="s">
        <v>107</v>
      </c>
      <c r="B49" s="128">
        <f>B30*B42/24</f>
        <v>17.78289727</v>
      </c>
      <c r="C49" s="129"/>
      <c r="D49" s="24"/>
    </row>
    <row r="50">
      <c r="A50" s="33" t="s">
        <v>108</v>
      </c>
      <c r="B50" s="128">
        <f>B31*B42/24</f>
        <v>8.221478972</v>
      </c>
      <c r="C50" s="129"/>
      <c r="D50" s="24"/>
    </row>
    <row r="51">
      <c r="A51" s="116" t="s">
        <v>109</v>
      </c>
      <c r="B51" s="130">
        <f>IF(OR(B47="",B48="",B49="",B50=""),"",B47+B48+B49-B50)</f>
        <v>74.48551857</v>
      </c>
      <c r="C51" s="24"/>
      <c r="D51" s="24"/>
    </row>
    <row r="52">
      <c r="A52" s="131" t="str">
        <f>"Your aeration system must be able to transfer "&amp;ROUND(B51,0)&amp;" lbs of Oxygen per hour to the mixed liquor, to meet permit requirements."</f>
        <v>Your aeration system must be able to transfer 74 lbs of Oxygen per hour to the mixed liquor, to meet permit requirements.</v>
      </c>
    </row>
  </sheetData>
  <mergeCells count="13">
    <mergeCell ref="A8:C8"/>
    <mergeCell ref="A10:B10"/>
    <mergeCell ref="A23:E23"/>
    <mergeCell ref="A34:E34"/>
    <mergeCell ref="B41:C41"/>
    <mergeCell ref="A52:E52"/>
    <mergeCell ref="A1:E1"/>
    <mergeCell ref="A2:E2"/>
    <mergeCell ref="A3:E3"/>
    <mergeCell ref="A4:C4"/>
    <mergeCell ref="A5:C5"/>
    <mergeCell ref="A6:C6"/>
    <mergeCell ref="A7:C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38"/>
    <col customWidth="1" min="2" max="2" width="21.88"/>
    <col customWidth="1" min="3" max="3" width="86.5"/>
  </cols>
  <sheetData>
    <row r="1">
      <c r="A1" s="1" t="s">
        <v>129</v>
      </c>
    </row>
    <row r="2">
      <c r="A2" s="53" t="s">
        <v>130</v>
      </c>
    </row>
    <row r="3">
      <c r="A3" s="132"/>
      <c r="B3" s="133"/>
      <c r="C3" s="134"/>
    </row>
    <row r="4">
      <c r="A4" s="132" t="s">
        <v>131</v>
      </c>
      <c r="B4" s="133"/>
      <c r="C4" s="134"/>
    </row>
    <row r="5">
      <c r="A5" s="100" t="s">
        <v>132</v>
      </c>
      <c r="B5" s="135" t="s">
        <v>133</v>
      </c>
      <c r="C5" s="134"/>
    </row>
    <row r="6">
      <c r="A6" s="33" t="s">
        <v>134</v>
      </c>
      <c r="B6" s="136">
        <v>0.33</v>
      </c>
      <c r="C6" s="134"/>
    </row>
    <row r="7">
      <c r="A7" s="33" t="s">
        <v>135</v>
      </c>
      <c r="B7" s="137">
        <v>0.4</v>
      </c>
      <c r="C7" s="134"/>
    </row>
    <row r="8">
      <c r="A8" s="33" t="s">
        <v>136</v>
      </c>
      <c r="B8" s="137">
        <v>0.5</v>
      </c>
      <c r="C8" s="134"/>
    </row>
    <row r="9">
      <c r="A9" s="39" t="s">
        <v>137</v>
      </c>
      <c r="B9" s="138">
        <v>0.72</v>
      </c>
      <c r="C9" s="134"/>
    </row>
    <row r="10">
      <c r="A10" s="132"/>
      <c r="B10" s="133"/>
      <c r="C10" s="134"/>
    </row>
    <row r="11">
      <c r="A11" s="132" t="s">
        <v>138</v>
      </c>
      <c r="B11" s="133"/>
      <c r="C11" s="134"/>
    </row>
    <row r="12" ht="187.5" customHeight="1">
      <c r="A12" s="36"/>
      <c r="C12" s="139"/>
    </row>
    <row r="13">
      <c r="B13" s="140" t="s">
        <v>139</v>
      </c>
      <c r="C13" s="134"/>
    </row>
    <row r="14">
      <c r="A14" s="36"/>
      <c r="B14" s="133"/>
      <c r="C14" s="134"/>
    </row>
    <row r="15">
      <c r="A15" s="141" t="s">
        <v>140</v>
      </c>
      <c r="B15" s="142"/>
      <c r="C15" s="143"/>
    </row>
    <row r="16">
      <c r="A16" s="33" t="s">
        <v>141</v>
      </c>
      <c r="B16" s="144">
        <f>IFERROR(__xludf.DUMMYFUNCTION("IF(OR(B32="""",Summary!C5="""",Summary!C34=""""),"""",
IF(REGEXMATCH(Summary!C34,""Fine""),IFS(
REGEXMATCH(Summary!C5,""No""),Tables!C31,
REGEXMATCH(Summary!C5,""Only""),Tables!C32,
REGEXMATCH(Summary!C5,""Yes""),Tables!C33),
IF(REGEXMATCH(Summary!C34,""M"&amp;"edium""),Tables!C34,
IF(REGEXMATCH(Summary!C34,""Coarse""),Tables!C35,
IF(REGEXMATCH(Summary!C34,""Mechanical""),Tables!C36,"""")))))"),0.65)</f>
        <v>0.65</v>
      </c>
      <c r="C16" s="145" t="s">
        <v>142</v>
      </c>
    </row>
    <row r="17">
      <c r="A17" s="33" t="s">
        <v>143</v>
      </c>
      <c r="B17" s="144">
        <f>IFERROR(__xludf.DUMMYFUNCTION("IF(OR(Summary!C34="""",B32=""""),"""",
IF(REGEXMATCH(Summary!C34,""Fine""),Tables!G31,
IF(REGEXMATCH(Summary!C34,""Medium""),Tables!G34,
IF(REGEXMATCH(Summary!C34,""Coarse""),Tables!G35,
IF(REGEXMATCH(Summary!C34,""Mechanical""),Tables!G36,"""")))))"),0.7)</f>
        <v>0.7</v>
      </c>
      <c r="C17" s="145" t="s">
        <v>142</v>
      </c>
    </row>
    <row r="18">
      <c r="A18" s="33" t="s">
        <v>144</v>
      </c>
      <c r="B18" s="144">
        <f>IF(B32="","",Tables!E31)</f>
        <v>0.95</v>
      </c>
      <c r="C18" s="145" t="s">
        <v>142</v>
      </c>
    </row>
    <row r="19">
      <c r="A19" s="33" t="s">
        <v>145</v>
      </c>
      <c r="B19" s="146">
        <f>IFERROR(__xludf.DUMMYFUNCTION("IF(Summary!C34="""","""",IFS(
REGEXMATCH(Summary!C34,""Fine""),Tables!H31,
REGEXMATCH(Summary!C34,""Medium""),Tables!H34,
REGEXMATCH(Summary!C34,""Coarse""),Tables!H35,
REGEXMATCH(Summary!C34,""Mechanical""),Tables!H36))"),0.33)</f>
        <v>0.33</v>
      </c>
      <c r="C19" s="145" t="s">
        <v>142</v>
      </c>
    </row>
    <row r="20">
      <c r="A20" s="33" t="s">
        <v>146</v>
      </c>
      <c r="B20" s="147">
        <v>28.87</v>
      </c>
      <c r="C20" s="83" t="s">
        <v>147</v>
      </c>
    </row>
    <row r="21">
      <c r="A21" s="33" t="s">
        <v>148</v>
      </c>
      <c r="B21" s="146">
        <f>IF(OR(B20="",Summary!C29=""),"",B20*EXP(-B28*B29*Summary!C28*0.3048/(B30*(Summary!C29+273.15))))</f>
        <v>27.89528738</v>
      </c>
      <c r="C21" s="83" t="s">
        <v>149</v>
      </c>
    </row>
    <row r="22">
      <c r="A22" s="124" t="s">
        <v>150</v>
      </c>
      <c r="B22" s="148">
        <f>IF(Summary!C29="","",((0.00000007*(Summary!C29^4))+(0.00000313*(Summary!C29^3))+(0.00020431*(Summary!C29^2))+(0.0065748*Summary!C29)+0.08865719)*0.068046*10.3326)</f>
        <v>0.4295823755</v>
      </c>
      <c r="C22" s="149" t="s">
        <v>151</v>
      </c>
    </row>
    <row r="23">
      <c r="A23" s="124" t="s">
        <v>152</v>
      </c>
      <c r="B23" s="150">
        <f>IF(OR(B20="",B21=""),"",IF(Summary!C36&lt;=19.7,B21/B20,((B21*0.3453)+(B19*Summary!C36*0.3048)-B22)/((B20*0.3453)+(B19*Summary!C36*0.3048)-B22)))</f>
        <v>0.9662378725</v>
      </c>
      <c r="C23" s="151" t="s">
        <v>153</v>
      </c>
    </row>
    <row r="24">
      <c r="A24" s="33" t="s">
        <v>154</v>
      </c>
      <c r="B24" s="146">
        <f t="array" ref="B24">IF(OR(B32="",Summary!C30=""),"",
IF(Summary!C31="",IFERROR(INDEX(Tables!B63:B146,MATCH(Summary!C30,Tables!A63:A146,0)),AVERAGE(INDEX(Tables!B63:B146,MATCH(Summary!C30,Tables!A63:A146,1)),OFFSET(INDEX(Tables!B63:B146,MATCH(Summary!C30,Tables!A63:A146,1)),1,0,1,1))),
IF(Summary!C31="Chlorinity",INDEX(Tables!B63:G146,MATCH(INT(Summary!C30),Tables!A63:A146,0),MATCH(CEILING(Summary!C32,5),Tables!B60:G60,0)),
INDEX(Tables!B63:G146,MATCH(INT(Summary!C30),Tables!A63:A146,0),MATCH(CEILING(Summary!C32/1.80655,5),Tables!B60:G60,0)))))</f>
        <v>7.58</v>
      </c>
      <c r="C24" s="83" t="s">
        <v>155</v>
      </c>
    </row>
    <row r="25">
      <c r="A25" s="33" t="s">
        <v>156</v>
      </c>
      <c r="B25" s="147">
        <v>9.09</v>
      </c>
      <c r="C25" s="83" t="s">
        <v>157</v>
      </c>
    </row>
    <row r="26">
      <c r="A26" s="33" t="s">
        <v>158</v>
      </c>
      <c r="B26" s="146">
        <f>IF(OR(B24="",B25=""),"",B24/B25)</f>
        <v>0.8338833883</v>
      </c>
      <c r="C26" s="145" t="s">
        <v>153</v>
      </c>
    </row>
    <row r="27">
      <c r="A27" s="53" t="s">
        <v>159</v>
      </c>
      <c r="B27" s="152">
        <f>IF(Summary!C30="",1.024,IFS(
Summary!C30&lt;20,1.024,Summary!C30&lt;35,1.028,Summary!C30&gt;=35,1.031))</f>
        <v>1.028</v>
      </c>
      <c r="C27" s="151" t="s">
        <v>160</v>
      </c>
    </row>
    <row r="28">
      <c r="A28" s="124" t="s">
        <v>161</v>
      </c>
      <c r="B28" s="153">
        <v>0.02896</v>
      </c>
      <c r="C28" s="149" t="s">
        <v>162</v>
      </c>
    </row>
    <row r="29">
      <c r="A29" s="124" t="s">
        <v>163</v>
      </c>
      <c r="B29" s="153">
        <v>9.807</v>
      </c>
      <c r="C29" s="149" t="s">
        <v>164</v>
      </c>
    </row>
    <row r="30">
      <c r="A30" s="33" t="s">
        <v>165</v>
      </c>
      <c r="B30" s="154">
        <v>8.3143</v>
      </c>
      <c r="C30" s="83" t="s">
        <v>166</v>
      </c>
    </row>
    <row r="31">
      <c r="A31" s="47" t="s">
        <v>167</v>
      </c>
      <c r="B31" s="155">
        <f>IF(B21="","",((B21*0.3453)+(B19*Summary!C36*0.3048*0.09817))*B25/(B21*0.3453))</f>
        <v>9.136592301</v>
      </c>
      <c r="C31" s="88" t="s">
        <v>168</v>
      </c>
    </row>
    <row r="32">
      <c r="A32" s="33" t="s">
        <v>169</v>
      </c>
      <c r="B32" s="156">
        <f>'1. AOR'!B51</f>
        <v>74.48551857</v>
      </c>
      <c r="C32" s="83" t="s">
        <v>170</v>
      </c>
    </row>
    <row r="33">
      <c r="A33" s="53" t="s">
        <v>171</v>
      </c>
      <c r="B33" s="146">
        <f>IFERROR(__xludf.DUMMYFUNCTION("IF(Summary!C34="""",0.5,
IF(OR(Summary!C30="""",Summary!C37=""""),IF(REGEXMATCH(Summary!C34,""Fine""),B6,IF(REGEXMATCH(Summary!C34,""Medium""),B7,IF(REGEXMATCH(Summary!C34,""Coarse""),B8,B9))),
B16*B17*(1/B31)*(B27^(Summary!C30-20))*((B18*B23*B26*B31)-Sum"&amp;"mary!C37)))"),0.30170862080517824)</f>
        <v>0.3017086208</v>
      </c>
      <c r="C33" s="83" t="s">
        <v>170</v>
      </c>
    </row>
    <row r="34">
      <c r="A34" s="157" t="s">
        <v>172</v>
      </c>
      <c r="B34" s="158">
        <f>IF(B32="","",B32/B33)</f>
        <v>246.8789867</v>
      </c>
      <c r="C34" s="159" t="s">
        <v>170</v>
      </c>
    </row>
    <row r="35">
      <c r="A35" s="131" t="str">
        <f>"Accounting for the conditions on site, your aeration system must be able to transfer "&amp;ROUND(B34,0)&amp;" lbs of Oxygen per hour to the mixed liquor, to meet permit requirements."</f>
        <v>Accounting for the conditions on site, your aeration system must be able to transfer 247 lbs of Oxygen per hour to the mixed liquor, to meet permit requirements.</v>
      </c>
    </row>
  </sheetData>
  <mergeCells count="4">
    <mergeCell ref="A1:C1"/>
    <mergeCell ref="A2:C2"/>
    <mergeCell ref="A12:C12"/>
    <mergeCell ref="A35:C35"/>
  </mergeCells>
  <hyperlinks>
    <hyperlink display="Click here to know more." location="Tables!A1" ref="B13"/>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88"/>
    <col customWidth="1" min="2" max="2" width="31.13"/>
    <col customWidth="1" min="3" max="3" width="22.63"/>
  </cols>
  <sheetData>
    <row r="1">
      <c r="A1" s="1" t="s">
        <v>173</v>
      </c>
    </row>
    <row r="2">
      <c r="A2" s="53" t="s">
        <v>174</v>
      </c>
    </row>
    <row r="3" ht="225.0" customHeight="1">
      <c r="A3" s="36"/>
    </row>
    <row r="4">
      <c r="A4" s="53" t="s">
        <v>78</v>
      </c>
    </row>
    <row r="5">
      <c r="A5" s="53" t="s">
        <v>175</v>
      </c>
    </row>
    <row r="6">
      <c r="A6" s="53" t="s">
        <v>176</v>
      </c>
    </row>
    <row r="7">
      <c r="A7" s="53" t="s">
        <v>177</v>
      </c>
    </row>
    <row r="8">
      <c r="A8" s="53" t="s">
        <v>178</v>
      </c>
    </row>
    <row r="9">
      <c r="A9" s="53" t="s">
        <v>179</v>
      </c>
    </row>
    <row r="10">
      <c r="A10" s="53" t="s">
        <v>180</v>
      </c>
    </row>
    <row r="11">
      <c r="A11" s="53" t="s">
        <v>181</v>
      </c>
    </row>
    <row r="12">
      <c r="A12" s="53" t="s">
        <v>182</v>
      </c>
    </row>
    <row r="13">
      <c r="A13" s="53" t="s">
        <v>183</v>
      </c>
    </row>
    <row r="14">
      <c r="A14" s="53" t="s">
        <v>184</v>
      </c>
    </row>
    <row r="15">
      <c r="A15" s="53" t="s">
        <v>185</v>
      </c>
    </row>
    <row r="16">
      <c r="A16" s="53" t="s">
        <v>186</v>
      </c>
    </row>
    <row r="17">
      <c r="A17" s="53" t="s">
        <v>187</v>
      </c>
    </row>
    <row r="18">
      <c r="A18" s="53" t="s">
        <v>188</v>
      </c>
    </row>
    <row r="19">
      <c r="A19" s="53" t="s">
        <v>189</v>
      </c>
    </row>
    <row r="20">
      <c r="A20" s="53" t="s">
        <v>190</v>
      </c>
    </row>
    <row r="21">
      <c r="A21" s="53" t="s">
        <v>191</v>
      </c>
    </row>
    <row r="22">
      <c r="A22" s="53" t="s">
        <v>192</v>
      </c>
    </row>
    <row r="23">
      <c r="A23" s="53" t="s">
        <v>193</v>
      </c>
    </row>
    <row r="24">
      <c r="A24" s="160" t="s">
        <v>194</v>
      </c>
    </row>
    <row r="25">
      <c r="A25" s="36"/>
    </row>
    <row r="26">
      <c r="A26" s="161" t="s">
        <v>98</v>
      </c>
    </row>
    <row r="27">
      <c r="A27" s="162" t="s">
        <v>195</v>
      </c>
    </row>
    <row r="28">
      <c r="A28" s="53" t="s">
        <v>196</v>
      </c>
      <c r="B28" s="163">
        <f>Summary!C10</f>
        <v>0.4</v>
      </c>
      <c r="C28" s="53" t="s">
        <v>197</v>
      </c>
    </row>
    <row r="29">
      <c r="A29" s="53" t="s">
        <v>198</v>
      </c>
      <c r="B29" s="164">
        <f>Summary!C36</f>
        <v>5</v>
      </c>
      <c r="C29" s="53" t="s">
        <v>199</v>
      </c>
    </row>
    <row r="30">
      <c r="A30" s="53" t="s">
        <v>200</v>
      </c>
      <c r="B30" s="165">
        <f>'2. SOR'!B33</f>
        <v>0.3017086208</v>
      </c>
      <c r="C30" s="166" t="s">
        <v>201</v>
      </c>
    </row>
    <row r="31">
      <c r="A31" s="53" t="s">
        <v>172</v>
      </c>
      <c r="B31" s="167">
        <f>'2. SOR'!B34</f>
        <v>246.8789867</v>
      </c>
      <c r="C31" s="53" t="s">
        <v>202</v>
      </c>
    </row>
    <row r="32">
      <c r="A32" s="53" t="s">
        <v>203</v>
      </c>
      <c r="B32" s="168">
        <f>IFERROR(__xludf.DUMMYFUNCTION("IF(Summary!C34="""","""",
IFS(
REGEXMATCH(Summary!C34,""Fine""),Tables!B111,
REGEXMATCH(Summary!C34,""Medium""),Tables!B112,
REGEXMATCH(Summary!C34,""Coarse""),Tables!B113,
REGEXMATCH(Summary!C34,""Mechanical""),""N/A""))"),0.021)</f>
        <v>0.021</v>
      </c>
      <c r="C32" s="53" t="s">
        <v>204</v>
      </c>
    </row>
    <row r="33">
      <c r="A33" s="53" t="s">
        <v>205</v>
      </c>
      <c r="B33" s="168">
        <f>IF(B32="N/A","N/A",B32*B29)</f>
        <v>0.105</v>
      </c>
      <c r="C33" s="166" t="s">
        <v>153</v>
      </c>
    </row>
    <row r="34">
      <c r="A34" s="53" t="s">
        <v>206</v>
      </c>
      <c r="B34" s="168">
        <f>IF(B33="N/A","N/A",B30*B33)</f>
        <v>0.03167940518</v>
      </c>
      <c r="C34" s="166" t="s">
        <v>153</v>
      </c>
    </row>
    <row r="35">
      <c r="A35" s="53" t="s">
        <v>207</v>
      </c>
      <c r="B35" s="169">
        <v>0.232</v>
      </c>
      <c r="C35" s="166" t="s">
        <v>208</v>
      </c>
    </row>
    <row r="36">
      <c r="A36" s="53" t="s">
        <v>209</v>
      </c>
      <c r="B36" s="170">
        <v>0.075</v>
      </c>
      <c r="C36" s="53" t="s">
        <v>210</v>
      </c>
    </row>
    <row r="37">
      <c r="A37" s="124" t="s">
        <v>184</v>
      </c>
      <c r="B37" s="171">
        <f>IFERROR(__xludf.DUMMYFUNCTION("IF(Summary!C35="""","""",IF(REGEXMATCH(Summary!C35,""Mechanical""),""N/A"",INDEX(Tables!C116:C131,MATCH(Summary!C35,Tables!A116:A131,0))))"),1.5)</f>
        <v>1.5</v>
      </c>
      <c r="C37" s="124" t="s">
        <v>211</v>
      </c>
    </row>
    <row r="38">
      <c r="A38" s="172" t="s">
        <v>185</v>
      </c>
      <c r="B38" s="173">
        <f>IF(OR(B37="",B30=""),"",IF(B37="N/A","N/A",B37*B30))</f>
        <v>0.4525629312</v>
      </c>
      <c r="C38" s="172" t="s">
        <v>212</v>
      </c>
    </row>
    <row r="39">
      <c r="A39" s="174" t="s">
        <v>213</v>
      </c>
      <c r="B39" s="175">
        <f>IF(B34="N/A","N/A",(B31/B34)/(B35*B36*60))</f>
        <v>7464.601175</v>
      </c>
      <c r="C39" s="131" t="s">
        <v>214</v>
      </c>
    </row>
    <row r="40">
      <c r="A40" s="174" t="s">
        <v>215</v>
      </c>
      <c r="B40" s="175">
        <f>IFERROR(__xludf.DUMMYFUNCTION("IF(Summary!C34="""","""",
IF(REGEXMATCH(Summary!C34,""Mechanical""),""N/A"",
IFS(
REGEXMATCH(Summary!C34,""Fine""),Tables!C134*B28,
REGEXMATCH(Summary!C34,""Medium""),Tables!C135*B28,
REGEXMATCH(Summary!C34,""Coarse""),Tables!C136*B28)))"),802.0910618839239)</f>
        <v>802.0910619</v>
      </c>
      <c r="C40" s="131" t="s">
        <v>216</v>
      </c>
    </row>
    <row r="41">
      <c r="A41" s="131" t="s">
        <v>217</v>
      </c>
      <c r="B41" s="176">
        <f>IFERROR(__xludf.DUMMYFUNCTION("IF(REGEXMATCH(Summary!C34,""Mechanical""),""N/A"",(0.433*B29)+2.75)"),4.915)</f>
        <v>4.915</v>
      </c>
      <c r="C41" s="131" t="s">
        <v>218</v>
      </c>
    </row>
    <row r="42">
      <c r="A42" s="174" t="s">
        <v>219</v>
      </c>
      <c r="B42" s="177">
        <f>IFERROR(__xludf.DUMMYFUNCTION("IF(OR(B31="""",B38=""""),"""",IF(REGEXMATCH(Summary!C34,""Mechanical""),""N/A"",B31/B38))"),545.5130538554852)</f>
        <v>545.5130539</v>
      </c>
      <c r="C42" s="131" t="s">
        <v>220</v>
      </c>
    </row>
    <row r="43">
      <c r="A43" s="174" t="s">
        <v>221</v>
      </c>
      <c r="B43" s="175">
        <f>B42/(B39/B40)</f>
        <v>58.6168148</v>
      </c>
      <c r="C43" s="131" t="s">
        <v>222</v>
      </c>
    </row>
    <row r="44">
      <c r="A44" s="131" t="s">
        <v>74</v>
      </c>
      <c r="B44" s="178">
        <f>IFERROR(__xludf.DUMMYFUNCTION("IF(OR(B39="""",B41="""",B42=""""),"""",IF(REGEXMATCH(Summary!C34,""Mechanical""),""N/A"",(B39*B41/(B42*229))))"),0.2936902311996423)</f>
        <v>0.2936902312</v>
      </c>
      <c r="C44" s="166" t="s">
        <v>153</v>
      </c>
    </row>
    <row r="45">
      <c r="A45" s="179" t="s">
        <v>75</v>
      </c>
      <c r="B45" s="180" t="str">
        <f>IFERROR(__xludf.DUMMYFUNCTION("IF(OR(B39="""",B40=""""),"""",IF(REGEXMATCH(Summary!C34,""Mechanical""),""N/A"",(B40/B40)&amp;"":""&amp;ROUNDUP(B39/B40)&amp;"" or ""&amp;ROUND((B39-B40)*100/B39)&amp;""%""))"),"1:10 or 89%")</f>
        <v>1:10 or 89%</v>
      </c>
      <c r="C45" s="181" t="s">
        <v>153</v>
      </c>
    </row>
    <row r="46">
      <c r="A46" s="36"/>
      <c r="B46" s="51"/>
      <c r="C46" s="36"/>
    </row>
    <row r="47">
      <c r="A47" s="162" t="s">
        <v>223</v>
      </c>
    </row>
    <row r="48">
      <c r="A48" s="53" t="s">
        <v>196</v>
      </c>
      <c r="B48" s="182">
        <f>Summary!C10</f>
        <v>0.4</v>
      </c>
      <c r="C48" s="53" t="s">
        <v>12</v>
      </c>
    </row>
    <row r="49">
      <c r="A49" s="53" t="s">
        <v>200</v>
      </c>
      <c r="B49" s="165">
        <f>'2. SOR'!B33</f>
        <v>0.3017086208</v>
      </c>
      <c r="C49" s="36"/>
    </row>
    <row r="50">
      <c r="A50" s="53" t="s">
        <v>172</v>
      </c>
      <c r="B50" s="167">
        <f>'2. SOR'!B34</f>
        <v>246.8789867</v>
      </c>
      <c r="C50" s="53" t="s">
        <v>170</v>
      </c>
    </row>
    <row r="51">
      <c r="A51" s="124" t="s">
        <v>184</v>
      </c>
      <c r="B51" s="183" t="str">
        <f>IFERROR(__xludf.DUMMYFUNCTION("IF(Summary!C35="""","""",IF(NOT(REGEXMATCH(Summary!C35,""Mechanical"")),""N/A"",INDEX(Tables!C116:C131,MATCH(Summary!C35,Tables!A116:A131,0))))"),"N/A")</f>
        <v>N/A</v>
      </c>
      <c r="C51" s="124" t="s">
        <v>224</v>
      </c>
    </row>
    <row r="52">
      <c r="A52" s="172" t="s">
        <v>185</v>
      </c>
      <c r="B52" s="184" t="str">
        <f>IF(OR(B49="",B51=""),"",IF(B51="N/A","N/A",B49*B51))</f>
        <v>N/A</v>
      </c>
      <c r="C52" s="172" t="s">
        <v>224</v>
      </c>
    </row>
    <row r="53">
      <c r="A53" s="174" t="s">
        <v>225</v>
      </c>
      <c r="B53" s="177" t="str">
        <f>IF(OR(B50="",B52=""),"",IF(B52="N/A","N/A",B50/B52))</f>
        <v>N/A</v>
      </c>
      <c r="C53" s="131" t="s">
        <v>53</v>
      </c>
    </row>
    <row r="54">
      <c r="A54" s="185" t="s">
        <v>226</v>
      </c>
      <c r="B54" s="186" t="str">
        <f>IFERROR(__xludf.DUMMYFUNCTION("IF(Summary!C34="""","""",IF(NOT(REGEXMATCH(Summary!C34,""Mechanical"")),""N/A"",Tables!C138*B48*(10^6)))
"),"N/A")</f>
        <v>N/A</v>
      </c>
      <c r="C54" s="179" t="s">
        <v>227</v>
      </c>
    </row>
  </sheetData>
  <mergeCells count="28">
    <mergeCell ref="A1:C1"/>
    <mergeCell ref="A2:C2"/>
    <mergeCell ref="A3:C3"/>
    <mergeCell ref="A4:C4"/>
    <mergeCell ref="A5:C5"/>
    <mergeCell ref="A6:C6"/>
    <mergeCell ref="A7:C7"/>
    <mergeCell ref="A8:C8"/>
    <mergeCell ref="A9:C9"/>
    <mergeCell ref="A10:C10"/>
    <mergeCell ref="A11:C11"/>
    <mergeCell ref="A12:C12"/>
    <mergeCell ref="A13:C13"/>
    <mergeCell ref="A14:C14"/>
    <mergeCell ref="A22:C22"/>
    <mergeCell ref="A23:C23"/>
    <mergeCell ref="A24:C24"/>
    <mergeCell ref="A25:C25"/>
    <mergeCell ref="A26:C26"/>
    <mergeCell ref="A27:C27"/>
    <mergeCell ref="A47:C47"/>
    <mergeCell ref="A15:C15"/>
    <mergeCell ref="A16:C16"/>
    <mergeCell ref="A17:C17"/>
    <mergeCell ref="A18:C18"/>
    <mergeCell ref="A19:C19"/>
    <mergeCell ref="A20:C20"/>
    <mergeCell ref="A21:C21"/>
  </mergeCells>
  <hyperlinks>
    <hyperlink display="Click here to know more about Oxygen transfer rates, Aeration efficiencies and Minimum air flow requirements for different aeration equipment." location="Tables!A109:D138" ref="A24"/>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3" width="13.75"/>
    <col customWidth="1" min="4" max="8" width="13.13"/>
    <col customWidth="1" min="9" max="9" width="16.88"/>
    <col customWidth="1" min="10" max="10" width="13.13"/>
    <col customWidth="1" min="11" max="11" width="16.38"/>
  </cols>
  <sheetData>
    <row r="1">
      <c r="A1" s="187" t="s">
        <v>228</v>
      </c>
      <c r="B1" s="3"/>
      <c r="C1" s="3"/>
      <c r="D1" s="3"/>
      <c r="E1" s="3"/>
      <c r="F1" s="3"/>
      <c r="G1" s="3"/>
      <c r="H1" s="3"/>
      <c r="I1" s="3"/>
      <c r="J1" s="3"/>
      <c r="K1" s="4"/>
    </row>
    <row r="2" ht="187.5" customHeight="1">
      <c r="A2" s="36"/>
    </row>
    <row r="3">
      <c r="A3" s="53" t="s">
        <v>78</v>
      </c>
    </row>
    <row r="4">
      <c r="A4" s="53" t="s">
        <v>229</v>
      </c>
    </row>
    <row r="5">
      <c r="A5" s="53" t="s">
        <v>230</v>
      </c>
    </row>
    <row r="6">
      <c r="A6" s="53" t="s">
        <v>231</v>
      </c>
    </row>
    <row r="7">
      <c r="A7" s="53" t="s">
        <v>232</v>
      </c>
    </row>
    <row r="8">
      <c r="A8" s="53" t="s">
        <v>233</v>
      </c>
    </row>
    <row r="9">
      <c r="A9" s="53" t="s">
        <v>234</v>
      </c>
    </row>
    <row r="10">
      <c r="A10" s="53" t="s">
        <v>158</v>
      </c>
    </row>
    <row r="11">
      <c r="A11" s="53" t="s">
        <v>235</v>
      </c>
    </row>
    <row r="12">
      <c r="A12" s="53" t="s">
        <v>236</v>
      </c>
    </row>
    <row r="13">
      <c r="A13" s="53" t="s">
        <v>237</v>
      </c>
    </row>
    <row r="14">
      <c r="A14" s="53" t="s">
        <v>238</v>
      </c>
    </row>
    <row r="15">
      <c r="A15" s="53" t="s">
        <v>159</v>
      </c>
    </row>
    <row r="16">
      <c r="A16" s="53" t="s">
        <v>37</v>
      </c>
    </row>
    <row r="17">
      <c r="A17" s="53" t="s">
        <v>239</v>
      </c>
    </row>
    <row r="18">
      <c r="A18" s="53" t="s">
        <v>240</v>
      </c>
    </row>
    <row r="19">
      <c r="A19" s="53" t="s">
        <v>241</v>
      </c>
    </row>
    <row r="20">
      <c r="A20" s="53" t="s">
        <v>242</v>
      </c>
    </row>
    <row r="21">
      <c r="A21" s="53" t="s">
        <v>243</v>
      </c>
    </row>
    <row r="22">
      <c r="A22" s="124" t="s">
        <v>244</v>
      </c>
    </row>
    <row r="23">
      <c r="A23" s="53" t="s">
        <v>245</v>
      </c>
    </row>
    <row r="24">
      <c r="A24" s="53" t="s">
        <v>246</v>
      </c>
    </row>
    <row r="25">
      <c r="A25" s="53" t="s">
        <v>247</v>
      </c>
    </row>
    <row r="26">
      <c r="A26" s="53" t="s">
        <v>35</v>
      </c>
    </row>
    <row r="27">
      <c r="A27" s="36"/>
    </row>
    <row r="28">
      <c r="A28" s="188" t="s">
        <v>248</v>
      </c>
      <c r="B28" s="3"/>
      <c r="C28" s="3"/>
      <c r="D28" s="3"/>
      <c r="E28" s="3"/>
      <c r="F28" s="3"/>
      <c r="G28" s="3"/>
      <c r="H28" s="3"/>
      <c r="I28" s="3"/>
      <c r="J28" s="3"/>
      <c r="K28" s="4"/>
    </row>
    <row r="29">
      <c r="A29" s="189" t="s">
        <v>249</v>
      </c>
      <c r="B29" s="3"/>
      <c r="C29" s="3"/>
      <c r="D29" s="3"/>
      <c r="E29" s="3"/>
      <c r="F29" s="3"/>
      <c r="G29" s="3"/>
      <c r="H29" s="4"/>
    </row>
    <row r="30">
      <c r="A30" s="190" t="s">
        <v>132</v>
      </c>
      <c r="B30" s="191" t="s">
        <v>250</v>
      </c>
      <c r="C30" s="192" t="s">
        <v>251</v>
      </c>
      <c r="D30" s="135" t="s">
        <v>252</v>
      </c>
      <c r="E30" s="135" t="s">
        <v>253</v>
      </c>
      <c r="F30" s="192" t="s">
        <v>254</v>
      </c>
      <c r="G30" s="191" t="s">
        <v>255</v>
      </c>
      <c r="H30" s="191" t="s">
        <v>256</v>
      </c>
    </row>
    <row r="31">
      <c r="A31" s="193" t="s">
        <v>257</v>
      </c>
      <c r="B31" s="32" t="s">
        <v>258</v>
      </c>
      <c r="C31" s="194">
        <f>AVERAGE(VALUE(MID(B31,1,4)),VALUE(MID(B31,9,12)))</f>
        <v>0.425</v>
      </c>
      <c r="D31" s="195" t="s">
        <v>259</v>
      </c>
      <c r="E31" s="196">
        <v>0.95</v>
      </c>
      <c r="F31" s="32" t="s">
        <v>260</v>
      </c>
      <c r="G31" s="196">
        <v>0.7</v>
      </c>
      <c r="H31" s="196">
        <v>0.33</v>
      </c>
    </row>
    <row r="32">
      <c r="A32" s="193" t="s">
        <v>261</v>
      </c>
      <c r="B32" s="197" t="s">
        <v>262</v>
      </c>
      <c r="C32" s="194">
        <v>0.55</v>
      </c>
      <c r="D32" s="195" t="s">
        <v>259</v>
      </c>
      <c r="E32" s="196">
        <v>0.95</v>
      </c>
      <c r="F32" s="32" t="s">
        <v>260</v>
      </c>
      <c r="G32" s="196">
        <v>0.7</v>
      </c>
      <c r="H32" s="196">
        <v>0.33</v>
      </c>
    </row>
    <row r="33">
      <c r="A33" s="193" t="s">
        <v>263</v>
      </c>
      <c r="B33" s="197" t="s">
        <v>264</v>
      </c>
      <c r="C33" s="194">
        <v>0.65</v>
      </c>
      <c r="D33" s="195" t="s">
        <v>259</v>
      </c>
      <c r="E33" s="196">
        <v>0.95</v>
      </c>
      <c r="F33" s="32" t="s">
        <v>260</v>
      </c>
      <c r="G33" s="196">
        <v>0.7</v>
      </c>
      <c r="H33" s="196">
        <v>0.33</v>
      </c>
    </row>
    <row r="34">
      <c r="A34" s="193" t="s">
        <v>135</v>
      </c>
      <c r="B34" s="198" t="s">
        <v>265</v>
      </c>
      <c r="C34" s="194">
        <f t="shared" ref="C34:C35" si="1">AVERAGE(VALUE(MID(B34,1,4)),VALUE(MID(B34,9,12)))</f>
        <v>0.6</v>
      </c>
      <c r="D34" s="195" t="s">
        <v>259</v>
      </c>
      <c r="E34" s="196">
        <v>0.95</v>
      </c>
      <c r="F34" s="199">
        <v>0.8</v>
      </c>
      <c r="G34" s="200">
        <v>0.8</v>
      </c>
      <c r="H34" s="200">
        <v>0.29</v>
      </c>
      <c r="I34" s="201"/>
      <c r="J34" s="202"/>
    </row>
    <row r="35">
      <c r="A35" s="193" t="s">
        <v>136</v>
      </c>
      <c r="B35" s="198" t="s">
        <v>266</v>
      </c>
      <c r="C35" s="194">
        <f t="shared" si="1"/>
        <v>0.75</v>
      </c>
      <c r="D35" s="195" t="s">
        <v>259</v>
      </c>
      <c r="E35" s="196">
        <v>0.95</v>
      </c>
      <c r="F35" s="199">
        <v>1.0</v>
      </c>
      <c r="G35" s="203">
        <v>1.0</v>
      </c>
      <c r="H35" s="203">
        <v>0.25</v>
      </c>
      <c r="I35" s="201"/>
      <c r="J35" s="202"/>
    </row>
    <row r="36">
      <c r="A36" s="204" t="s">
        <v>137</v>
      </c>
      <c r="B36" s="38" t="s">
        <v>267</v>
      </c>
      <c r="C36" s="205">
        <v>0.95</v>
      </c>
      <c r="D36" s="206" t="s">
        <v>259</v>
      </c>
      <c r="E36" s="207">
        <v>0.95</v>
      </c>
      <c r="F36" s="205">
        <v>1.0</v>
      </c>
      <c r="G36" s="207">
        <v>1.0</v>
      </c>
      <c r="H36" s="207"/>
      <c r="I36" s="201"/>
      <c r="J36" s="202"/>
    </row>
    <row r="37">
      <c r="A37" s="208" t="s">
        <v>268</v>
      </c>
      <c r="B37" s="209"/>
      <c r="C37" s="210"/>
      <c r="D37" s="53"/>
      <c r="E37" s="194"/>
      <c r="F37" s="211"/>
      <c r="G37" s="194"/>
      <c r="H37" s="194"/>
      <c r="I37" s="202"/>
      <c r="J37" s="202"/>
    </row>
    <row r="38">
      <c r="A38" s="135" t="s">
        <v>269</v>
      </c>
      <c r="B38" s="212" t="s">
        <v>270</v>
      </c>
      <c r="C38" s="210"/>
      <c r="D38" s="53"/>
      <c r="E38" s="194"/>
      <c r="F38" s="211"/>
      <c r="G38" s="194"/>
      <c r="H38" s="194"/>
      <c r="I38" s="202"/>
      <c r="J38" s="202"/>
    </row>
    <row r="39">
      <c r="A39" s="195" t="s">
        <v>271</v>
      </c>
      <c r="B39" s="32">
        <v>1.024</v>
      </c>
      <c r="C39" s="210"/>
      <c r="D39" s="53"/>
      <c r="E39" s="194"/>
      <c r="F39" s="211"/>
      <c r="G39" s="194"/>
      <c r="H39" s="194"/>
      <c r="I39" s="202"/>
      <c r="J39" s="202"/>
    </row>
    <row r="40">
      <c r="A40" s="195" t="s">
        <v>272</v>
      </c>
      <c r="B40" s="32">
        <v>1.028</v>
      </c>
      <c r="C40" s="210"/>
      <c r="D40" s="53"/>
      <c r="E40" s="194"/>
      <c r="F40" s="211"/>
      <c r="G40" s="194"/>
      <c r="H40" s="194"/>
      <c r="I40" s="202"/>
      <c r="J40" s="202"/>
    </row>
    <row r="41">
      <c r="A41" s="195" t="s">
        <v>273</v>
      </c>
      <c r="B41" s="32">
        <v>1.031</v>
      </c>
      <c r="C41" s="210"/>
      <c r="D41" s="53"/>
      <c r="E41" s="194"/>
      <c r="F41" s="211"/>
      <c r="G41" s="194"/>
      <c r="H41" s="194"/>
      <c r="I41" s="202"/>
      <c r="J41" s="202"/>
    </row>
    <row r="42">
      <c r="A42" s="213" t="s">
        <v>274</v>
      </c>
      <c r="B42" s="4"/>
      <c r="C42" s="210"/>
      <c r="D42" s="53"/>
      <c r="E42" s="194"/>
      <c r="F42" s="211"/>
      <c r="G42" s="194"/>
      <c r="H42" s="194"/>
      <c r="I42" s="202"/>
      <c r="J42" s="202"/>
    </row>
    <row r="43">
      <c r="A43" s="214" t="s">
        <v>275</v>
      </c>
      <c r="B43" s="214" t="s">
        <v>276</v>
      </c>
      <c r="C43" s="210"/>
      <c r="D43" s="53"/>
      <c r="E43" s="194"/>
      <c r="F43" s="211"/>
      <c r="G43" s="194"/>
      <c r="H43" s="194"/>
      <c r="I43" s="202"/>
      <c r="J43" s="202"/>
    </row>
    <row r="44">
      <c r="A44" s="215">
        <v>-1000.0</v>
      </c>
      <c r="B44" s="216">
        <v>31.0</v>
      </c>
      <c r="C44" s="210"/>
      <c r="D44" s="53"/>
      <c r="E44" s="194"/>
      <c r="F44" s="211"/>
      <c r="G44" s="194"/>
      <c r="H44" s="194"/>
      <c r="I44" s="202"/>
      <c r="J44" s="202"/>
    </row>
    <row r="45">
      <c r="A45" s="215">
        <v>-500.0</v>
      </c>
      <c r="B45" s="217">
        <v>30.5</v>
      </c>
      <c r="C45" s="210"/>
      <c r="D45" s="53"/>
      <c r="E45" s="194"/>
      <c r="F45" s="211"/>
      <c r="G45" s="194"/>
      <c r="H45" s="194"/>
      <c r="I45" s="202"/>
      <c r="J45" s="202"/>
    </row>
    <row r="46">
      <c r="A46" s="215">
        <v>0.0</v>
      </c>
      <c r="B46" s="217">
        <v>29.92</v>
      </c>
      <c r="C46" s="210"/>
      <c r="D46" s="53"/>
      <c r="E46" s="194"/>
      <c r="F46" s="211"/>
      <c r="G46" s="194"/>
      <c r="H46" s="194"/>
      <c r="I46" s="202"/>
      <c r="J46" s="202"/>
    </row>
    <row r="47">
      <c r="A47" s="218">
        <v>500.0</v>
      </c>
      <c r="B47" s="217">
        <v>29.39</v>
      </c>
      <c r="C47" s="210"/>
      <c r="D47" s="53"/>
      <c r="E47" s="194"/>
      <c r="F47" s="211"/>
      <c r="G47" s="194"/>
      <c r="H47" s="194"/>
      <c r="I47" s="202"/>
      <c r="J47" s="202"/>
    </row>
    <row r="48">
      <c r="A48" s="218">
        <v>1000.0</v>
      </c>
      <c r="B48" s="217">
        <v>28.87</v>
      </c>
      <c r="C48" s="210"/>
      <c r="D48" s="53"/>
      <c r="E48" s="194"/>
      <c r="F48" s="211"/>
      <c r="G48" s="194"/>
      <c r="H48" s="194"/>
      <c r="I48" s="202"/>
      <c r="J48" s="202"/>
    </row>
    <row r="49">
      <c r="A49" s="218">
        <v>1500.0</v>
      </c>
      <c r="B49" s="217">
        <v>28.33</v>
      </c>
      <c r="C49" s="210"/>
      <c r="D49" s="53"/>
      <c r="E49" s="194"/>
      <c r="F49" s="211"/>
      <c r="G49" s="194"/>
      <c r="H49" s="194"/>
      <c r="I49" s="202"/>
      <c r="J49" s="202"/>
    </row>
    <row r="50">
      <c r="A50" s="218">
        <v>2000.0</v>
      </c>
      <c r="B50" s="217">
        <v>27.82</v>
      </c>
      <c r="C50" s="210"/>
      <c r="D50" s="53"/>
      <c r="E50" s="194"/>
      <c r="F50" s="211"/>
      <c r="G50" s="194"/>
      <c r="H50" s="194"/>
      <c r="I50" s="202"/>
      <c r="J50" s="202"/>
    </row>
    <row r="51">
      <c r="A51" s="218">
        <v>3000.0</v>
      </c>
      <c r="B51" s="217">
        <v>26.81</v>
      </c>
      <c r="C51" s="210"/>
      <c r="D51" s="53"/>
      <c r="E51" s="194"/>
      <c r="F51" s="211"/>
      <c r="G51" s="194"/>
      <c r="H51" s="194"/>
      <c r="I51" s="202"/>
      <c r="J51" s="202"/>
    </row>
    <row r="52">
      <c r="A52" s="218">
        <v>4000.0</v>
      </c>
      <c r="B52" s="217">
        <v>25.85</v>
      </c>
      <c r="C52" s="210"/>
      <c r="D52" s="53"/>
      <c r="E52" s="194"/>
      <c r="F52" s="211"/>
      <c r="G52" s="194"/>
      <c r="H52" s="194"/>
      <c r="I52" s="202"/>
      <c r="J52" s="202"/>
    </row>
    <row r="53">
      <c r="A53" s="218">
        <v>5000.0</v>
      </c>
      <c r="B53" s="217">
        <v>24.9</v>
      </c>
      <c r="C53" s="210"/>
      <c r="D53" s="53"/>
      <c r="E53" s="194"/>
      <c r="F53" s="211"/>
      <c r="G53" s="194"/>
      <c r="H53" s="194"/>
      <c r="I53" s="202"/>
      <c r="J53" s="202"/>
    </row>
    <row r="54">
      <c r="A54" s="218">
        <v>6000.0</v>
      </c>
      <c r="B54" s="217">
        <v>23.98</v>
      </c>
      <c r="C54" s="210"/>
      <c r="D54" s="53"/>
      <c r="E54" s="194"/>
      <c r="F54" s="211"/>
      <c r="G54" s="194"/>
      <c r="H54" s="194"/>
      <c r="I54" s="202"/>
      <c r="J54" s="202"/>
    </row>
    <row r="55">
      <c r="A55" s="218">
        <v>7000.0</v>
      </c>
      <c r="B55" s="217">
        <v>23.1</v>
      </c>
      <c r="C55" s="210"/>
      <c r="D55" s="53"/>
      <c r="E55" s="194"/>
      <c r="F55" s="211"/>
      <c r="G55" s="194"/>
      <c r="H55" s="194"/>
      <c r="I55" s="202"/>
      <c r="J55" s="202"/>
    </row>
    <row r="56">
      <c r="A56" s="218">
        <v>8000.0</v>
      </c>
      <c r="B56" s="217">
        <v>22.22</v>
      </c>
      <c r="C56" s="210"/>
      <c r="D56" s="53"/>
      <c r="E56" s="194"/>
      <c r="F56" s="211"/>
      <c r="G56" s="194"/>
      <c r="H56" s="194"/>
      <c r="I56" s="202"/>
      <c r="J56" s="202"/>
    </row>
    <row r="57">
      <c r="A57" s="218">
        <v>9000.0</v>
      </c>
      <c r="B57" s="217">
        <v>21.39</v>
      </c>
      <c r="C57" s="210"/>
      <c r="D57" s="53"/>
      <c r="E57" s="194"/>
      <c r="F57" s="211"/>
      <c r="G57" s="194"/>
      <c r="H57" s="194"/>
      <c r="I57" s="202"/>
      <c r="J57" s="202"/>
    </row>
    <row r="58">
      <c r="A58" s="219">
        <v>10000.0</v>
      </c>
      <c r="B58" s="220">
        <v>20.58</v>
      </c>
      <c r="C58" s="210"/>
      <c r="D58" s="53"/>
      <c r="E58" s="194"/>
      <c r="F58" s="211"/>
      <c r="G58" s="194"/>
      <c r="H58" s="194"/>
      <c r="I58" s="202"/>
      <c r="J58" s="202"/>
    </row>
    <row r="59">
      <c r="A59" s="208" t="s">
        <v>277</v>
      </c>
      <c r="B59" s="221"/>
      <c r="C59" s="221"/>
      <c r="D59" s="221"/>
      <c r="E59" s="221"/>
      <c r="F59" s="221"/>
      <c r="G59" s="209"/>
      <c r="J59" s="202"/>
    </row>
    <row r="60">
      <c r="A60" s="222" t="s">
        <v>278</v>
      </c>
      <c r="B60" s="223">
        <v>0.0</v>
      </c>
      <c r="C60" s="223">
        <v>5.0</v>
      </c>
      <c r="D60" s="223">
        <v>10.0</v>
      </c>
      <c r="E60" s="223">
        <v>15.0</v>
      </c>
      <c r="F60" s="223">
        <v>20.0</v>
      </c>
      <c r="G60" s="224">
        <v>25.0</v>
      </c>
      <c r="J60" s="202"/>
    </row>
    <row r="61">
      <c r="A61" s="225" t="s">
        <v>279</v>
      </c>
      <c r="B61" s="226">
        <f t="shared" ref="B61:G61" si="2">B60*1.80655</f>
        <v>0</v>
      </c>
      <c r="C61" s="226">
        <f t="shared" si="2"/>
        <v>9.03275</v>
      </c>
      <c r="D61" s="226">
        <f t="shared" si="2"/>
        <v>18.0655</v>
      </c>
      <c r="E61" s="226">
        <f t="shared" si="2"/>
        <v>27.09825</v>
      </c>
      <c r="F61" s="226">
        <f t="shared" si="2"/>
        <v>36.131</v>
      </c>
      <c r="G61" s="227">
        <f t="shared" si="2"/>
        <v>45.16375</v>
      </c>
      <c r="J61" s="202"/>
    </row>
    <row r="62">
      <c r="A62" s="225" t="s">
        <v>280</v>
      </c>
      <c r="B62" s="228" t="s">
        <v>281</v>
      </c>
      <c r="C62" s="228" t="s">
        <v>281</v>
      </c>
      <c r="D62" s="228" t="s">
        <v>281</v>
      </c>
      <c r="E62" s="228" t="s">
        <v>281</v>
      </c>
      <c r="F62" s="228" t="s">
        <v>281</v>
      </c>
      <c r="G62" s="229" t="s">
        <v>281</v>
      </c>
      <c r="J62" s="202"/>
    </row>
    <row r="63">
      <c r="A63" s="230">
        <v>0.0</v>
      </c>
      <c r="B63" s="231">
        <v>14.62</v>
      </c>
      <c r="C63" s="231">
        <v>13.73</v>
      </c>
      <c r="D63" s="231">
        <v>12.89</v>
      </c>
      <c r="E63" s="231">
        <v>12.1</v>
      </c>
      <c r="F63" s="231">
        <v>11.36</v>
      </c>
      <c r="G63" s="232">
        <v>10.66</v>
      </c>
      <c r="J63" s="202"/>
    </row>
    <row r="64">
      <c r="A64" s="230">
        <v>1.0</v>
      </c>
      <c r="B64" s="231">
        <v>14.22</v>
      </c>
      <c r="C64" s="231">
        <v>13.36</v>
      </c>
      <c r="D64" s="231">
        <v>12.55</v>
      </c>
      <c r="E64" s="231">
        <v>11.78</v>
      </c>
      <c r="F64" s="231">
        <v>11.07</v>
      </c>
      <c r="G64" s="232">
        <v>10.39</v>
      </c>
      <c r="J64" s="202"/>
    </row>
    <row r="65">
      <c r="A65" s="230">
        <v>2.0</v>
      </c>
      <c r="B65" s="231">
        <v>13.83</v>
      </c>
      <c r="C65" s="231">
        <v>13.0</v>
      </c>
      <c r="D65" s="231">
        <v>12.22</v>
      </c>
      <c r="E65" s="231">
        <v>11.48</v>
      </c>
      <c r="F65" s="231">
        <v>10.79</v>
      </c>
      <c r="G65" s="232">
        <v>10.14</v>
      </c>
      <c r="J65" s="202"/>
    </row>
    <row r="66">
      <c r="A66" s="233">
        <v>3.0</v>
      </c>
      <c r="B66" s="231">
        <v>13.46</v>
      </c>
      <c r="C66" s="231">
        <v>12.66</v>
      </c>
      <c r="D66" s="231">
        <v>11.91</v>
      </c>
      <c r="E66" s="231">
        <v>11.2</v>
      </c>
      <c r="F66" s="231">
        <v>10.53</v>
      </c>
      <c r="G66" s="232">
        <v>9.9</v>
      </c>
      <c r="J66" s="202"/>
    </row>
    <row r="67">
      <c r="A67" s="233">
        <v>4.0</v>
      </c>
      <c r="B67" s="231">
        <v>13.11</v>
      </c>
      <c r="C67" s="231">
        <v>12.45</v>
      </c>
      <c r="D67" s="231">
        <v>11.61</v>
      </c>
      <c r="E67" s="231">
        <v>10.92</v>
      </c>
      <c r="F67" s="231">
        <v>10.27</v>
      </c>
      <c r="G67" s="232">
        <v>9.66</v>
      </c>
      <c r="J67" s="202"/>
    </row>
    <row r="68">
      <c r="A68" s="233">
        <v>5.0</v>
      </c>
      <c r="B68" s="231">
        <v>12.77</v>
      </c>
      <c r="C68" s="231">
        <v>12.02</v>
      </c>
      <c r="D68" s="231">
        <v>11.32</v>
      </c>
      <c r="E68" s="231">
        <v>10.66</v>
      </c>
      <c r="F68" s="231">
        <v>10.03</v>
      </c>
      <c r="G68" s="232">
        <v>9.44</v>
      </c>
      <c r="J68" s="36"/>
      <c r="K68" s="36"/>
    </row>
    <row r="69">
      <c r="A69" s="233">
        <v>6.0</v>
      </c>
      <c r="B69" s="231">
        <v>12.45</v>
      </c>
      <c r="C69" s="231">
        <v>11.73</v>
      </c>
      <c r="D69" s="231">
        <v>11.05</v>
      </c>
      <c r="E69" s="231">
        <v>10.4</v>
      </c>
      <c r="F69" s="231">
        <v>9.8</v>
      </c>
      <c r="G69" s="232">
        <v>9.23</v>
      </c>
      <c r="J69" s="36"/>
      <c r="K69" s="36"/>
    </row>
    <row r="70">
      <c r="A70" s="233">
        <v>7.0</v>
      </c>
      <c r="B70" s="231">
        <v>12.14</v>
      </c>
      <c r="C70" s="231">
        <v>11.44</v>
      </c>
      <c r="D70" s="231">
        <v>10.78</v>
      </c>
      <c r="E70" s="231">
        <v>10.16</v>
      </c>
      <c r="F70" s="231">
        <v>9.58</v>
      </c>
      <c r="G70" s="232">
        <v>9.02</v>
      </c>
      <c r="J70" s="234"/>
      <c r="K70" s="234"/>
    </row>
    <row r="71">
      <c r="A71" s="233">
        <v>8.0</v>
      </c>
      <c r="B71" s="231">
        <v>11.84</v>
      </c>
      <c r="C71" s="231">
        <v>11.17</v>
      </c>
      <c r="D71" s="231">
        <v>10.53</v>
      </c>
      <c r="E71" s="231">
        <v>9.93</v>
      </c>
      <c r="F71" s="231">
        <v>9.36</v>
      </c>
      <c r="G71" s="232">
        <v>8.83</v>
      </c>
      <c r="J71" s="234"/>
      <c r="K71" s="234"/>
    </row>
    <row r="72">
      <c r="A72" s="233">
        <v>9.0</v>
      </c>
      <c r="B72" s="231">
        <v>11.56</v>
      </c>
      <c r="C72" s="231">
        <v>10.91</v>
      </c>
      <c r="D72" s="231">
        <v>10.29</v>
      </c>
      <c r="E72" s="231">
        <v>9.71</v>
      </c>
      <c r="F72" s="231">
        <v>9.16</v>
      </c>
      <c r="G72" s="232">
        <v>8.64</v>
      </c>
      <c r="J72" s="234"/>
      <c r="K72" s="234"/>
    </row>
    <row r="73">
      <c r="A73" s="233">
        <v>10.0</v>
      </c>
      <c r="B73" s="231">
        <v>11.29</v>
      </c>
      <c r="C73" s="231">
        <v>10.66</v>
      </c>
      <c r="D73" s="231">
        <v>10.06</v>
      </c>
      <c r="E73" s="231">
        <v>9.49</v>
      </c>
      <c r="F73" s="231">
        <v>8.96</v>
      </c>
      <c r="G73" s="232">
        <v>8.45</v>
      </c>
      <c r="J73" s="234"/>
      <c r="K73" s="234"/>
    </row>
    <row r="74">
      <c r="A74" s="233">
        <v>11.0</v>
      </c>
      <c r="B74" s="231">
        <v>11.03</v>
      </c>
      <c r="C74" s="231">
        <v>10.41</v>
      </c>
      <c r="D74" s="231">
        <v>9.84</v>
      </c>
      <c r="E74" s="231">
        <v>9.29</v>
      </c>
      <c r="F74" s="231">
        <v>8.77</v>
      </c>
      <c r="G74" s="232">
        <v>8.28</v>
      </c>
      <c r="J74" s="234"/>
      <c r="K74" s="234"/>
    </row>
    <row r="75">
      <c r="A75" s="233">
        <v>12.0</v>
      </c>
      <c r="B75" s="231">
        <v>10.78</v>
      </c>
      <c r="C75" s="231">
        <v>10.18</v>
      </c>
      <c r="D75" s="231">
        <v>9.62</v>
      </c>
      <c r="E75" s="231">
        <v>9.09</v>
      </c>
      <c r="F75" s="231">
        <v>8.59</v>
      </c>
      <c r="G75" s="232">
        <v>8.11</v>
      </c>
      <c r="J75" s="36"/>
      <c r="K75" s="36"/>
    </row>
    <row r="76">
      <c r="A76" s="233">
        <v>13.0</v>
      </c>
      <c r="B76" s="231">
        <v>10.54</v>
      </c>
      <c r="C76" s="231">
        <v>9.96</v>
      </c>
      <c r="D76" s="231">
        <v>9.42</v>
      </c>
      <c r="E76" s="231">
        <v>8.9</v>
      </c>
      <c r="F76" s="231">
        <v>8.41</v>
      </c>
      <c r="G76" s="232">
        <v>7.95</v>
      </c>
      <c r="H76" s="36"/>
      <c r="I76" s="36"/>
      <c r="J76" s="36"/>
      <c r="K76" s="36"/>
    </row>
    <row r="77">
      <c r="A77" s="233">
        <v>14.0</v>
      </c>
      <c r="B77" s="231">
        <v>10.31</v>
      </c>
      <c r="C77" s="231">
        <v>9.75</v>
      </c>
      <c r="D77" s="231">
        <v>9.22</v>
      </c>
      <c r="E77" s="231">
        <v>8.72</v>
      </c>
      <c r="F77" s="231">
        <v>8.24</v>
      </c>
      <c r="G77" s="232">
        <v>7.79</v>
      </c>
      <c r="H77" s="36"/>
      <c r="I77" s="36"/>
      <c r="J77" s="36"/>
      <c r="K77" s="36"/>
    </row>
    <row r="78">
      <c r="A78" s="233">
        <v>15.0</v>
      </c>
      <c r="B78" s="235">
        <v>10.08</v>
      </c>
      <c r="C78" s="235">
        <v>9.54</v>
      </c>
      <c r="D78" s="231">
        <v>9.03</v>
      </c>
      <c r="E78" s="231">
        <v>8.54</v>
      </c>
      <c r="F78" s="231">
        <v>8.08</v>
      </c>
      <c r="G78" s="232">
        <v>7.64</v>
      </c>
      <c r="H78" s="36"/>
      <c r="I78" s="36"/>
      <c r="J78" s="36"/>
      <c r="K78" s="36"/>
    </row>
    <row r="79">
      <c r="A79" s="233">
        <v>16.0</v>
      </c>
      <c r="B79" s="235">
        <v>9.87</v>
      </c>
      <c r="C79" s="235">
        <v>9.34</v>
      </c>
      <c r="D79" s="231">
        <v>8.84</v>
      </c>
      <c r="E79" s="231">
        <v>8.37</v>
      </c>
      <c r="F79" s="231">
        <v>7.92</v>
      </c>
      <c r="G79" s="232">
        <v>7.5</v>
      </c>
      <c r="H79" s="36"/>
      <c r="I79" s="36"/>
      <c r="J79" s="36"/>
      <c r="K79" s="36"/>
    </row>
    <row r="80">
      <c r="A80" s="233">
        <v>17.0</v>
      </c>
      <c r="B80" s="235">
        <v>9.67</v>
      </c>
      <c r="C80" s="235">
        <v>9.15</v>
      </c>
      <c r="D80" s="231">
        <v>8.67</v>
      </c>
      <c r="E80" s="231">
        <v>8.21</v>
      </c>
      <c r="F80" s="231">
        <v>7.77</v>
      </c>
      <c r="G80" s="232">
        <v>7.36</v>
      </c>
      <c r="H80" s="36"/>
      <c r="I80" s="36"/>
      <c r="J80" s="36"/>
      <c r="K80" s="36"/>
    </row>
    <row r="81">
      <c r="A81" s="233">
        <v>18.0</v>
      </c>
      <c r="B81" s="235">
        <v>9.47</v>
      </c>
      <c r="C81" s="235">
        <v>8.97</v>
      </c>
      <c r="D81" s="231">
        <v>8.5</v>
      </c>
      <c r="E81" s="231">
        <v>8.05</v>
      </c>
      <c r="F81" s="231">
        <v>7.62</v>
      </c>
      <c r="G81" s="232">
        <v>7.22</v>
      </c>
      <c r="H81" s="36"/>
      <c r="I81" s="36"/>
      <c r="J81" s="36"/>
      <c r="K81" s="36"/>
    </row>
    <row r="82">
      <c r="A82" s="233">
        <v>19.0</v>
      </c>
      <c r="B82" s="235">
        <v>9.28</v>
      </c>
      <c r="C82" s="235">
        <v>8.79</v>
      </c>
      <c r="D82" s="231">
        <v>8.33</v>
      </c>
      <c r="E82" s="231">
        <v>7.9</v>
      </c>
      <c r="F82" s="231">
        <v>7.48</v>
      </c>
      <c r="G82" s="232">
        <v>7.09</v>
      </c>
      <c r="H82" s="36"/>
      <c r="I82" s="36"/>
      <c r="J82" s="36"/>
      <c r="K82" s="36"/>
    </row>
    <row r="83">
      <c r="A83" s="230">
        <v>20.0</v>
      </c>
      <c r="B83" s="231">
        <v>9.09</v>
      </c>
      <c r="C83" s="231">
        <v>8.62</v>
      </c>
      <c r="D83" s="231">
        <v>8.17</v>
      </c>
      <c r="E83" s="231">
        <v>7.75</v>
      </c>
      <c r="F83" s="231">
        <v>7.35</v>
      </c>
      <c r="G83" s="232">
        <v>6.96</v>
      </c>
      <c r="H83" s="36"/>
      <c r="I83" s="36"/>
      <c r="J83" s="36"/>
      <c r="K83" s="36"/>
    </row>
    <row r="84">
      <c r="A84" s="230">
        <v>21.0</v>
      </c>
      <c r="B84" s="231">
        <v>8.92</v>
      </c>
      <c r="C84" s="231">
        <v>8.46</v>
      </c>
      <c r="D84" s="231">
        <v>8.02</v>
      </c>
      <c r="E84" s="231">
        <v>7.61</v>
      </c>
      <c r="F84" s="231">
        <v>7.21</v>
      </c>
      <c r="G84" s="232">
        <v>6.84</v>
      </c>
      <c r="H84" s="36"/>
      <c r="I84" s="36"/>
      <c r="J84" s="36"/>
      <c r="K84" s="36"/>
    </row>
    <row r="85">
      <c r="A85" s="230">
        <v>22.0</v>
      </c>
      <c r="B85" s="231">
        <v>8.74</v>
      </c>
      <c r="C85" s="231">
        <v>8.3</v>
      </c>
      <c r="D85" s="231">
        <v>7.87</v>
      </c>
      <c r="E85" s="231">
        <v>7.47</v>
      </c>
      <c r="F85" s="231">
        <v>7.09</v>
      </c>
      <c r="G85" s="232">
        <v>6.72</v>
      </c>
      <c r="H85" s="36"/>
      <c r="I85" s="36"/>
      <c r="J85" s="36"/>
      <c r="K85" s="36"/>
    </row>
    <row r="86">
      <c r="A86" s="230">
        <v>23.0</v>
      </c>
      <c r="B86" s="231">
        <v>8.58</v>
      </c>
      <c r="C86" s="231">
        <v>8.14</v>
      </c>
      <c r="D86" s="231">
        <v>7.73</v>
      </c>
      <c r="E86" s="231">
        <v>7.34</v>
      </c>
      <c r="F86" s="231">
        <v>6.96</v>
      </c>
      <c r="G86" s="232">
        <v>6.61</v>
      </c>
      <c r="H86" s="36"/>
      <c r="I86" s="36"/>
      <c r="J86" s="36"/>
      <c r="K86" s="36"/>
    </row>
    <row r="87">
      <c r="A87" s="230">
        <v>24.0</v>
      </c>
      <c r="B87" s="231">
        <v>8.42</v>
      </c>
      <c r="C87" s="231">
        <v>7.99</v>
      </c>
      <c r="D87" s="231">
        <v>7.59</v>
      </c>
      <c r="E87" s="231">
        <v>7.21</v>
      </c>
      <c r="F87" s="231">
        <v>6.84</v>
      </c>
      <c r="G87" s="232">
        <v>6.5</v>
      </c>
      <c r="H87" s="36"/>
      <c r="I87" s="36"/>
      <c r="J87" s="36"/>
      <c r="K87" s="36"/>
    </row>
    <row r="88">
      <c r="A88" s="230">
        <v>25.0</v>
      </c>
      <c r="B88" s="231">
        <v>8.26</v>
      </c>
      <c r="C88" s="231">
        <v>7.85</v>
      </c>
      <c r="D88" s="231">
        <v>7.46</v>
      </c>
      <c r="E88" s="231">
        <v>7.08</v>
      </c>
      <c r="F88" s="231">
        <v>6.72</v>
      </c>
      <c r="G88" s="232">
        <v>6.39</v>
      </c>
      <c r="H88" s="36"/>
      <c r="I88" s="36"/>
      <c r="J88" s="36"/>
      <c r="K88" s="36"/>
    </row>
    <row r="89">
      <c r="A89" s="230">
        <v>26.0</v>
      </c>
      <c r="B89" s="231">
        <v>8.11</v>
      </c>
      <c r="C89" s="231">
        <v>7.71</v>
      </c>
      <c r="D89" s="231">
        <v>7.33</v>
      </c>
      <c r="E89" s="231">
        <v>6.96</v>
      </c>
      <c r="F89" s="231">
        <v>6.62</v>
      </c>
      <c r="G89" s="232">
        <v>6.28</v>
      </c>
      <c r="H89" s="36"/>
      <c r="I89" s="36"/>
      <c r="J89" s="36"/>
      <c r="K89" s="36"/>
    </row>
    <row r="90">
      <c r="A90" s="230">
        <v>27.0</v>
      </c>
      <c r="B90" s="231">
        <v>7.97</v>
      </c>
      <c r="C90" s="231">
        <v>7.58</v>
      </c>
      <c r="D90" s="231">
        <v>7.2</v>
      </c>
      <c r="E90" s="231">
        <v>6.85</v>
      </c>
      <c r="F90" s="231">
        <v>6.51</v>
      </c>
      <c r="G90" s="232">
        <v>6.18</v>
      </c>
      <c r="H90" s="36"/>
      <c r="I90" s="36"/>
      <c r="J90" s="36"/>
      <c r="K90" s="36"/>
    </row>
    <row r="91">
      <c r="A91" s="230">
        <v>28.0</v>
      </c>
      <c r="B91" s="231">
        <v>7.83</v>
      </c>
      <c r="C91" s="231">
        <v>7.44</v>
      </c>
      <c r="D91" s="231">
        <v>7.08</v>
      </c>
      <c r="E91" s="231">
        <v>6.73</v>
      </c>
      <c r="F91" s="231">
        <v>6.4</v>
      </c>
      <c r="G91" s="232">
        <v>6.09</v>
      </c>
      <c r="H91" s="36"/>
      <c r="I91" s="36"/>
      <c r="J91" s="36"/>
      <c r="K91" s="36"/>
    </row>
    <row r="92">
      <c r="A92" s="230">
        <v>29.0</v>
      </c>
      <c r="B92" s="231">
        <v>7.69</v>
      </c>
      <c r="C92" s="231">
        <v>7.32</v>
      </c>
      <c r="D92" s="231">
        <v>6.96</v>
      </c>
      <c r="E92" s="231">
        <v>6.62</v>
      </c>
      <c r="F92" s="231">
        <v>6.3</v>
      </c>
      <c r="G92" s="232">
        <v>5.99</v>
      </c>
      <c r="H92" s="36"/>
      <c r="I92" s="36"/>
      <c r="J92" s="36"/>
      <c r="K92" s="36"/>
    </row>
    <row r="93">
      <c r="A93" s="230">
        <v>30.0</v>
      </c>
      <c r="B93" s="231">
        <v>7.56</v>
      </c>
      <c r="C93" s="231">
        <v>7.19</v>
      </c>
      <c r="D93" s="231">
        <v>6.85</v>
      </c>
      <c r="E93" s="231">
        <v>6.51</v>
      </c>
      <c r="F93" s="231">
        <v>6.2</v>
      </c>
      <c r="G93" s="232">
        <v>5.9</v>
      </c>
      <c r="H93" s="36"/>
      <c r="I93" s="36"/>
      <c r="J93" s="36"/>
      <c r="K93" s="36"/>
    </row>
    <row r="94">
      <c r="A94" s="230">
        <v>31.0</v>
      </c>
      <c r="B94" s="231">
        <v>7.43</v>
      </c>
      <c r="C94" s="231">
        <v>7.07</v>
      </c>
      <c r="D94" s="231">
        <v>6.73</v>
      </c>
      <c r="E94" s="231">
        <v>6.41</v>
      </c>
      <c r="F94" s="231">
        <v>6.1</v>
      </c>
      <c r="G94" s="232">
        <v>5.81</v>
      </c>
      <c r="H94" s="36"/>
      <c r="I94" s="36"/>
      <c r="J94" s="36"/>
      <c r="K94" s="36"/>
    </row>
    <row r="95">
      <c r="A95" s="230">
        <v>32.0</v>
      </c>
      <c r="B95" s="231">
        <v>7.31</v>
      </c>
      <c r="C95" s="231">
        <v>6.96</v>
      </c>
      <c r="D95" s="231">
        <v>6.62</v>
      </c>
      <c r="E95" s="231">
        <v>6.31</v>
      </c>
      <c r="F95" s="231">
        <v>6.01</v>
      </c>
      <c r="G95" s="232">
        <v>5.72</v>
      </c>
      <c r="H95" s="36"/>
      <c r="I95" s="36"/>
      <c r="J95" s="36"/>
      <c r="K95" s="36"/>
    </row>
    <row r="96">
      <c r="A96" s="230">
        <v>33.0</v>
      </c>
      <c r="B96" s="231">
        <v>7.18</v>
      </c>
      <c r="C96" s="231">
        <v>6.84</v>
      </c>
      <c r="D96" s="231">
        <v>6.52</v>
      </c>
      <c r="E96" s="231">
        <v>6.21</v>
      </c>
      <c r="F96" s="231">
        <v>5.91</v>
      </c>
      <c r="G96" s="232">
        <v>5.63</v>
      </c>
      <c r="H96" s="36"/>
      <c r="I96" s="36"/>
      <c r="J96" s="36"/>
      <c r="K96" s="36"/>
    </row>
    <row r="97">
      <c r="A97" s="230">
        <v>34.0</v>
      </c>
      <c r="B97" s="231">
        <v>7.07</v>
      </c>
      <c r="C97" s="231">
        <v>6.73</v>
      </c>
      <c r="D97" s="231">
        <v>6.42</v>
      </c>
      <c r="E97" s="231">
        <v>6.11</v>
      </c>
      <c r="F97" s="231">
        <v>5.28</v>
      </c>
      <c r="G97" s="232">
        <v>5.55</v>
      </c>
      <c r="H97" s="36"/>
      <c r="I97" s="36"/>
      <c r="J97" s="36"/>
      <c r="K97" s="36"/>
    </row>
    <row r="98">
      <c r="A98" s="230">
        <v>35.0</v>
      </c>
      <c r="B98" s="231">
        <v>6.95</v>
      </c>
      <c r="C98" s="231">
        <v>6.62</v>
      </c>
      <c r="D98" s="231">
        <v>6.31</v>
      </c>
      <c r="E98" s="231">
        <v>6.02</v>
      </c>
      <c r="F98" s="231">
        <v>5.73</v>
      </c>
      <c r="G98" s="232">
        <v>5.46</v>
      </c>
      <c r="H98" s="36"/>
      <c r="I98" s="36"/>
      <c r="J98" s="36"/>
      <c r="K98" s="36"/>
    </row>
    <row r="99">
      <c r="A99" s="230">
        <v>36.0</v>
      </c>
      <c r="B99" s="231">
        <v>6.84</v>
      </c>
      <c r="C99" s="231">
        <v>3.52</v>
      </c>
      <c r="D99" s="231">
        <v>6.22</v>
      </c>
      <c r="E99" s="231">
        <v>5.93</v>
      </c>
      <c r="F99" s="231">
        <v>5.65</v>
      </c>
      <c r="G99" s="232">
        <v>5.38</v>
      </c>
      <c r="H99" s="36"/>
      <c r="I99" s="36"/>
      <c r="J99" s="36"/>
      <c r="K99" s="36"/>
    </row>
    <row r="100">
      <c r="A100" s="230">
        <v>37.0</v>
      </c>
      <c r="B100" s="231">
        <v>6.73</v>
      </c>
      <c r="C100" s="231">
        <v>6.42</v>
      </c>
      <c r="D100" s="231">
        <v>6.12</v>
      </c>
      <c r="E100" s="231">
        <v>5.84</v>
      </c>
      <c r="F100" s="231">
        <v>5.56</v>
      </c>
      <c r="G100" s="232">
        <v>5.31</v>
      </c>
      <c r="H100" s="36"/>
      <c r="I100" s="36"/>
      <c r="J100" s="36"/>
      <c r="K100" s="36"/>
    </row>
    <row r="101">
      <c r="A101" s="230">
        <v>38.0</v>
      </c>
      <c r="B101" s="231">
        <v>6.62</v>
      </c>
      <c r="C101" s="231">
        <v>6.32</v>
      </c>
      <c r="D101" s="231">
        <v>6.03</v>
      </c>
      <c r="E101" s="231">
        <v>5.75</v>
      </c>
      <c r="F101" s="231">
        <v>5.48</v>
      </c>
      <c r="G101" s="232">
        <v>5.23</v>
      </c>
      <c r="H101" s="36"/>
      <c r="I101" s="36"/>
      <c r="J101" s="36"/>
      <c r="K101" s="36"/>
    </row>
    <row r="102">
      <c r="A102" s="230">
        <v>39.0</v>
      </c>
      <c r="B102" s="231">
        <v>6.52</v>
      </c>
      <c r="C102" s="231">
        <v>6.22</v>
      </c>
      <c r="D102" s="231">
        <v>5.98</v>
      </c>
      <c r="E102" s="231">
        <v>5.66</v>
      </c>
      <c r="F102" s="231">
        <v>5.4</v>
      </c>
      <c r="G102" s="232">
        <v>5.15</v>
      </c>
      <c r="H102" s="36"/>
      <c r="I102" s="36"/>
      <c r="J102" s="36"/>
      <c r="K102" s="36"/>
    </row>
    <row r="103">
      <c r="A103" s="230">
        <v>40.0</v>
      </c>
      <c r="B103" s="231">
        <v>6.41</v>
      </c>
      <c r="C103" s="231">
        <v>6.12</v>
      </c>
      <c r="D103" s="231">
        <v>5.84</v>
      </c>
      <c r="E103" s="231">
        <v>5.58</v>
      </c>
      <c r="F103" s="231">
        <v>5.32</v>
      </c>
      <c r="G103" s="232">
        <v>5.08</v>
      </c>
      <c r="H103" s="36"/>
      <c r="I103" s="36"/>
      <c r="J103" s="36"/>
      <c r="K103" s="36"/>
    </row>
    <row r="104">
      <c r="A104" s="230">
        <v>41.0</v>
      </c>
      <c r="B104" s="231">
        <v>6.31</v>
      </c>
      <c r="C104" s="231">
        <v>6.03</v>
      </c>
      <c r="D104" s="231">
        <v>5.75</v>
      </c>
      <c r="E104" s="231">
        <v>5.49</v>
      </c>
      <c r="F104" s="231">
        <v>5.24</v>
      </c>
      <c r="G104" s="232">
        <v>5.01</v>
      </c>
      <c r="H104" s="36"/>
      <c r="I104" s="36"/>
      <c r="J104" s="36"/>
      <c r="K104" s="36"/>
    </row>
    <row r="105">
      <c r="A105" s="230">
        <v>42.0</v>
      </c>
      <c r="B105" s="231">
        <v>6.21</v>
      </c>
      <c r="C105" s="231">
        <v>5.93</v>
      </c>
      <c r="D105" s="231">
        <v>5.67</v>
      </c>
      <c r="E105" s="231">
        <v>5.41</v>
      </c>
      <c r="F105" s="231">
        <v>5.17</v>
      </c>
      <c r="G105" s="232">
        <v>4.93</v>
      </c>
      <c r="H105" s="36"/>
      <c r="I105" s="36"/>
      <c r="J105" s="36"/>
      <c r="K105" s="36"/>
    </row>
    <row r="106">
      <c r="A106" s="230">
        <v>43.0</v>
      </c>
      <c r="B106" s="231">
        <v>6.12</v>
      </c>
      <c r="C106" s="231">
        <v>5.84</v>
      </c>
      <c r="D106" s="231">
        <v>5.58</v>
      </c>
      <c r="E106" s="231">
        <v>5.33</v>
      </c>
      <c r="F106" s="231">
        <v>5.09</v>
      </c>
      <c r="G106" s="232">
        <v>4.86</v>
      </c>
      <c r="H106" s="36"/>
      <c r="I106" s="36"/>
      <c r="J106" s="36"/>
      <c r="K106" s="36"/>
    </row>
    <row r="107">
      <c r="A107" s="230">
        <v>44.0</v>
      </c>
      <c r="B107" s="231">
        <v>6.02</v>
      </c>
      <c r="C107" s="231">
        <v>5.75</v>
      </c>
      <c r="D107" s="231">
        <v>5.5</v>
      </c>
      <c r="E107" s="231">
        <v>5.25</v>
      </c>
      <c r="F107" s="231">
        <v>5.02</v>
      </c>
      <c r="G107" s="232">
        <v>4.79</v>
      </c>
      <c r="H107" s="36"/>
      <c r="I107" s="36"/>
      <c r="J107" s="36"/>
      <c r="K107" s="36"/>
    </row>
    <row r="108">
      <c r="A108" s="236">
        <v>45.0</v>
      </c>
      <c r="B108" s="237">
        <v>5.93</v>
      </c>
      <c r="C108" s="237">
        <v>5.67</v>
      </c>
      <c r="D108" s="237">
        <v>5.41</v>
      </c>
      <c r="E108" s="237">
        <v>5.17</v>
      </c>
      <c r="F108" s="237">
        <v>4.94</v>
      </c>
      <c r="G108" s="238">
        <v>4.72</v>
      </c>
      <c r="H108" s="36"/>
      <c r="I108" s="36"/>
      <c r="J108" s="36"/>
      <c r="K108" s="36"/>
    </row>
    <row r="109">
      <c r="A109" s="239" t="s">
        <v>282</v>
      </c>
      <c r="B109" s="240"/>
      <c r="C109" s="241"/>
      <c r="D109" s="36"/>
      <c r="E109" s="36"/>
      <c r="F109" s="36"/>
      <c r="G109" s="36"/>
      <c r="H109" s="36"/>
      <c r="I109" s="36"/>
      <c r="J109" s="36"/>
      <c r="K109" s="36"/>
    </row>
    <row r="110">
      <c r="A110" s="242" t="s">
        <v>283</v>
      </c>
      <c r="B110" s="242" t="s">
        <v>284</v>
      </c>
      <c r="C110" s="241"/>
      <c r="D110" s="36"/>
      <c r="E110" s="36"/>
      <c r="F110" s="36"/>
      <c r="G110" s="36"/>
      <c r="H110" s="36"/>
      <c r="I110" s="36"/>
      <c r="J110" s="36"/>
      <c r="K110" s="36"/>
    </row>
    <row r="111">
      <c r="A111" s="33" t="s">
        <v>134</v>
      </c>
      <c r="B111" s="243">
        <v>0.021</v>
      </c>
      <c r="C111" s="241"/>
      <c r="D111" s="36"/>
      <c r="E111" s="36"/>
      <c r="F111" s="36"/>
      <c r="G111" s="36"/>
      <c r="H111" s="36"/>
      <c r="I111" s="36"/>
      <c r="J111" s="36"/>
      <c r="K111" s="36"/>
    </row>
    <row r="112">
      <c r="A112" s="33" t="s">
        <v>135</v>
      </c>
      <c r="B112" s="243">
        <v>0.014</v>
      </c>
      <c r="C112" s="241"/>
      <c r="D112" s="36"/>
      <c r="E112" s="36"/>
      <c r="F112" s="36"/>
      <c r="G112" s="36"/>
      <c r="H112" s="36"/>
      <c r="I112" s="36"/>
      <c r="J112" s="36"/>
      <c r="K112" s="36"/>
    </row>
    <row r="113">
      <c r="A113" s="33" t="s">
        <v>136</v>
      </c>
      <c r="B113" s="243">
        <v>0.009</v>
      </c>
      <c r="C113" s="241"/>
      <c r="D113" s="36"/>
      <c r="E113" s="36"/>
      <c r="F113" s="36"/>
      <c r="G113" s="36"/>
      <c r="H113" s="36"/>
      <c r="I113" s="36"/>
      <c r="J113" s="36"/>
      <c r="K113" s="36"/>
    </row>
    <row r="114">
      <c r="A114" s="244" t="s">
        <v>285</v>
      </c>
      <c r="B114" s="3"/>
      <c r="C114" s="4"/>
      <c r="D114" s="36"/>
      <c r="E114" s="36"/>
      <c r="F114" s="36"/>
      <c r="G114" s="36"/>
      <c r="H114" s="36"/>
      <c r="I114" s="36"/>
      <c r="J114" s="36"/>
      <c r="K114" s="36"/>
    </row>
    <row r="115">
      <c r="A115" s="245" t="s">
        <v>286</v>
      </c>
      <c r="B115" s="246" t="s">
        <v>287</v>
      </c>
      <c r="C115" s="247" t="s">
        <v>288</v>
      </c>
      <c r="D115" s="36"/>
      <c r="E115" s="36"/>
      <c r="F115" s="36"/>
      <c r="G115" s="36"/>
      <c r="H115" s="36"/>
      <c r="I115" s="36"/>
      <c r="J115" s="36"/>
      <c r="K115" s="36"/>
    </row>
    <row r="116">
      <c r="A116" s="83" t="s">
        <v>289</v>
      </c>
      <c r="B116" s="32" t="s">
        <v>290</v>
      </c>
      <c r="C116" s="248">
        <f t="shared" ref="C116:C122" si="3">AVERAGE(VALUE(MID(B116,1,3)),VALUE(MID(B116,8,3)))</f>
        <v>3</v>
      </c>
      <c r="D116" s="36"/>
      <c r="E116" s="36"/>
      <c r="F116" s="36"/>
      <c r="G116" s="36"/>
      <c r="H116" s="36"/>
      <c r="I116" s="36"/>
      <c r="J116" s="36"/>
      <c r="K116" s="36"/>
    </row>
    <row r="117">
      <c r="A117" s="83" t="s">
        <v>291</v>
      </c>
      <c r="B117" s="32" t="s">
        <v>292</v>
      </c>
      <c r="C117" s="248">
        <f t="shared" si="3"/>
        <v>3.3</v>
      </c>
      <c r="D117" s="36"/>
      <c r="E117" s="36"/>
      <c r="F117" s="36"/>
      <c r="G117" s="36"/>
      <c r="H117" s="36"/>
      <c r="I117" s="36"/>
      <c r="J117" s="36"/>
      <c r="K117" s="36"/>
    </row>
    <row r="118">
      <c r="A118" s="83" t="s">
        <v>293</v>
      </c>
      <c r="B118" s="32" t="s">
        <v>294</v>
      </c>
      <c r="C118" s="248">
        <f t="shared" si="3"/>
        <v>2.05</v>
      </c>
      <c r="D118" s="36"/>
      <c r="E118" s="36"/>
      <c r="F118" s="36"/>
      <c r="G118" s="36"/>
      <c r="H118" s="36"/>
      <c r="I118" s="36"/>
      <c r="J118" s="36"/>
      <c r="K118" s="36"/>
    </row>
    <row r="119">
      <c r="A119" s="83" t="s">
        <v>295</v>
      </c>
      <c r="B119" s="32" t="s">
        <v>296</v>
      </c>
      <c r="C119" s="248">
        <f t="shared" si="3"/>
        <v>2.65</v>
      </c>
      <c r="D119" s="36"/>
      <c r="E119" s="36"/>
      <c r="F119" s="36"/>
      <c r="G119" s="36"/>
      <c r="H119" s="36"/>
      <c r="I119" s="36"/>
      <c r="J119" s="36"/>
      <c r="K119" s="36"/>
    </row>
    <row r="120">
      <c r="A120" s="83" t="s">
        <v>297</v>
      </c>
      <c r="B120" s="32" t="s">
        <v>298</v>
      </c>
      <c r="C120" s="248">
        <f t="shared" si="3"/>
        <v>2.65</v>
      </c>
      <c r="D120" s="36"/>
      <c r="E120" s="36"/>
      <c r="F120" s="36"/>
      <c r="G120" s="36"/>
      <c r="H120" s="36"/>
      <c r="I120" s="36"/>
      <c r="J120" s="36"/>
      <c r="K120" s="36"/>
    </row>
    <row r="121">
      <c r="A121" s="83" t="s">
        <v>299</v>
      </c>
      <c r="B121" s="32" t="s">
        <v>296</v>
      </c>
      <c r="C121" s="248">
        <f t="shared" si="3"/>
        <v>2.65</v>
      </c>
      <c r="D121" s="36"/>
      <c r="E121" s="36"/>
      <c r="F121" s="36"/>
      <c r="G121" s="36"/>
      <c r="H121" s="36"/>
      <c r="I121" s="36"/>
      <c r="J121" s="36"/>
      <c r="K121" s="36"/>
    </row>
    <row r="122">
      <c r="A122" s="83" t="s">
        <v>300</v>
      </c>
      <c r="B122" s="32" t="s">
        <v>301</v>
      </c>
      <c r="C122" s="248">
        <f t="shared" si="3"/>
        <v>2.55</v>
      </c>
      <c r="D122" s="36"/>
      <c r="E122" s="36"/>
      <c r="F122" s="36"/>
      <c r="G122" s="36"/>
      <c r="H122" s="36"/>
      <c r="I122" s="36"/>
      <c r="J122" s="36"/>
      <c r="K122" s="36"/>
    </row>
    <row r="123">
      <c r="A123" s="105" t="s">
        <v>302</v>
      </c>
      <c r="B123" s="249"/>
      <c r="C123" s="250">
        <f>AVERAGE(C116:C122)</f>
        <v>2.692857143</v>
      </c>
      <c r="D123" s="36"/>
      <c r="E123" s="36"/>
      <c r="F123" s="36"/>
      <c r="G123" s="36"/>
      <c r="H123" s="36"/>
      <c r="I123" s="36"/>
      <c r="J123" s="36"/>
      <c r="K123" s="36"/>
    </row>
    <row r="124">
      <c r="A124" s="83" t="s">
        <v>303</v>
      </c>
      <c r="B124" s="32" t="s">
        <v>296</v>
      </c>
      <c r="C124" s="248">
        <f t="shared" ref="C124:C130" si="4">AVERAGE(VALUE(MID(B124,1,3)),VALUE(MID(B124,8,3)))</f>
        <v>2.65</v>
      </c>
      <c r="D124" s="36"/>
      <c r="E124" s="36"/>
      <c r="F124" s="36"/>
      <c r="G124" s="36"/>
      <c r="H124" s="36"/>
      <c r="I124" s="36"/>
      <c r="J124" s="36"/>
      <c r="K124" s="36"/>
    </row>
    <row r="125">
      <c r="A125" s="83" t="s">
        <v>304</v>
      </c>
      <c r="B125" s="32" t="s">
        <v>305</v>
      </c>
      <c r="C125" s="248">
        <f t="shared" si="4"/>
        <v>2.1</v>
      </c>
      <c r="D125" s="36"/>
      <c r="E125" s="36"/>
      <c r="F125" s="36"/>
      <c r="G125" s="36"/>
      <c r="H125" s="36"/>
      <c r="I125" s="36"/>
      <c r="J125" s="36"/>
      <c r="K125" s="36"/>
    </row>
    <row r="126">
      <c r="A126" s="83" t="s">
        <v>46</v>
      </c>
      <c r="B126" s="32" t="s">
        <v>306</v>
      </c>
      <c r="C126" s="248">
        <f t="shared" si="4"/>
        <v>1.5</v>
      </c>
      <c r="D126" s="36"/>
      <c r="E126" s="36"/>
      <c r="F126" s="36"/>
      <c r="G126" s="36"/>
      <c r="H126" s="36"/>
      <c r="I126" s="36"/>
      <c r="J126" s="36"/>
      <c r="K126" s="36"/>
    </row>
    <row r="127">
      <c r="A127" s="83" t="s">
        <v>307</v>
      </c>
      <c r="B127" s="32" t="s">
        <v>308</v>
      </c>
      <c r="C127" s="248">
        <f t="shared" si="4"/>
        <v>2.3</v>
      </c>
      <c r="D127" s="36"/>
      <c r="E127" s="36"/>
      <c r="F127" s="36"/>
      <c r="G127" s="36"/>
      <c r="H127" s="36"/>
      <c r="I127" s="36"/>
      <c r="J127" s="36"/>
      <c r="K127" s="36"/>
    </row>
    <row r="128">
      <c r="A128" s="83" t="s">
        <v>309</v>
      </c>
      <c r="B128" s="32" t="s">
        <v>310</v>
      </c>
      <c r="C128" s="248">
        <f t="shared" si="4"/>
        <v>3</v>
      </c>
      <c r="D128" s="36"/>
      <c r="E128" s="36"/>
      <c r="F128" s="36"/>
      <c r="G128" s="36"/>
      <c r="H128" s="36"/>
      <c r="I128" s="36"/>
      <c r="J128" s="36"/>
      <c r="K128" s="36"/>
    </row>
    <row r="129">
      <c r="A129" s="83" t="s">
        <v>311</v>
      </c>
      <c r="B129" s="32" t="s">
        <v>312</v>
      </c>
      <c r="C129" s="248">
        <f t="shared" si="4"/>
        <v>3.25</v>
      </c>
      <c r="D129" s="36"/>
      <c r="E129" s="36"/>
      <c r="F129" s="36"/>
      <c r="G129" s="36"/>
      <c r="H129" s="36"/>
      <c r="I129" s="36"/>
      <c r="J129" s="36"/>
      <c r="K129" s="36"/>
    </row>
    <row r="130">
      <c r="A130" s="83" t="s">
        <v>313</v>
      </c>
      <c r="B130" s="32" t="s">
        <v>314</v>
      </c>
      <c r="C130" s="248">
        <f t="shared" si="4"/>
        <v>3.05</v>
      </c>
      <c r="D130" s="36"/>
      <c r="E130" s="36"/>
      <c r="F130" s="36"/>
      <c r="G130" s="36"/>
      <c r="H130" s="36"/>
      <c r="I130" s="36"/>
      <c r="J130" s="36"/>
      <c r="K130" s="36"/>
    </row>
    <row r="131">
      <c r="A131" s="105" t="s">
        <v>315</v>
      </c>
      <c r="B131" s="249"/>
      <c r="C131" s="250">
        <f>AVERAGE(C124:C130)</f>
        <v>2.55</v>
      </c>
      <c r="D131" s="36"/>
      <c r="E131" s="36"/>
      <c r="F131" s="36"/>
      <c r="G131" s="36"/>
      <c r="H131" s="36"/>
      <c r="I131" s="36"/>
      <c r="J131" s="36"/>
      <c r="K131" s="36"/>
    </row>
    <row r="132">
      <c r="A132" s="244" t="s">
        <v>316</v>
      </c>
      <c r="B132" s="3"/>
      <c r="C132" s="4"/>
      <c r="D132" s="36"/>
      <c r="E132" s="36"/>
      <c r="F132" s="36"/>
      <c r="G132" s="36"/>
      <c r="H132" s="36"/>
      <c r="I132" s="36"/>
      <c r="J132" s="36"/>
      <c r="K132" s="36"/>
    </row>
    <row r="133">
      <c r="A133" s="251" t="s">
        <v>317</v>
      </c>
      <c r="B133" s="191" t="s">
        <v>318</v>
      </c>
      <c r="C133" s="191" t="s">
        <v>319</v>
      </c>
      <c r="D133" s="36"/>
      <c r="E133" s="36"/>
      <c r="F133" s="36"/>
      <c r="G133" s="36"/>
      <c r="H133" s="36"/>
      <c r="I133" s="36"/>
      <c r="J133" s="36"/>
      <c r="K133" s="36"/>
    </row>
    <row r="134">
      <c r="A134" s="83" t="s">
        <v>320</v>
      </c>
      <c r="B134" s="32">
        <v>15.0</v>
      </c>
      <c r="C134" s="252">
        <f t="shared" ref="C134:C136" si="5">B134*35.315*1000/264.172</f>
        <v>2005.227655</v>
      </c>
      <c r="D134" s="36"/>
      <c r="E134" s="36"/>
      <c r="F134" s="36"/>
      <c r="G134" s="36"/>
      <c r="H134" s="36"/>
      <c r="I134" s="36"/>
      <c r="J134" s="36"/>
      <c r="K134" s="36"/>
    </row>
    <row r="135">
      <c r="A135" s="83" t="s">
        <v>135</v>
      </c>
      <c r="B135" s="32">
        <v>20.0</v>
      </c>
      <c r="C135" s="252">
        <f t="shared" si="5"/>
        <v>2673.636873</v>
      </c>
      <c r="D135" s="36"/>
      <c r="E135" s="36"/>
      <c r="F135" s="36"/>
      <c r="G135" s="36"/>
      <c r="H135" s="36"/>
      <c r="I135" s="36"/>
      <c r="J135" s="36"/>
      <c r="K135" s="36"/>
    </row>
    <row r="136">
      <c r="A136" s="83" t="s">
        <v>136</v>
      </c>
      <c r="B136" s="32">
        <v>20.0</v>
      </c>
      <c r="C136" s="252">
        <f t="shared" si="5"/>
        <v>2673.636873</v>
      </c>
      <c r="D136" s="36"/>
      <c r="E136" s="36"/>
      <c r="F136" s="36"/>
      <c r="G136" s="36"/>
      <c r="H136" s="36"/>
      <c r="I136" s="36"/>
      <c r="J136" s="36"/>
      <c r="K136" s="36"/>
    </row>
    <row r="137">
      <c r="A137" s="251" t="s">
        <v>321</v>
      </c>
      <c r="B137" s="253" t="s">
        <v>322</v>
      </c>
      <c r="C137" s="254" t="s">
        <v>323</v>
      </c>
      <c r="D137" s="36"/>
      <c r="E137" s="36"/>
      <c r="F137" s="36"/>
      <c r="G137" s="36"/>
      <c r="H137" s="36"/>
      <c r="I137" s="36"/>
      <c r="J137" s="36"/>
      <c r="K137" s="36"/>
    </row>
    <row r="138">
      <c r="A138" s="105" t="s">
        <v>137</v>
      </c>
      <c r="B138" s="38">
        <v>15.0</v>
      </c>
      <c r="C138" s="255">
        <f>B138*1.341*1000/264.172</f>
        <v>76.14357313</v>
      </c>
      <c r="D138" s="36"/>
      <c r="E138" s="36"/>
      <c r="F138" s="36"/>
      <c r="G138" s="36"/>
      <c r="H138" s="36"/>
      <c r="I138" s="36"/>
      <c r="J138" s="36"/>
      <c r="K138" s="36"/>
    </row>
  </sheetData>
  <mergeCells count="35">
    <mergeCell ref="A1:K1"/>
    <mergeCell ref="A2:K2"/>
    <mergeCell ref="A3:K3"/>
    <mergeCell ref="A4:K4"/>
    <mergeCell ref="A5:K5"/>
    <mergeCell ref="A6:K6"/>
    <mergeCell ref="A7:K7"/>
    <mergeCell ref="A8:K8"/>
    <mergeCell ref="A9:K9"/>
    <mergeCell ref="A10:K10"/>
    <mergeCell ref="A11:K11"/>
    <mergeCell ref="A12:K12"/>
    <mergeCell ref="A13:K13"/>
    <mergeCell ref="A14:K14"/>
    <mergeCell ref="A15:K15"/>
    <mergeCell ref="A16:K16"/>
    <mergeCell ref="A17:K17"/>
    <mergeCell ref="A18:K18"/>
    <mergeCell ref="A19:K19"/>
    <mergeCell ref="A20:K20"/>
    <mergeCell ref="A21:K21"/>
    <mergeCell ref="A29:H29"/>
    <mergeCell ref="A37:B37"/>
    <mergeCell ref="A42:B42"/>
    <mergeCell ref="A59:G59"/>
    <mergeCell ref="A109:B109"/>
    <mergeCell ref="A114:C114"/>
    <mergeCell ref="A132:C132"/>
    <mergeCell ref="A22:K22"/>
    <mergeCell ref="A23:K23"/>
    <mergeCell ref="A24:K24"/>
    <mergeCell ref="A25:K25"/>
    <mergeCell ref="A26:K26"/>
    <mergeCell ref="A27:K27"/>
    <mergeCell ref="A28:K28"/>
  </mergeCells>
  <drawing r:id="rId1"/>
</worksheet>
</file>