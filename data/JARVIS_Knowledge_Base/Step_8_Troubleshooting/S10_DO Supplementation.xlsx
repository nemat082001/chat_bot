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culator" sheetId="1" r:id="rId4"/>
  </sheets>
  <definedNames/>
  <calcPr/>
</workbook>
</file>

<file path=xl/sharedStrings.xml><?xml version="1.0" encoding="utf-8"?>
<sst xmlns="http://schemas.openxmlformats.org/spreadsheetml/2006/main" count="36" uniqueCount="32">
  <si>
    <t>DO Supplementation through Chemical Addition</t>
  </si>
  <si>
    <t>In case your aeration system is not able to supply enough Dissolved Oxygen (DO) or you require an alternative, this tool helps determine the dosing amounts of chemicals that act as strong oxidants.</t>
  </si>
  <si>
    <t>Inputs (sourced from Aeration Calculator):</t>
  </si>
  <si>
    <t>Target Actual Oxygen Requirement (AOR), daily</t>
  </si>
  <si>
    <t>lbs O2/day</t>
  </si>
  <si>
    <t>Target Actual Oxygen Requirement (AOR), hourly</t>
  </si>
  <si>
    <t>lbs O2/hour</t>
  </si>
  <si>
    <t>Target Residual DO in mixed liquor</t>
  </si>
  <si>
    <t>mg/L or ppm</t>
  </si>
  <si>
    <t>Target Maximum Air Flow (for Diffused Aeration System)</t>
  </si>
  <si>
    <t>cfm</t>
  </si>
  <si>
    <t>Target Maximum Power</t>
  </si>
  <si>
    <t>hp</t>
  </si>
  <si>
    <t>Current Air Flow supplied (for Diffused Aeration System)</t>
  </si>
  <si>
    <t>Current Power supplied</t>
  </si>
  <si>
    <t>% Deficit in supplying AOR</t>
  </si>
  <si>
    <t>Deficit Actual Oxygen requirement (AOR), daily</t>
  </si>
  <si>
    <t>Deficit Actual Oxygen requirement (AOR), hourly</t>
  </si>
  <si>
    <t>Minutes of operation of dosing pump, per hours</t>
  </si>
  <si>
    <t>mins per hr</t>
  </si>
  <si>
    <t>Chemical Reactions:</t>
  </si>
  <si>
    <t>Select your desired dosing chemical for oxygen supply</t>
  </si>
  <si>
    <t>Potassium Permanganate (KMnO4) 97% purity</t>
  </si>
  <si>
    <t>Amount of Oxygen supplied (lbs) per gal of chemical</t>
  </si>
  <si>
    <t>lbs O2/gal</t>
  </si>
  <si>
    <t>Outputs</t>
  </si>
  <si>
    <t>Oxidant dosing rate required (GPD or gal/d)</t>
  </si>
  <si>
    <t>GPD or gal/day</t>
  </si>
  <si>
    <t>Oxidant dosing rate required (GPM or gal/min)</t>
  </si>
  <si>
    <t>GPM or gal/min</t>
  </si>
  <si>
    <t>Oxidant dosing rate required (mL/min)</t>
  </si>
  <si>
    <t>mL/min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</si>
</sst>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2.0"/>
      <color rgb="FFFF0000"/>
      <name val="Arial"/>
      <scheme val="minor"/>
    </font>
    <font>
      <color theme="1"/>
      <name val="Arial"/>
      <scheme val="minor"/>
    </font>
    <font>
      <b/>
      <sz val="11.0"/>
      <color theme="1"/>
      <name val="Arial"/>
      <scheme val="minor"/>
    </font>
  </fonts>
  <fills count="5">
    <fill>
      <patternFill patternType="none"/>
    </fill>
    <fill>
      <patternFill patternType="lightGray"/>
    </fill>
    <fill>
      <patternFill patternType="solid">
        <fgColor rgb="FFFCE5CD"/>
        <bgColor rgb="FFFCE5CD"/>
      </patternFill>
    </fill>
    <fill>
      <patternFill patternType="solid">
        <fgColor rgb="FFFFF2CC"/>
        <bgColor rgb="FFFFF2CC"/>
      </patternFill>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3" numFmtId="0" xfId="0" applyAlignment="1" applyFont="1">
      <alignment readingOrder="0" shrinkToFit="0" vertical="center" wrapText="1"/>
    </xf>
    <xf borderId="0" fillId="2" fontId="2" numFmtId="3" xfId="0" applyAlignment="1" applyFill="1" applyFont="1" applyNumberFormat="1">
      <alignment shrinkToFit="0" vertical="center" wrapText="1"/>
    </xf>
    <xf borderId="0" fillId="2" fontId="2" numFmtId="0" xfId="0" applyAlignment="1" applyFont="1">
      <alignment shrinkToFit="0" vertical="center" wrapText="1"/>
    </xf>
    <xf borderId="0" fillId="3" fontId="2" numFmtId="3" xfId="0" applyAlignment="1" applyFill="1" applyFont="1" applyNumberFormat="1">
      <alignment readingOrder="0" shrinkToFit="0" vertical="center" wrapText="1"/>
    </xf>
    <xf borderId="0" fillId="3" fontId="2" numFmtId="0" xfId="0" applyAlignment="1" applyFont="1">
      <alignment readingOrder="0" shrinkToFit="0" vertical="center" wrapText="1"/>
    </xf>
    <xf borderId="0" fillId="4" fontId="2" numFmtId="9" xfId="0" applyAlignment="1" applyFill="1" applyFont="1" applyNumberFormat="1">
      <alignment shrinkToFit="0" vertical="center" wrapText="1"/>
    </xf>
    <xf borderId="0" fillId="4" fontId="2" numFmtId="3" xfId="0" applyAlignment="1" applyFont="1" applyNumberFormat="1">
      <alignment shrinkToFit="0" vertical="center" wrapText="1"/>
    </xf>
    <xf borderId="0" fillId="4" fontId="2" numFmtId="0" xfId="0" applyAlignment="1" applyFont="1">
      <alignment shrinkToFit="0" vertical="center" wrapText="1"/>
    </xf>
    <xf borderId="1" fillId="0" fontId="2" numFmtId="0" xfId="0" applyAlignment="1" applyBorder="1" applyFont="1">
      <alignment readingOrder="0" shrinkToFit="0" vertical="center" wrapText="1"/>
    </xf>
    <xf borderId="1" fillId="4" fontId="2" numFmtId="1" xfId="0" applyAlignment="1" applyBorder="1" applyFont="1" applyNumberFormat="1">
      <alignment shrinkToFit="0" vertical="center" wrapText="1"/>
    </xf>
    <xf borderId="1" fillId="4" fontId="2" numFmtId="2" xfId="0" applyAlignment="1" applyBorder="1" applyFont="1" applyNumberFormat="1">
      <alignment shrinkToFit="0" vertical="center" wrapText="1"/>
    </xf>
    <xf borderId="1" fillId="4" fontId="2" numFmtId="3" xfId="0" applyAlignment="1" applyBorder="1" applyFont="1" applyNumberForma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18</xdr:row>
      <xdr:rowOff>0</xdr:rowOff>
    </xdr:from>
    <xdr:ext cx="3219450" cy="4000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25"/>
    <col customWidth="1" min="2" max="2" width="23.25"/>
  </cols>
  <sheetData>
    <row r="1">
      <c r="A1" s="1" t="s">
        <v>0</v>
      </c>
    </row>
    <row r="2">
      <c r="A2" s="2" t="s">
        <v>1</v>
      </c>
    </row>
    <row r="3">
      <c r="A3" s="3"/>
      <c r="B3" s="3"/>
      <c r="C3" s="3"/>
    </row>
    <row r="4">
      <c r="A4" s="4" t="s">
        <v>2</v>
      </c>
    </row>
    <row r="5">
      <c r="A5" s="2" t="s">
        <v>3</v>
      </c>
      <c r="B5" s="5">
        <f>IFERROR(__xludf.DUMMYFUNCTION("IMPORTRANGE(""https://docs.google.com/spreadsheets/d/1FtQOkcVupWfsn3puKJxtpfUepvFdf2W-E7Wdf1WFtwY/edit#gid=20417044"",""'1. AOR'!B32"")"),1304.8724867023914)</f>
        <v>1304.872487</v>
      </c>
      <c r="C5" s="2" t="s">
        <v>4</v>
      </c>
    </row>
    <row r="6">
      <c r="A6" s="2" t="s">
        <v>5</v>
      </c>
      <c r="B6" s="5">
        <f>IFERROR(__xludf.DUMMYFUNCTION("IMPORTRANGE(""https://docs.google.com/spreadsheets/d/1FtQOkcVupWfsn3puKJxtpfUepvFdf2W-E7Wdf1WFtwY/edit#gid=20417044"",""'1. AOR'!B51"")"),74.48551857245874)</f>
        <v>74.48551857</v>
      </c>
      <c r="C6" s="2" t="s">
        <v>6</v>
      </c>
    </row>
    <row r="7">
      <c r="A7" s="2" t="s">
        <v>7</v>
      </c>
      <c r="B7" s="6" t="str">
        <f>IFERROR(__xludf.DUMMYFUNCTION("IMPORTRANGE(""https://docs.google.com/spreadsheets/d/1FtQOkcVupWfsn3puKJxtpfUepvFdf2W-E7Wdf1WFtwY/edit#gid=20417044"",""C27"")"),"")</f>
        <v/>
      </c>
      <c r="C7" s="2" t="s">
        <v>8</v>
      </c>
    </row>
    <row r="8">
      <c r="A8" s="2" t="s">
        <v>9</v>
      </c>
      <c r="B8" s="5">
        <f>IFERROR(__xludf.DUMMYFUNCTION("IMPORTRANGE(""https://docs.google.com/spreadsheets/d/1FtQOkcVupWfsn3puKJxtpfUepvFdf2W-E7Wdf1WFtwY/edit#gid=20417044"",""C39"")"),6000.0)</f>
        <v>6000</v>
      </c>
      <c r="C8" s="2" t="s">
        <v>10</v>
      </c>
    </row>
    <row r="9">
      <c r="A9" s="2" t="s">
        <v>11</v>
      </c>
      <c r="B9" s="6" t="str">
        <f>IFERROR(__xludf.DUMMYFUNCTION("IMPORTRANGE(""https://docs.google.com/spreadsheets/d/1FtQOkcVupWfsn3puKJxtpfUepvFdf2W-E7Wdf1WFtwY/edit#gid=20417044"",""C42"")"),"")</f>
        <v/>
      </c>
      <c r="C9" s="2" t="s">
        <v>12</v>
      </c>
    </row>
    <row r="10">
      <c r="A10" s="3"/>
      <c r="B10" s="3"/>
      <c r="C10" s="3"/>
    </row>
    <row r="11">
      <c r="A11" s="2" t="s">
        <v>13</v>
      </c>
      <c r="B11" s="7">
        <v>6000.0</v>
      </c>
      <c r="C11" s="2" t="s">
        <v>10</v>
      </c>
    </row>
    <row r="12">
      <c r="A12" s="2" t="s">
        <v>14</v>
      </c>
      <c r="B12" s="8">
        <v>200.0</v>
      </c>
      <c r="C12" s="2" t="s">
        <v>12</v>
      </c>
    </row>
    <row r="13">
      <c r="A13" s="2" t="s">
        <v>15</v>
      </c>
      <c r="B13" s="9">
        <f>IF(ISNUMBER(B8),(B8-B11)/B8,(B9-B12)/B9)</f>
        <v>0</v>
      </c>
      <c r="C13" s="3"/>
    </row>
    <row r="14">
      <c r="A14" s="2" t="s">
        <v>16</v>
      </c>
      <c r="B14" s="10">
        <f>B13*B5</f>
        <v>0</v>
      </c>
      <c r="C14" s="2" t="s">
        <v>4</v>
      </c>
    </row>
    <row r="15">
      <c r="A15" s="2" t="s">
        <v>17</v>
      </c>
      <c r="B15" s="10">
        <f>B13*B6</f>
        <v>0</v>
      </c>
      <c r="C15" s="2" t="s">
        <v>6</v>
      </c>
    </row>
    <row r="16">
      <c r="A16" s="2" t="s">
        <v>18</v>
      </c>
      <c r="B16" s="8">
        <v>10.0</v>
      </c>
      <c r="C16" s="2" t="s">
        <v>19</v>
      </c>
    </row>
    <row r="17">
      <c r="A17" s="3"/>
      <c r="B17" s="3"/>
      <c r="C17" s="3"/>
    </row>
    <row r="18">
      <c r="A18" s="4" t="s">
        <v>20</v>
      </c>
    </row>
    <row r="19" ht="45.0" customHeight="1">
      <c r="A19" s="3"/>
    </row>
    <row r="20">
      <c r="A20" s="2" t="s">
        <v>21</v>
      </c>
      <c r="B20" s="8" t="s">
        <v>22</v>
      </c>
      <c r="C20" s="3"/>
    </row>
    <row r="21">
      <c r="A21" s="2" t="s">
        <v>23</v>
      </c>
      <c r="B21" s="11">
        <f>IFERROR(__xludf.DUMMYFUNCTION("IF(B20="""","""",IFS(
REGEXMATCH(B20,""H2O2""),2.35,
REGEXMATCH(B20,""KMnO4""),3.26))"),3.26)</f>
        <v>3.26</v>
      </c>
      <c r="C21" s="2" t="s">
        <v>24</v>
      </c>
    </row>
    <row r="22">
      <c r="A22" s="3"/>
      <c r="B22" s="3"/>
      <c r="C22" s="3"/>
    </row>
    <row r="23">
      <c r="A23" s="4" t="s">
        <v>25</v>
      </c>
    </row>
    <row r="24">
      <c r="A24" s="12" t="s">
        <v>26</v>
      </c>
      <c r="B24" s="13">
        <f>B14/B21</f>
        <v>0</v>
      </c>
      <c r="C24" s="12" t="s">
        <v>27</v>
      </c>
    </row>
    <row r="25">
      <c r="A25" s="12" t="s">
        <v>28</v>
      </c>
      <c r="B25" s="14">
        <f>(B15/B21)/B16</f>
        <v>0</v>
      </c>
      <c r="C25" s="12" t="s">
        <v>29</v>
      </c>
    </row>
    <row r="26">
      <c r="A26" s="12" t="s">
        <v>30</v>
      </c>
      <c r="B26" s="15">
        <f>B25*3785.41</f>
        <v>0</v>
      </c>
      <c r="C26" s="12" t="s">
        <v>31</v>
      </c>
    </row>
  </sheetData>
  <mergeCells count="6">
    <mergeCell ref="A1:C1"/>
    <mergeCell ref="A2:C2"/>
    <mergeCell ref="A4:C4"/>
    <mergeCell ref="A18:C18"/>
    <mergeCell ref="A19:C19"/>
    <mergeCell ref="A23:C23"/>
  </mergeCells>
  <dataValidations>
    <dataValidation type="list" allowBlank="1" showInputMessage="1" showErrorMessage="1" prompt="Click and enter a value from the list of items" sqref="B20">
      <formula1>"Hydrogen Peroxide (H2O2) 50% purity,Potassium Permanganate (KMnO4) 97% purity"</formula1>
    </dataValidation>
  </dataValidations>
  <printOptions gridLines="1" horizontalCentered="1"/>
  <pageMargins bottom="0.75" footer="0.0" header="0.0" left="0.7" right="0.7" top="0.75"/>
  <pageSetup fitToHeight="0" cellComments="atEnd" orientation="landscape" pageOrder="overThenDown"/>
  <drawing r:id="rId1"/>
</worksheet>
</file>