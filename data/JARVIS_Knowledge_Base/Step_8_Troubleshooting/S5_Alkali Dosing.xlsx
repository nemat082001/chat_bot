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4"/>
    <sheet state="visible" name="Alkali Products" sheetId="2" r:id="rId5"/>
  </sheets>
  <definedNames/>
  <calcPr/>
</workbook>
</file>

<file path=xl/sharedStrings.xml><?xml version="1.0" encoding="utf-8"?>
<sst xmlns="http://schemas.openxmlformats.org/spreadsheetml/2006/main" count="69" uniqueCount="68">
  <si>
    <t>GUIDELINE</t>
  </si>
  <si>
    <t>Influent to your Aeration Basin should contain 200-250 mg/L of alkalinity, as CaCO3</t>
  </si>
  <si>
    <t>Effluent from your Aeration Basin should contain atleast 50 mg/L, ideally 80 mg/L of alkalinity, as CaCO3</t>
  </si>
  <si>
    <t>Approximately, 7.14 lbs of alkalinity is consumed per lb of Ammonia-Nitrogen oxidized. An 8:1 ratio is a rule of thumb.</t>
  </si>
  <si>
    <t>INPUT</t>
  </si>
  <si>
    <t>Influent NH3-N to Aeration Basin</t>
  </si>
  <si>
    <t>mg/L</t>
  </si>
  <si>
    <t>Influent Flow to Aeration Basin</t>
  </si>
  <si>
    <t>MGD</t>
  </si>
  <si>
    <t>Influent Alkalinity to Aeration Basin</t>
  </si>
  <si>
    <t>OUTPUT</t>
  </si>
  <si>
    <t>Minimum additional Alkalinity required (concentration)</t>
  </si>
  <si>
    <t>mg/L of CaCO3</t>
  </si>
  <si>
    <t>Minimum additional Alkalinity required (quantity)</t>
  </si>
  <si>
    <t>lbs/day of CaCO3</t>
  </si>
  <si>
    <t>Options to make up for reduced Alkalinity</t>
  </si>
  <si>
    <r>
      <rPr>
        <rFont val="Arial"/>
        <color theme="1"/>
      </rPr>
      <t>1. Use of on/off aeration (</t>
    </r>
    <r>
      <rPr>
        <rFont val="Arial"/>
        <b/>
        <color theme="1"/>
        <u/>
      </rPr>
      <t>not</t>
    </r>
    <r>
      <rPr>
        <rFont val="Arial"/>
        <color theme="1"/>
      </rPr>
      <t xml:space="preserve"> if the effluent is conveyed from the bottom of the Aeration basin) or provide an anoxic zone</t>
    </r>
  </si>
  <si>
    <t>Reduce the amount of air added by periodically reducing or shutting off air (not more than 1.5 - 2 hrs off to prevent odors). Use a combination of on time and either reduced airflow time or off time throughout the day to better match aeration to the oxygen demand</t>
  </si>
  <si>
    <t>2. Dosing with alkali solutions</t>
  </si>
  <si>
    <t>Click here to know about chemicals you can use.</t>
  </si>
  <si>
    <t>Select the desired treatment chemical below :</t>
  </si>
  <si>
    <t>Caustic Soda (commercial grade 50%)</t>
  </si>
  <si>
    <t>Required Dosing Rate (in GPD or gal/day)</t>
  </si>
  <si>
    <t>Minutes of operation of dosing pump, every hour</t>
  </si>
  <si>
    <t>minutes per hour</t>
  </si>
  <si>
    <t>Required Dosing Rate (in GPM or gal/min)</t>
  </si>
  <si>
    <t>gallons per day</t>
  </si>
  <si>
    <t>Required Dosing Rate (in mL/min)</t>
  </si>
  <si>
    <t>mL/min</t>
  </si>
  <si>
    <t>MAGNESIUM HYDROXIDE</t>
  </si>
  <si>
    <t>LIME SLURRY</t>
  </si>
  <si>
    <t>CAUSTIC SODA</t>
  </si>
  <si>
    <t>SAFETY</t>
  </si>
  <si>
    <t>Primary compound (or derivatives) in “Milk of Magnesia”, antacids, foodstuffs, etc.. Comparatively safe to handle. Contact with eyes may cause temporary injury to cornea. Contact with skin rarely causes irritation.</t>
  </si>
  <si>
    <t>Hazardous to handle. Contact with eyes can cause permanent loss of vision. Repeated and prolonged contact with skin may cause severe irritation, mild burns and, in extreme cases, systemic injuries due to absorption. Breathing dust or mist may cause intolerable discomfort to nose and throat</t>
  </si>
  <si>
    <t>Extremely hazardous to handle. Contact with eyes can cause permanent loss of vision. Contact with skin may cause severe burns. Breathing vapor may cause damage to the upper respiratory tract and the lungs.</t>
  </si>
  <si>
    <t>ENVIRONMENTAL EFFECTS</t>
  </si>
  <si>
    <t>As noted above, is the base of “Milk of Magnesia” and, as such, is relatively harmless. Magnesium hydroxide is a natural mineral that poses no unusual threat to the environment. In fact, it is beneficial.</t>
  </si>
  <si>
    <t>Limestone (CaCO3) is a naturally occurring mineral that poses no threat to the environment. Lime (CaO) and hydrated lime (Ca(OH)2), however, are highly caustic and can cause immediate damage to the environment.</t>
  </si>
  <si>
    <t>Because caustic soda is highly corrosive, it can cause severe physical injury to plant and animal life if it escapes.</t>
  </si>
  <si>
    <t>EASE OF HANDLING</t>
  </si>
  <si>
    <t>Supplied as a ready-to-use slurry or powder. Requires no special equipment except possibly an agitator in the slurry storage Basin to prevent settling. Low temperatures create no special problems, because the slurry freezes at the same temperature as the water being treated, i.e. 32oF.</t>
  </si>
  <si>
    <t>Expensive solids handling equipment is required. To maximize effectiveness, lime is often slaked into a hydrated slurry. A large storage hopper is needed. A slurry with the maximum 30% solids content will contain grit that causes rapid wear to costly valves and pumps.</t>
  </si>
  <si>
    <t>Requires elaborate safety equipment and rigorous, time-consuming safety procedures. Workers must be trained in safety and wear special clothing and goggles. Low temperatures can create major problems because a 50% solution freezes at 57oF. Often requires temperature sensors and heaters throughout the distribution system.</t>
  </si>
  <si>
    <t>SLUDGE</t>
  </si>
  <si>
    <t>With a wide range of acids and metals, creates a sludge that is very dense, fast-settling and easily filtered and dewatered. Less sludge, less cost.</t>
  </si>
  <si>
    <t>With heavy metals and sulfuric acid, lime creates large quantities of calcium sulfate dehydrate, a sludge that settles very slowly and is difficult to filter and dewater.</t>
  </si>
  <si>
    <t>If effluent contains heavy metals, creates large quantities of gel-like, slow settling sludge that is difficult to filter and dewater.</t>
  </si>
  <si>
    <t>EQUIPMENT COSTS</t>
  </si>
  <si>
    <t>Less than for caustic soda, lime, and soda ash, even with an agitator to prevent slurry settling in storage. May be used in powdered form (MgO, Mg(OH)2) with minor modifications to installed feed systems.</t>
  </si>
  <si>
    <t>Equipment costs higher than for magnesium hydroxide. Equipment maintenance is also higher because lime is abrasive.</t>
  </si>
  <si>
    <t>Greater than for magnesium hydroxide because of need for heated system and safety equipment. Corrosive.</t>
  </si>
  <si>
    <t>RESIDENCE TIME (REACTION RATE)</t>
  </si>
  <si>
    <t>Moderately fast acting to 95% of neutral. Slower above pH 6, resulting in more controllable process conditions and enhancing flocculant performance in solids settling.</t>
  </si>
  <si>
    <t>Fast acting to full neutralization, but can become coated with, for instance, calcium sulfate, leading to high usage rates.</t>
  </si>
  <si>
    <t>Extremely fast acting with most acids. Difficult process control conditions and inefficient solids removal frequently occur when neutralization takes place very rapidly.</t>
  </si>
  <si>
    <t>DISSOLVED SOLIDS EFFLUENT* (Based on stoichiometric ratios)</t>
  </si>
  <si>
    <t>1.31 tons per ton of HCl. 1.23 tons per ton H2SO4. Generates only soluble salts.</t>
  </si>
  <si>
    <t>1.52 tons per ton of HCl. 1.74 tons of insoluble salt per ton of sulfuric acid. (CaSO4-2H2O)</t>
  </si>
  <si>
    <t>1.60 tons per ton HCl. 1.45 tons per ton of sulfuric acid.</t>
  </si>
  <si>
    <t>MAXIMUM pH IF OVERTREATED</t>
  </si>
  <si>
    <t>Usually no higher than pH 9, the limit set for most countries (i.e. the U.S. Clean Water Act).</t>
  </si>
  <si>
    <t>Can reach pH of 12.</t>
  </si>
  <si>
    <t>Can reach pH of 14.</t>
  </si>
  <si>
    <t>AVAILABILITY</t>
  </si>
  <si>
    <t>Available throughout the world in powder or slurry form (growing demand could limit supply in some countries).</t>
  </si>
  <si>
    <t>Readily available throughout the world.</t>
  </si>
  <si>
    <t>Readily available, but because caustic soda is co- produced with chlorine, the supply varies widely from surplus to shortage. Prices vary accordingly.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</si>
</sst>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color theme="1"/>
      <name val="Arial"/>
    </font>
    <font>
      <color theme="1"/>
      <name val="Arial"/>
    </font>
    <font>
      <color theme="1"/>
      <name val="Arial"/>
      <scheme val="minor"/>
    </font>
    <font>
      <u/>
      <color rgb="FF0000FF"/>
    </font>
    <font>
      <b/>
      <color rgb="FF000000"/>
      <name val="Arial"/>
    </font>
    <font>
      <color rgb="FF000000"/>
      <name val="Arial"/>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EFEFEF"/>
        <bgColor rgb="FFEFEFEF"/>
      </patternFill>
    </fill>
  </fills>
  <borders count="9">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vertical="center"/>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2" fontId="2" numFmtId="0" xfId="0" applyAlignment="1" applyFill="1" applyFont="1">
      <alignment horizontal="right" readingOrder="0" vertical="center"/>
    </xf>
    <xf borderId="0" fillId="3" fontId="2" numFmtId="1" xfId="0" applyAlignment="1" applyFill="1" applyFont="1" applyNumberFormat="1">
      <alignment horizontal="right" vertical="center"/>
    </xf>
    <xf borderId="0" fillId="3" fontId="2" numFmtId="0" xfId="0" applyAlignment="1" applyFont="1">
      <alignment horizontal="right" vertical="center"/>
    </xf>
    <xf borderId="0" fillId="0" fontId="2" numFmtId="0" xfId="0" applyAlignment="1" applyFont="1">
      <alignment readingOrder="0" vertical="center"/>
    </xf>
    <xf borderId="0" fillId="0" fontId="1" numFmtId="0" xfId="0" applyAlignment="1" applyFont="1">
      <alignment readingOrder="0" vertical="center"/>
    </xf>
    <xf borderId="0" fillId="0" fontId="3"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4" numFmtId="0" xfId="0" applyAlignment="1" applyFont="1">
      <alignment readingOrder="0" shrinkToFit="0" vertical="center" wrapText="1"/>
    </xf>
    <xf borderId="0" fillId="0" fontId="1" numFmtId="0" xfId="0" applyAlignment="1" applyFont="1">
      <alignment readingOrder="0" shrinkToFit="0" vertical="center" wrapText="0"/>
    </xf>
    <xf borderId="1" fillId="2" fontId="2" numFmtId="0" xfId="0" applyAlignment="1" applyBorder="1" applyFont="1">
      <alignment readingOrder="0" shrinkToFit="0" vertical="center" wrapText="0"/>
    </xf>
    <xf borderId="2" fillId="0" fontId="2" numFmtId="164" xfId="0" applyAlignment="1" applyBorder="1" applyFont="1" applyNumberFormat="1">
      <alignment horizontal="right" vertical="center"/>
    </xf>
    <xf borderId="3" fillId="0" fontId="2" numFmtId="0" xfId="0" applyAlignment="1" applyBorder="1" applyFont="1">
      <alignment vertical="center"/>
    </xf>
    <xf borderId="4" fillId="0" fontId="2" numFmtId="0" xfId="0" applyAlignment="1" applyBorder="1" applyFont="1">
      <alignment readingOrder="0" shrinkToFit="0" vertical="center" wrapText="0"/>
    </xf>
    <xf borderId="5" fillId="0" fontId="2" numFmtId="1" xfId="0" applyAlignment="1" applyBorder="1" applyFont="1" applyNumberFormat="1">
      <alignment horizontal="right" vertical="center"/>
    </xf>
    <xf borderId="6" fillId="0" fontId="2" numFmtId="0" xfId="0" applyAlignment="1" applyBorder="1" applyFont="1">
      <alignment vertical="center"/>
    </xf>
    <xf borderId="6" fillId="0" fontId="2" numFmtId="0" xfId="0" applyAlignment="1" applyBorder="1" applyFont="1">
      <alignment readingOrder="0" shrinkToFit="0" vertical="center" wrapText="0"/>
    </xf>
    <xf borderId="5" fillId="0" fontId="2" numFmtId="0" xfId="0" applyAlignment="1" applyBorder="1" applyFont="1">
      <alignment readingOrder="0" vertical="center"/>
    </xf>
    <xf borderId="6" fillId="0" fontId="2" numFmtId="0" xfId="0" applyAlignment="1" applyBorder="1" applyFont="1">
      <alignment readingOrder="0" vertical="center"/>
    </xf>
    <xf borderId="2" fillId="0" fontId="2" numFmtId="164" xfId="0" applyAlignment="1" applyBorder="1" applyFont="1" applyNumberFormat="1">
      <alignment vertical="center"/>
    </xf>
    <xf borderId="3" fillId="0" fontId="2" numFmtId="0" xfId="0" applyAlignment="1" applyBorder="1" applyFont="1">
      <alignment readingOrder="0" vertical="center"/>
    </xf>
    <xf borderId="2" fillId="0" fontId="2" numFmtId="1" xfId="0" applyAlignment="1" applyBorder="1" applyFont="1" applyNumberFormat="1">
      <alignment vertical="center"/>
    </xf>
    <xf borderId="1" fillId="0" fontId="2" numFmtId="0" xfId="0" applyAlignment="1" applyBorder="1" applyFont="1">
      <alignment vertical="center"/>
    </xf>
    <xf borderId="2" fillId="4" fontId="5" numFmtId="0" xfId="0" applyAlignment="1" applyBorder="1" applyFill="1" applyFont="1">
      <alignment horizontal="center" shrinkToFit="0" vertical="center" wrapText="1"/>
    </xf>
    <xf borderId="2" fillId="4" fontId="5" numFmtId="0" xfId="0" applyAlignment="1" applyBorder="1" applyFont="1">
      <alignment horizontal="center" readingOrder="0" shrinkToFit="0" vertical="center" wrapText="1"/>
    </xf>
    <xf borderId="3" fillId="4" fontId="5" numFmtId="0" xfId="0" applyAlignment="1" applyBorder="1" applyFont="1">
      <alignment horizontal="center" shrinkToFit="0" vertical="center" wrapText="1"/>
    </xf>
    <xf borderId="7" fillId="0" fontId="5" numFmtId="0" xfId="0" applyAlignment="1" applyBorder="1" applyFont="1">
      <alignment shrinkToFit="0" vertical="center" wrapText="1"/>
    </xf>
    <xf borderId="0" fillId="0" fontId="6" numFmtId="0" xfId="0" applyAlignment="1" applyFont="1">
      <alignment shrinkToFit="0" vertical="center" wrapText="1"/>
    </xf>
    <xf borderId="8" fillId="0" fontId="6" numFmtId="0" xfId="0" applyAlignment="1" applyBorder="1" applyFont="1">
      <alignment shrinkToFit="0" vertical="center" wrapText="1"/>
    </xf>
    <xf borderId="0" fillId="0" fontId="6" numFmtId="0" xfId="0" applyAlignment="1" applyFont="1">
      <alignment readingOrder="0" shrinkToFit="0" vertical="center" wrapText="1"/>
    </xf>
    <xf borderId="4" fillId="0" fontId="5" numFmtId="0" xfId="0" applyAlignment="1" applyBorder="1" applyFont="1">
      <alignment shrinkToFit="0" vertical="center" wrapText="1"/>
    </xf>
    <xf borderId="5" fillId="0" fontId="6" numFmtId="0" xfId="0" applyAlignment="1" applyBorder="1" applyFont="1">
      <alignment shrinkToFit="0" vertical="center" wrapText="1"/>
    </xf>
    <xf borderId="6" fillId="0" fontId="6" numFmtId="0" xfId="0" applyAlignment="1" applyBorder="1" applyFont="1">
      <alignment shrinkToFit="0" vertical="center" wrapText="1"/>
    </xf>
  </cellXfs>
  <cellStyles count="1">
    <cellStyle xfId="0" name="Normal" builtinId="0"/>
  </cellStyles>
  <dxfs count="2">
    <dxf>
      <font>
        <color theme="7"/>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9.75"/>
    <col customWidth="1" min="2" max="2" width="8.38"/>
    <col customWidth="1" min="3" max="3" width="64.0"/>
  </cols>
  <sheetData>
    <row r="1">
      <c r="A1" s="1" t="s">
        <v>0</v>
      </c>
      <c r="B1" s="2"/>
      <c r="C1" s="2"/>
    </row>
    <row r="2">
      <c r="A2" s="3" t="s">
        <v>1</v>
      </c>
      <c r="B2" s="2"/>
      <c r="C2" s="2"/>
    </row>
    <row r="3">
      <c r="A3" s="3" t="s">
        <v>2</v>
      </c>
      <c r="B3" s="2"/>
      <c r="C3" s="2"/>
    </row>
    <row r="4">
      <c r="A4" s="3" t="s">
        <v>3</v>
      </c>
      <c r="B4" s="2"/>
      <c r="C4" s="2"/>
    </row>
    <row r="5">
      <c r="A5" s="4"/>
      <c r="B5" s="2"/>
      <c r="C5" s="2"/>
    </row>
    <row r="6">
      <c r="A6" s="1" t="s">
        <v>4</v>
      </c>
      <c r="B6" s="2"/>
      <c r="C6" s="2"/>
    </row>
    <row r="7">
      <c r="A7" s="3" t="s">
        <v>5</v>
      </c>
      <c r="B7" s="5">
        <v>25.0</v>
      </c>
      <c r="C7" s="2" t="s">
        <v>6</v>
      </c>
    </row>
    <row r="8">
      <c r="A8" s="3" t="s">
        <v>7</v>
      </c>
      <c r="B8" s="5">
        <v>0.5</v>
      </c>
      <c r="C8" s="2" t="s">
        <v>8</v>
      </c>
    </row>
    <row r="9">
      <c r="A9" s="3" t="s">
        <v>9</v>
      </c>
      <c r="B9" s="5">
        <v>100.0</v>
      </c>
      <c r="C9" s="2" t="s">
        <v>6</v>
      </c>
    </row>
    <row r="10">
      <c r="A10" s="4"/>
      <c r="B10" s="2"/>
      <c r="C10" s="2"/>
    </row>
    <row r="11">
      <c r="A11" s="1" t="s">
        <v>10</v>
      </c>
      <c r="B11" s="2"/>
      <c r="C11" s="2"/>
    </row>
    <row r="12">
      <c r="A12" s="4" t="str">
        <f>IF(B7="","","Minimum Alkalinity required for complete Nitrification")</f>
        <v>Minimum Alkalinity required for complete Nitrification</v>
      </c>
      <c r="B12" s="6">
        <f>IF(ISBLANK(B7)=TRUE,"",B7*8)</f>
        <v>200</v>
      </c>
      <c r="C12" s="2" t="str">
        <f>IF(B7="","","mg/L of CaCO3")</f>
        <v>mg/L of CaCO3</v>
      </c>
    </row>
    <row r="13">
      <c r="A13" s="4" t="str">
        <f>IF(B7="","","Recommended Minimum Effluent Alkalinity")</f>
        <v>Recommended Minimum Effluent Alkalinity</v>
      </c>
      <c r="B13" s="7">
        <f>IF(B7="","",80)</f>
        <v>80</v>
      </c>
      <c r="C13" s="2" t="str">
        <f>IF(B7="","","mg/L of CaCO3")</f>
        <v>mg/L of CaCO3</v>
      </c>
    </row>
    <row r="14">
      <c r="A14" s="4" t="str">
        <f>IF(OR(ISBLANK(B7)=TRUE,ISBLANK(B9)=TRUE),"",IF(B9&lt;(B12+B13),"Your mixed liquor needs more Alkalinity","Your mixed liquor has enough Alkalinity"))</f>
        <v>Your mixed liquor needs more Alkalinity</v>
      </c>
      <c r="B14" s="2"/>
      <c r="C14" s="2"/>
    </row>
    <row r="15">
      <c r="A15" s="3" t="s">
        <v>11</v>
      </c>
      <c r="B15" s="6">
        <f>IF(B9&lt;(B12+B13),B12-B9+B13,"")</f>
        <v>180</v>
      </c>
      <c r="C15" s="8" t="s">
        <v>12</v>
      </c>
    </row>
    <row r="16">
      <c r="A16" s="4" t="s">
        <v>13</v>
      </c>
      <c r="B16" s="6">
        <f>IF(B9&lt;(B12+B13),B15*B8*8.34,"")</f>
        <v>750.6</v>
      </c>
      <c r="C16" s="8" t="s">
        <v>14</v>
      </c>
    </row>
    <row r="17">
      <c r="B17" s="2"/>
      <c r="C17" s="2"/>
    </row>
    <row r="18">
      <c r="A18" s="9" t="s">
        <v>15</v>
      </c>
      <c r="B18" s="10"/>
      <c r="C18" s="10"/>
    </row>
    <row r="19">
      <c r="A19" s="11" t="s">
        <v>16</v>
      </c>
      <c r="B19" s="11" t="s">
        <v>17</v>
      </c>
    </row>
    <row r="20">
      <c r="A20" s="12" t="s">
        <v>18</v>
      </c>
      <c r="B20" s="13" t="s">
        <v>19</v>
      </c>
    </row>
    <row r="21">
      <c r="A21" s="4"/>
      <c r="B21" s="2"/>
      <c r="C21" s="2"/>
    </row>
    <row r="22">
      <c r="A22" s="14" t="s">
        <v>20</v>
      </c>
      <c r="B22" s="2"/>
      <c r="C22" s="2"/>
    </row>
    <row r="23">
      <c r="A23" s="15" t="s">
        <v>21</v>
      </c>
      <c r="B23" s="16">
        <f>IF(A23="Lime Slurry (commercial grade 30%)",3.6,IF(A23="Caustic Soda (commercial grade 50%)",7.43,IF(A23="Magnesium Hydroxide (commercial grade 60%)",13.38,"")))</f>
        <v>7.43</v>
      </c>
      <c r="C23" s="17" t="str">
        <f>IF(A23="","","lbs of Alkalinity produced per gallon")</f>
        <v>lbs of Alkalinity produced per gallon</v>
      </c>
    </row>
    <row r="24">
      <c r="A24" s="18" t="s">
        <v>22</v>
      </c>
      <c r="B24" s="19">
        <f>IF(OR(A23="",B16=""),"",(B16/B23))</f>
        <v>101.0228802</v>
      </c>
      <c r="C24" s="20" t="str">
        <f>IF(OR(A23="",B16=""),"","gallons per day")</f>
        <v>gallons per day</v>
      </c>
    </row>
    <row r="25">
      <c r="A25" s="21" t="s">
        <v>23</v>
      </c>
      <c r="B25" s="22">
        <v>20.0</v>
      </c>
      <c r="C25" s="23" t="s">
        <v>24</v>
      </c>
    </row>
    <row r="26">
      <c r="A26" s="18" t="s">
        <v>25</v>
      </c>
      <c r="B26" s="24">
        <f>B24/(24*B25)</f>
        <v>0.2104643338</v>
      </c>
      <c r="C26" s="25" t="s">
        <v>26</v>
      </c>
    </row>
    <row r="27">
      <c r="A27" s="18" t="s">
        <v>27</v>
      </c>
      <c r="B27" s="26">
        <f>B26*3785.41</f>
        <v>796.6937937</v>
      </c>
      <c r="C27" s="25" t="s">
        <v>28</v>
      </c>
    </row>
  </sheetData>
  <mergeCells count="2">
    <mergeCell ref="B19:C19"/>
    <mergeCell ref="B20:C20"/>
  </mergeCells>
  <conditionalFormatting sqref="A14">
    <cfRule type="containsText" dxfId="0" priority="1" operator="containsText" text="enough">
      <formula>NOT(ISERROR(SEARCH(("enough"),(A14))))</formula>
    </cfRule>
  </conditionalFormatting>
  <conditionalFormatting sqref="A14">
    <cfRule type="containsText" dxfId="1" priority="2" operator="containsText" text="more">
      <formula>NOT(ISERROR(SEARCH(("more"),(A14))))</formula>
    </cfRule>
  </conditionalFormatting>
  <dataValidations>
    <dataValidation type="list" allowBlank="1" sqref="A23">
      <formula1>"Lime Slurry (commercial grade 30%),Caustic Soda (commercial grade 50%),Magnesium Hydroxide (commercial grade 60%)"</formula1>
    </dataValidation>
  </dataValidations>
  <hyperlinks>
    <hyperlink display="Click here to know about chemicals you can use." location="'Alkali Products'!A1" ref="B20"/>
  </hyperlink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88"/>
    <col customWidth="1" min="2" max="2" width="44.0"/>
    <col customWidth="1" min="3" max="3" width="42.13"/>
    <col customWidth="1" min="4" max="4" width="44.38"/>
  </cols>
  <sheetData>
    <row r="1">
      <c r="A1" s="27"/>
      <c r="B1" s="28" t="s">
        <v>29</v>
      </c>
      <c r="C1" s="29" t="s">
        <v>30</v>
      </c>
      <c r="D1" s="30" t="s">
        <v>31</v>
      </c>
    </row>
    <row r="2" ht="77.25" customHeight="1">
      <c r="A2" s="31" t="s">
        <v>32</v>
      </c>
      <c r="B2" s="32" t="s">
        <v>33</v>
      </c>
      <c r="C2" s="32" t="s">
        <v>34</v>
      </c>
      <c r="D2" s="33" t="s">
        <v>35</v>
      </c>
    </row>
    <row r="3">
      <c r="A3" s="31" t="s">
        <v>36</v>
      </c>
      <c r="B3" s="32" t="s">
        <v>37</v>
      </c>
      <c r="C3" s="32" t="s">
        <v>38</v>
      </c>
      <c r="D3" s="33" t="s">
        <v>39</v>
      </c>
    </row>
    <row r="4">
      <c r="A4" s="31" t="s">
        <v>40</v>
      </c>
      <c r="B4" s="34" t="s">
        <v>41</v>
      </c>
      <c r="C4" s="32" t="s">
        <v>42</v>
      </c>
      <c r="D4" s="33" t="s">
        <v>43</v>
      </c>
    </row>
    <row r="5">
      <c r="A5" s="31" t="s">
        <v>44</v>
      </c>
      <c r="B5" s="32" t="s">
        <v>45</v>
      </c>
      <c r="C5" s="32" t="s">
        <v>46</v>
      </c>
      <c r="D5" s="33" t="s">
        <v>47</v>
      </c>
    </row>
    <row r="6">
      <c r="A6" s="31" t="s">
        <v>48</v>
      </c>
      <c r="B6" s="32" t="s">
        <v>49</v>
      </c>
      <c r="C6" s="32" t="s">
        <v>50</v>
      </c>
      <c r="D6" s="33" t="s">
        <v>51</v>
      </c>
    </row>
    <row r="7">
      <c r="A7" s="31" t="s">
        <v>52</v>
      </c>
      <c r="B7" s="32" t="s">
        <v>53</v>
      </c>
      <c r="C7" s="32" t="s">
        <v>54</v>
      </c>
      <c r="D7" s="33" t="s">
        <v>55</v>
      </c>
    </row>
    <row r="8">
      <c r="A8" s="31" t="s">
        <v>56</v>
      </c>
      <c r="B8" s="32" t="s">
        <v>57</v>
      </c>
      <c r="C8" s="32" t="s">
        <v>58</v>
      </c>
      <c r="D8" s="33" t="s">
        <v>59</v>
      </c>
    </row>
    <row r="9">
      <c r="A9" s="31" t="s">
        <v>60</v>
      </c>
      <c r="B9" s="32" t="s">
        <v>61</v>
      </c>
      <c r="C9" s="32" t="s">
        <v>62</v>
      </c>
      <c r="D9" s="33" t="s">
        <v>63</v>
      </c>
    </row>
    <row r="10">
      <c r="A10" s="35" t="s">
        <v>64</v>
      </c>
      <c r="B10" s="36" t="s">
        <v>65</v>
      </c>
      <c r="C10" s="36" t="s">
        <v>66</v>
      </c>
      <c r="D10" s="37" t="s">
        <v>67</v>
      </c>
    </row>
  </sheetData>
  <drawing r:id="rId1"/>
</worksheet>
</file>