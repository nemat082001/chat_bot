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s>
  <definedNames/>
  <calcPr/>
</workbook>
</file>

<file path=xl/sharedStrings.xml><?xml version="1.0" encoding="utf-8"?>
<sst xmlns="http://schemas.openxmlformats.org/spreadsheetml/2006/main" count="47" uniqueCount="43">
  <si>
    <t>Polymer Dosing Calculator</t>
  </si>
  <si>
    <t>Enter values below where required :</t>
  </si>
  <si>
    <t>Step 1 : Chemical Selection</t>
  </si>
  <si>
    <t>Enter the chemical you're using for Jar Testing</t>
  </si>
  <si>
    <t>PAC</t>
  </si>
  <si>
    <t>Enter if the chemical is in solid (dry) or liquid form</t>
  </si>
  <si>
    <t>Solid (dry)</t>
  </si>
  <si>
    <t>Commercial grade or Purity (% concentration)</t>
  </si>
  <si>
    <t>Specific gravity of chemical (get from supplier or using a hydrometer)</t>
  </si>
  <si>
    <t>Amount of polymer in 1 gallon of your chemical</t>
  </si>
  <si>
    <t>lbs/gal</t>
  </si>
  <si>
    <t>Step 2 : Preparing the Stock Solution</t>
  </si>
  <si>
    <t>GUIDANCE :</t>
  </si>
  <si>
    <t>How strong does your chemical have to be? 
How much do you need, so there's enough and not an excess of expensive chemical? 
You'll need to decide what works for your facility. Use the following for guidance.</t>
  </si>
  <si>
    <r>
      <rPr>
        <rFont val="Arial"/>
        <color theme="1"/>
      </rPr>
      <t xml:space="preserve">Enter the concentration (% w/v) you desire in your stock solution </t>
    </r>
    <r>
      <rPr>
        <rFont val="Arial"/>
        <b/>
        <color theme="1"/>
      </rPr>
      <t>(OR)</t>
    </r>
    <r>
      <rPr>
        <rFont val="Arial"/>
        <color theme="1"/>
      </rPr>
      <t xml:space="preserve">
</t>
    </r>
    <r>
      <rPr>
        <rFont val="Arial"/>
        <color rgb="FF0000FF"/>
      </rPr>
      <t>(Usually, 1% for Alum, Lime, Ferric chloride, or others)
(Usually, 0.01 to 0.5% for Dry or Liquid Polymers)</t>
    </r>
  </si>
  <si>
    <t>Select the range of polymer dosage you usually use in your facility</t>
  </si>
  <si>
    <t>50-500 mg/L</t>
  </si>
  <si>
    <t>How much stock solution do you need, in mL</t>
  </si>
  <si>
    <t>mL</t>
  </si>
  <si>
    <t>Recommended/Desired Stock Solution Concentration (mg/L or ppm)</t>
  </si>
  <si>
    <t>mg/L or ppm</t>
  </si>
  <si>
    <t>Recommended/Desired Stock Solution Concentration (%)</t>
  </si>
  <si>
    <t>For Dry Materials:</t>
  </si>
  <si>
    <t>Recommendation:</t>
  </si>
  <si>
    <t>For Liquid Materials:</t>
  </si>
  <si>
    <t>Step 3 : Dosing Rate</t>
  </si>
  <si>
    <t>Now perform the Jar Test and decide on what's the best (optimum) chemical dosage concentration (mg/L) for your facility, or how much mL of stock solution is right for a 1 Litre wastewater sample.</t>
  </si>
  <si>
    <r>
      <rPr>
        <rFont val="Arial"/>
        <color theme="1"/>
      </rPr>
      <t xml:space="preserve">Enter desired dosage concentration (mg/L), </t>
    </r>
    <r>
      <rPr>
        <rFont val="Arial"/>
        <b/>
        <color theme="1"/>
      </rPr>
      <t>if known</t>
    </r>
    <r>
      <rPr>
        <rFont val="Arial"/>
        <color theme="1"/>
      </rPr>
      <t xml:space="preserve"> (</t>
    </r>
    <r>
      <rPr>
        <rFont val="Arial"/>
        <b/>
        <color theme="1"/>
      </rPr>
      <t>OR)</t>
    </r>
  </si>
  <si>
    <t>Enter desired mL of stock solution for the wastewater sample (mL)</t>
  </si>
  <si>
    <t>Enter volume of wastewater sample used in Jar test</t>
  </si>
  <si>
    <t>Influent flow rate to Aeration Basin (MGD)</t>
  </si>
  <si>
    <t>MGD</t>
  </si>
  <si>
    <r>
      <rPr>
        <rFont val="Arial"/>
        <b/>
        <color theme="1"/>
      </rPr>
      <t>Dosing pump</t>
    </r>
    <r>
      <rPr>
        <rFont val="Arial"/>
        <color theme="1"/>
      </rPr>
      <t xml:space="preserve"> : Enter duration of operation (minutes) every hour</t>
    </r>
  </si>
  <si>
    <t>minutes per hour</t>
  </si>
  <si>
    <t>OUTPUT :</t>
  </si>
  <si>
    <t>Amount of polymer needed per day for dosing (lbs/day)</t>
  </si>
  <si>
    <t>lbs/day</t>
  </si>
  <si>
    <t>Volume of chemical needed per day for dosing (GPD or gal/day)</t>
  </si>
  <si>
    <t>GPD or gal/day</t>
  </si>
  <si>
    <t>Volume of chemical needed per day for dosing (GPM or gal/min)</t>
  </si>
  <si>
    <t>GPM or gal/min</t>
  </si>
  <si>
    <t>Volume of chemical needed per day for dosing (mL/min)</t>
  </si>
  <si>
    <t>mL/min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</si>
</sst>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8">
    <font>
      <sz val="10.0"/>
      <color rgb="FF000000"/>
      <name val="Arial"/>
      <scheme val="minor"/>
    </font>
    <font>
      <b/>
      <sz val="12.0"/>
      <color rgb="FFFF0000"/>
      <name val="Arial"/>
      <scheme val="minor"/>
    </font>
    <font>
      <color theme="1"/>
      <name val="Arial"/>
      <scheme val="minor"/>
    </font>
    <font>
      <b/>
      <sz val="10.0"/>
      <color theme="1"/>
      <name val="Arial"/>
      <scheme val="minor"/>
    </font>
    <font>
      <b/>
      <sz val="11.0"/>
      <color rgb="FF0000FF"/>
      <name val="Arial"/>
      <scheme val="minor"/>
    </font>
    <font>
      <b/>
      <color theme="1"/>
      <name val="Arial"/>
      <scheme val="minor"/>
    </font>
    <font>
      <b/>
      <color rgb="FF38761D"/>
      <name val="Arial"/>
      <scheme val="minor"/>
    </font>
    <font>
      <color rgb="FF38761D"/>
      <name val="Arial"/>
      <scheme val="minor"/>
    </font>
  </fonts>
  <fills count="6">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s>
  <borders count="2">
    <border/>
    <border>
      <bottom style="medium">
        <color rgb="FFFF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left" shrinkToFit="0" vertical="center" wrapText="1"/>
    </xf>
    <xf borderId="0" fillId="2" fontId="2" numFmtId="0" xfId="0" applyAlignment="1" applyFont="1">
      <alignment horizontal="left"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horizontal="left" readingOrder="0" shrinkToFit="0" vertical="center" wrapText="1"/>
    </xf>
    <xf borderId="0" fillId="3" fontId="2" numFmtId="9" xfId="0" applyAlignment="1" applyFont="1" applyNumberFormat="1">
      <alignment horizontal="left" readingOrder="0" shrinkToFit="0" vertical="center" wrapText="1"/>
    </xf>
    <xf borderId="0" fillId="2" fontId="2" numFmtId="9" xfId="0" applyAlignment="1" applyFont="1" applyNumberFormat="1">
      <alignment horizontal="left" readingOrder="0" shrinkToFit="0" vertical="center" wrapText="1"/>
    </xf>
    <xf borderId="0" fillId="4" fontId="2" numFmtId="2" xfId="0" applyAlignment="1" applyFill="1" applyFont="1" applyNumberFormat="1">
      <alignment horizontal="left" shrinkToFit="0" vertical="center" wrapText="1"/>
    </xf>
    <xf borderId="0" fillId="0" fontId="2" numFmtId="0" xfId="0" applyAlignment="1" applyFont="1">
      <alignment shrinkToFit="0" vertical="center" wrapText="1"/>
    </xf>
    <xf borderId="0" fillId="0" fontId="5" numFmtId="0" xfId="0" applyAlignment="1" applyFont="1">
      <alignment readingOrder="0" shrinkToFit="0" vertical="center" wrapText="1"/>
    </xf>
    <xf borderId="0" fillId="2" fontId="2" numFmtId="0" xfId="0" applyAlignment="1" applyFont="1">
      <alignment readingOrder="0" shrinkToFit="0" vertical="center" wrapText="1"/>
    </xf>
    <xf borderId="0" fillId="3" fontId="2" numFmtId="164" xfId="0" applyAlignment="1" applyFont="1" applyNumberFormat="1">
      <alignment horizontal="left" readingOrder="0" shrinkToFit="0" vertical="center" wrapText="1"/>
    </xf>
    <xf borderId="0" fillId="2" fontId="2" numFmtId="164" xfId="0" applyAlignment="1" applyFont="1" applyNumberFormat="1">
      <alignment horizontal="left" readingOrder="0" shrinkToFit="0" vertical="center" wrapText="1"/>
    </xf>
    <xf borderId="0" fillId="4" fontId="2" numFmtId="3" xfId="0" applyAlignment="1" applyFont="1" applyNumberFormat="1">
      <alignment horizontal="left" shrinkToFit="0" vertical="center" wrapText="1"/>
    </xf>
    <xf borderId="0" fillId="4" fontId="2" numFmtId="164" xfId="0" applyAlignment="1" applyFont="1" applyNumberFormat="1">
      <alignment horizontal="left" shrinkToFit="0" vertical="center" wrapText="1"/>
    </xf>
    <xf borderId="0" fillId="5" fontId="5" numFmtId="0" xfId="0" applyAlignment="1" applyFill="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shrinkToFit="0" vertical="center" wrapText="1"/>
    </xf>
    <xf borderId="0" fillId="3" fontId="2" numFmtId="3" xfId="0" applyAlignment="1" applyFont="1" applyNumberFormat="1">
      <alignment horizontal="left" readingOrder="0" shrinkToFit="0" vertical="center" wrapText="1"/>
    </xf>
    <xf borderId="0" fillId="3" fontId="2" numFmtId="3" xfId="0" applyAlignment="1" applyFont="1" applyNumberFormat="1">
      <alignment horizontal="left" shrinkToFit="0" vertical="center" wrapText="1"/>
    </xf>
    <xf borderId="1" fillId="0" fontId="2" numFmtId="0" xfId="0" applyAlignment="1" applyBorder="1" applyFont="1">
      <alignment readingOrder="0" shrinkToFit="0" vertical="center" wrapText="1"/>
    </xf>
    <xf borderId="1" fillId="3" fontId="2" numFmtId="0" xfId="0" applyAlignment="1" applyBorder="1" applyFont="1">
      <alignment horizontal="left" readingOrder="0" shrinkToFit="0" vertical="center" wrapText="1"/>
    </xf>
    <xf borderId="0" fillId="4" fontId="2" numFmtId="1" xfId="0" applyAlignment="1" applyFont="1" applyNumberFormat="1">
      <alignment horizontal="left" shrinkToFit="0" vertical="center" wrapText="1"/>
    </xf>
    <xf borderId="0" fillId="4" fontId="2" numFmtId="165" xfId="0" applyAlignment="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38"/>
    <col customWidth="1" min="2" max="3" width="16.88"/>
  </cols>
  <sheetData>
    <row r="1">
      <c r="A1" s="1" t="s">
        <v>0</v>
      </c>
      <c r="B1" s="2"/>
      <c r="C1" s="3"/>
    </row>
    <row r="2">
      <c r="A2" s="4" t="s">
        <v>1</v>
      </c>
      <c r="B2" s="5"/>
      <c r="C2" s="6"/>
    </row>
    <row r="3">
      <c r="A3" s="7" t="s">
        <v>2</v>
      </c>
      <c r="B3" s="5"/>
      <c r="C3" s="6"/>
    </row>
    <row r="4">
      <c r="A4" s="8" t="s">
        <v>3</v>
      </c>
      <c r="B4" s="9" t="s">
        <v>4</v>
      </c>
      <c r="C4" s="3"/>
    </row>
    <row r="5">
      <c r="A5" s="8" t="s">
        <v>5</v>
      </c>
      <c r="B5" s="9" t="s">
        <v>6</v>
      </c>
      <c r="C5" s="3"/>
    </row>
    <row r="6">
      <c r="A6" s="8" t="s">
        <v>7</v>
      </c>
      <c r="B6" s="10">
        <v>0.99</v>
      </c>
      <c r="C6" s="11"/>
    </row>
    <row r="7">
      <c r="A7" s="8" t="s">
        <v>8</v>
      </c>
      <c r="B7" s="9">
        <v>1.37</v>
      </c>
      <c r="C7" s="3"/>
    </row>
    <row r="8">
      <c r="A8" s="8" t="s">
        <v>9</v>
      </c>
      <c r="B8" s="12">
        <f>IF(OR(B6="",B7=""),"",8.34*B7*B6)</f>
        <v>11.311542</v>
      </c>
      <c r="C8" s="3" t="s">
        <v>10</v>
      </c>
    </row>
    <row r="9">
      <c r="A9" s="13"/>
      <c r="B9" s="5"/>
      <c r="C9" s="6"/>
    </row>
    <row r="10">
      <c r="A10" s="7" t="s">
        <v>11</v>
      </c>
      <c r="B10" s="5"/>
      <c r="C10" s="6"/>
    </row>
    <row r="11">
      <c r="A11" s="14" t="s">
        <v>12</v>
      </c>
    </row>
    <row r="12">
      <c r="A12" s="8" t="s">
        <v>13</v>
      </c>
      <c r="C12" s="15"/>
    </row>
    <row r="13">
      <c r="A13" s="8" t="s">
        <v>14</v>
      </c>
      <c r="B13" s="16">
        <v>0.01</v>
      </c>
      <c r="C13" s="17"/>
    </row>
    <row r="14">
      <c r="A14" s="8" t="s">
        <v>15</v>
      </c>
      <c r="B14" s="9" t="s">
        <v>16</v>
      </c>
      <c r="C14" s="17"/>
    </row>
    <row r="15">
      <c r="A15" s="8" t="s">
        <v>17</v>
      </c>
      <c r="B15" s="9">
        <v>500.0</v>
      </c>
      <c r="C15" s="3" t="s">
        <v>18</v>
      </c>
    </row>
    <row r="16">
      <c r="A16" s="8" t="s">
        <v>19</v>
      </c>
      <c r="B16" s="18">
        <f>IF(AND(B14="",B13=""),"",
IF(B13&lt;&gt;"",B13*1000000,
IF(B14="1-10 mg/L",1000,
IF(B14="10-50 mg/L",10000,
IF(B14="50-500 mg/L",100000,"")))))</f>
        <v>10000</v>
      </c>
      <c r="C16" s="3" t="s">
        <v>20</v>
      </c>
    </row>
    <row r="17">
      <c r="A17" s="8" t="s">
        <v>21</v>
      </c>
      <c r="B17" s="19">
        <f>B16/10^6</f>
        <v>0.01</v>
      </c>
      <c r="C17" s="3"/>
    </row>
    <row r="18">
      <c r="A18" s="20" t="s">
        <v>22</v>
      </c>
    </row>
    <row r="19">
      <c r="A19" s="21" t="s">
        <v>23</v>
      </c>
    </row>
    <row r="20">
      <c r="A20" s="22" t="str">
        <f>IF(B5="Liquid","N/A",
IF(OR(AND(B14="",B13=""),B15=""),"","Dissolve "&amp;(B16/1000)*B15/1000&amp;" grams of your chemical in "&amp;B15&amp;" mL of distilled water to prepare "&amp;B17*100&amp;"% stock solution."))</f>
        <v>Dissolve 5 grams of your chemical in 500 mL of distilled water to prepare 1% stock solution.</v>
      </c>
    </row>
    <row r="21">
      <c r="A21" s="20" t="s">
        <v>24</v>
      </c>
    </row>
    <row r="22">
      <c r="A22" s="21" t="s">
        <v>23</v>
      </c>
    </row>
    <row r="23">
      <c r="A23" s="22" t="str">
        <f>IF(B5="Solid (dry)","N/A","Take "&amp;ROUNDUP(B17*B15/(B6*B7),1)&amp;" mL of the chemical and dilute with distilled water upto "&amp;B15&amp;" mL to prepare "&amp;B13*100&amp;"% stock solution.")</f>
        <v>N/A</v>
      </c>
    </row>
    <row r="24">
      <c r="A24" s="13"/>
      <c r="B24" s="5"/>
      <c r="C24" s="6"/>
    </row>
    <row r="25">
      <c r="A25" s="7" t="s">
        <v>25</v>
      </c>
      <c r="B25" s="5"/>
      <c r="C25" s="6"/>
    </row>
    <row r="26">
      <c r="A26" s="8" t="s">
        <v>26</v>
      </c>
      <c r="C26" s="15"/>
    </row>
    <row r="27">
      <c r="A27" s="8" t="s">
        <v>27</v>
      </c>
      <c r="B27" s="23">
        <v>25.0</v>
      </c>
      <c r="C27" s="3" t="s">
        <v>20</v>
      </c>
    </row>
    <row r="28">
      <c r="A28" s="8" t="s">
        <v>28</v>
      </c>
      <c r="B28" s="9">
        <v>2.5</v>
      </c>
      <c r="C28" s="3" t="s">
        <v>18</v>
      </c>
    </row>
    <row r="29">
      <c r="A29" s="8" t="s">
        <v>29</v>
      </c>
      <c r="B29" s="24">
        <v>1000.0</v>
      </c>
      <c r="C29" s="3" t="s">
        <v>18</v>
      </c>
    </row>
    <row r="30">
      <c r="A30" s="8" t="s">
        <v>30</v>
      </c>
      <c r="B30" s="9">
        <v>0.5</v>
      </c>
      <c r="C30" s="3" t="s">
        <v>31</v>
      </c>
    </row>
    <row r="31">
      <c r="A31" s="25" t="s">
        <v>32</v>
      </c>
      <c r="B31" s="26">
        <v>10.0</v>
      </c>
      <c r="C31" s="25" t="s">
        <v>33</v>
      </c>
    </row>
    <row r="32">
      <c r="A32" s="14" t="s">
        <v>34</v>
      </c>
      <c r="B32" s="6"/>
      <c r="C32" s="6"/>
    </row>
    <row r="33">
      <c r="A33" s="8" t="s">
        <v>35</v>
      </c>
      <c r="B33" s="27">
        <f>IF(B27&lt;&gt;"",8.34*B27*B30,8.34*(B16*B28/B29)*B30)</f>
        <v>104.25</v>
      </c>
      <c r="C33" s="3" t="s">
        <v>36</v>
      </c>
    </row>
    <row r="34">
      <c r="A34" s="8" t="s">
        <v>37</v>
      </c>
      <c r="B34" s="28">
        <f>IF(OR(B33="",B8=""),"",B33/B8)</f>
        <v>9.216250092</v>
      </c>
      <c r="C34" s="3" t="s">
        <v>38</v>
      </c>
    </row>
    <row r="35">
      <c r="A35" s="8" t="s">
        <v>39</v>
      </c>
      <c r="B35" s="12">
        <f>B34/(24*B31)</f>
        <v>0.03840104205</v>
      </c>
      <c r="C35" s="3" t="s">
        <v>40</v>
      </c>
    </row>
    <row r="36">
      <c r="A36" s="8" t="s">
        <v>41</v>
      </c>
      <c r="B36" s="27">
        <f>B35*3785.41</f>
        <v>145.3636886</v>
      </c>
      <c r="C36" s="3" t="s">
        <v>42</v>
      </c>
    </row>
  </sheetData>
  <mergeCells count="9">
    <mergeCell ref="A23:C23"/>
    <mergeCell ref="A26:B26"/>
    <mergeCell ref="A11:C11"/>
    <mergeCell ref="A12:B12"/>
    <mergeCell ref="A18:C18"/>
    <mergeCell ref="A19:C19"/>
    <mergeCell ref="A20:C20"/>
    <mergeCell ref="A21:C21"/>
    <mergeCell ref="A22:C22"/>
  </mergeCells>
  <dataValidations>
    <dataValidation type="list" allowBlank="1" showInputMessage="1" showErrorMessage="1" prompt="Click and enter a value from the list of items" sqref="B5">
      <formula1>"Solid (dry),Liquid"</formula1>
    </dataValidation>
    <dataValidation type="list" allowBlank="1" sqref="B14">
      <formula1>"1-10 mg/L,10-50 mg/L,50-500 mg/L"</formula1>
    </dataValidation>
  </dataValidations>
  <drawing r:id="rId1"/>
</worksheet>
</file>