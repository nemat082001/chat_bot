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 Procedure" sheetId="1" r:id="rId4"/>
    <sheet state="visible" name="Calculator" sheetId="2" r:id="rId5"/>
  </sheets>
  <definedNames/>
  <calcPr/>
</workbook>
</file>

<file path=xl/sharedStrings.xml><?xml version="1.0" encoding="utf-8"?>
<sst xmlns="http://schemas.openxmlformats.org/spreadsheetml/2006/main" count="129" uniqueCount="121">
  <si>
    <t>LAB PROCEDURE</t>
  </si>
  <si>
    <t>TEST DATA</t>
  </si>
  <si>
    <t>Equipment:</t>
  </si>
  <si>
    <t>Source :</t>
  </si>
  <si>
    <t>1. DO Meter with BOD Bottle probe</t>
  </si>
  <si>
    <t>Basin MLVSS:</t>
  </si>
  <si>
    <t>Date:</t>
  </si>
  <si>
    <t>Time:</t>
  </si>
  <si>
    <t>2. 2 – 300mL BOD Bottles</t>
  </si>
  <si>
    <t>3. Magnetic stirrer (if BOD Probe does not have a stirrer)</t>
  </si>
  <si>
    <t>FED SAMPLE</t>
  </si>
  <si>
    <t>UNFED SAMPLE</t>
  </si>
  <si>
    <t>4. Sample</t>
  </si>
  <si>
    <t>Time (min)</t>
  </si>
  <si>
    <t>DO (mg/L)</t>
  </si>
  <si>
    <t>5. Timer</t>
  </si>
  <si>
    <t>6. Beaker with diameter slightly larger than the BOD Bottle</t>
  </si>
  <si>
    <t>Procedure</t>
  </si>
  <si>
    <t>1. Measure and record DO and temperature at the sample site.</t>
  </si>
  <si>
    <t>Sample Temp:</t>
  </si>
  <si>
    <t>deg. C</t>
  </si>
  <si>
    <t>2. Collect 3-4 liters of fresh sample. Aeration tank effluent and/or influent end after RAS</t>
  </si>
  <si>
    <t>has mixed with the aeration influent flow.</t>
  </si>
  <si>
    <t>Begin Time:</t>
  </si>
  <si>
    <t>3. Pour some mixed liquor in the beaker so that when the BOD bottle is placed in the</t>
  </si>
  <si>
    <t>End Time:</t>
  </si>
  <si>
    <t>beaker, the mixed liquor will come up to the neck of the bottle.</t>
  </si>
  <si>
    <t>Fed OUR:</t>
  </si>
  <si>
    <t>Unfed OUR:</t>
  </si>
  <si>
    <t>4. Thoroughly mix the sample remove an aliquot and aerate it to get the DO above 5 mg/L.</t>
  </si>
  <si>
    <t>this may be done by filling a 1 liter bottle half full of mixed liquor and shaking the bottle</t>
  </si>
  <si>
    <t>Fed:Unfed Ratio</t>
  </si>
  <si>
    <t>gently to aerate the sample</t>
  </si>
  <si>
    <t>5. Fill a 300 ml sample bottle. Fill to overflowing. Some bubbles will gather at the top.</t>
  </si>
  <si>
    <t>OUR =</t>
  </si>
  <si>
    <t>Tilt the BOD bottle to work the bubbles out of the sample.</t>
  </si>
  <si>
    <t>6. Place the BOD bottle in the beaker. Be sure the mixed liquor level in the beaker remains</t>
  </si>
  <si>
    <t xml:space="preserve">SOUR = </t>
  </si>
  <si>
    <t>just below the neck of the BOD bottle.</t>
  </si>
  <si>
    <t>7. Place the DO probe in the bottle, making sure not to trap any bubbles. Begin stirring the</t>
  </si>
  <si>
    <t>sample. Allow a short time (30 – 60 seconds) for the temperature and the probe to</t>
  </si>
  <si>
    <t>FED Graph plot:</t>
  </si>
  <si>
    <t>UNFED Graph plot:</t>
  </si>
  <si>
    <t>stabilize.</t>
  </si>
  <si>
    <t>8. Record the DO every minute for 10 minutes, or until the DO drop becomes consistent or</t>
  </si>
  <si>
    <t>until the DO drops below 1 mg/L. Make sure that there is at least 1 mg/L difference</t>
  </si>
  <si>
    <t>between the start and finish of the test.</t>
  </si>
  <si>
    <t>Note:</t>
  </si>
  <si>
    <t>If the OUR is extremely high values may have to be read every 30 seconds and the initial</t>
  </si>
  <si>
    <t>DO may have to be increased to 7-8 mg/L. If that does not provide a satisfactory test dilute the</t>
  </si>
  <si>
    <t>sample with BOD dilution water, reaerate the sample and complete the test again. Calculate the</t>
  </si>
  <si>
    <t>appropriate dilution factor to obtain the OUR of the original sample.</t>
  </si>
  <si>
    <t>OUR calculation</t>
  </si>
  <si>
    <t>1. Graph the results by plotting DO (in mg/L) on the vertical axis and time (in minutes) on</t>
  </si>
  <si>
    <t>the horizontal axis.</t>
  </si>
  <si>
    <t>2. Graph the line of best fit of the data. The line should be nearly straight. If there are data</t>
  </si>
  <si>
    <t>at the beginning and/or end of the test that are significantly different from the straight</t>
  </si>
  <si>
    <t>line, disregard that data. The straight line represents the actual microorganism activity.</t>
  </si>
  <si>
    <t>3. Determine the slope of the line. Pick the points at the beginning and end of the straight</t>
  </si>
  <si>
    <t>line portion. Divide the change in DO between those two points by the change in</t>
  </si>
  <si>
    <t>minutes between those two points.</t>
  </si>
  <si>
    <t>4. OUR = ΔDO/ΔTime = mg/L/min if the time is in minutes</t>
  </si>
  <si>
    <t>5. Multiply by 60 min/hr to get the results in mg O2/L/hr</t>
  </si>
  <si>
    <r>
      <rPr>
        <rFont val="Arial"/>
        <b/>
        <color rgb="FF000000"/>
      </rPr>
      <t>SOURCE</t>
    </r>
    <r>
      <rPr>
        <rFont val="Arial"/>
        <color rgb="FF000000"/>
      </rPr>
      <t xml:space="preserve"> </t>
    </r>
  </si>
  <si>
    <t>State of Maine Department of Environmental Protection, "Notes on Activated Sludge Process Control"</t>
  </si>
  <si>
    <t>The pKa for H2S is 7.0, indicating higher toxicity at a pH of 7 or less when H2S is predominant, and less toxicity as the pH increases above pH 7 and H2S dissociates. One mg/L of H2S reduces the activated sludge OUR by 50% at pH 7, and the H2S dose to give a 50% OUR reduction increases to 100 mg/L at pH values above pH 8. It is advised to add lime or other alkaline agent to the aeration basin to raise the pH to 7.5 or above if sulfide toxicity is occurring.</t>
  </si>
  <si>
    <t>FORMULA</t>
  </si>
  <si>
    <t>CALCULATION TOOL</t>
  </si>
  <si>
    <t>BEST INDUSTRY PRACTICES</t>
  </si>
  <si>
    <t>OUR = ( Final DO - Initial DO ) / Change in Time</t>
  </si>
  <si>
    <t>INPUT :</t>
  </si>
  <si>
    <t>Desired Range:</t>
  </si>
  <si>
    <t>SOUR = OUR x 1000 / MLVSS (in mg/L)</t>
  </si>
  <si>
    <t>Initial DO</t>
  </si>
  <si>
    <t>mg/L</t>
  </si>
  <si>
    <t>Modification SOUR Range</t>
  </si>
  <si>
    <t>Time at start</t>
  </si>
  <si>
    <t>min</t>
  </si>
  <si>
    <t>Conventional Activated Sludge 8-20 mg O2/hr/g VSS</t>
  </si>
  <si>
    <t>OUR : Oxygen Uptake Rate</t>
  </si>
  <si>
    <t>Final DO</t>
  </si>
  <si>
    <t>Step Aeration 8-20 mg O2/hr/g VSS</t>
  </si>
  <si>
    <t>SOUR : Specific Oxygen Uptake Rate</t>
  </si>
  <si>
    <t>Time at end</t>
  </si>
  <si>
    <t>Extended Aeration 3-12 O2/hr/g VSS</t>
  </si>
  <si>
    <t>MLVSS : Mixed Liquor Volatile Suspended Solids</t>
  </si>
  <si>
    <t>MLVSS (if known)</t>
  </si>
  <si>
    <t>Contact Stabilization 15-30/5-15 O2/hr/g VSS</t>
  </si>
  <si>
    <t>MLSS (if MLVSS not known)</t>
  </si>
  <si>
    <t>Aerobic Digestion &lt;2 O2/hr/g VSS</t>
  </si>
  <si>
    <t>OUTPUT :</t>
  </si>
  <si>
    <t>Values outside these ranges are not necessarily a problem since your plant may work will at a</t>
  </si>
  <si>
    <t>OUR</t>
  </si>
  <si>
    <t>O2/hr</t>
  </si>
  <si>
    <t>higher or lower SOUR. However, they would normally mean that one should begin looking for</t>
  </si>
  <si>
    <t>SOUR</t>
  </si>
  <si>
    <t>O2/hr /g VSS</t>
  </si>
  <si>
    <t>potential problems.</t>
  </si>
  <si>
    <t>The fed and unfed tests use the simple OUR test on simulated sludges. A “fake” activated sludge</t>
  </si>
  <si>
    <t>is developed to simulate conditions at the influent end of the aeration tank. It is a “fake” tests</t>
  </si>
  <si>
    <t>because of the difficulty of collecting a truly mixed sample at that point. Since the results of the</t>
  </si>
  <si>
    <t>tests must relate to each other, the unfed test uses the same organisms for a “fake” test to</t>
  </si>
  <si>
    <t>simulate the conditions at the effluent end of the aeration tank. The unfed test indicates how</t>
  </si>
  <si>
    <t>active the microorganisms area at rest (endogenous respiration conditions) while the fed test</t>
  </si>
  <si>
    <t>shows the microorganism activity after feeding.</t>
  </si>
  <si>
    <t>The fed test mixes the correct amount of influent with an amount of return activated sludge to</t>
  </si>
  <si>
    <t>simulate the MLSS concentration in the aeration tank. The unfed test mixes unchlorinated final</t>
  </si>
  <si>
    <t>effluent with the RAS to achieve the same MLSS concentration. The normal OUR test is then</t>
  </si>
  <si>
    <t>done on each sample. The correct volume of RAS in mL is calculated by:</t>
  </si>
  <si>
    <t>mL of RAS = MLSS in Aeration Tank Å x 300 mL / MLSS of RAS</t>
  </si>
  <si>
    <t>Once the two tests have been completed, a ratio of the fed to unfed OUR is calculated. If the ratio is less than 1.0, there is probably some toxic material in the influent, because the bugs in the fed sample should be using oxygen at a higher rate than the bugs in the unfed sample.</t>
  </si>
  <si>
    <t>A value of</t>
  </si>
  <si>
    <t>1.0 to 2.0 is found with very dilute influent samples or waste that contains slowly degradable</t>
  </si>
  <si>
    <t>materials.</t>
  </si>
  <si>
    <t>A ratio of 2.0 to 5.0 is normal for domestic wastewater, while a ration of greater then</t>
  </si>
  <si>
    <t>5.0 indicates extremely high loading</t>
  </si>
  <si>
    <t>Fed/Unfed Ratios for Domestic Wastewater</t>
  </si>
  <si>
    <t>&lt;1.0 : Toxic effect</t>
  </si>
  <si>
    <t>1.0 – 2.0 : Dilute load or hard to stabilize material</t>
  </si>
  <si>
    <t>2.0 – 5.0 : Normal</t>
  </si>
  <si>
    <t>&gt;5.0 : Very high organic load for the MLSS available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</si>
</sst>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theme="1"/>
      <name val="Arial"/>
      <scheme val="minor"/>
    </font>
    <font>
      <color theme="1"/>
      <name val="Arial"/>
      <scheme val="minor"/>
    </font>
    <font>
      <b/>
      <color rgb="FF000000"/>
      <name val="Arial"/>
    </font>
    <font>
      <color theme="1"/>
      <name val="Arial"/>
    </font>
    <font>
      <color rgb="FF000000"/>
      <name val="Arial"/>
    </font>
    <font>
      <b/>
      <color theme="1"/>
      <name val="Arial"/>
    </font>
    <font>
      <sz val="11.0"/>
      <color rgb="FF000000"/>
      <name val="Times"/>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5">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xf>
    <xf borderId="0" fillId="0" fontId="4" numFmtId="0" xfId="0" applyAlignment="1" applyFont="1">
      <alignment shrinkToFit="0" vertical="bottom" wrapText="0"/>
    </xf>
    <xf borderId="0" fillId="0" fontId="6" numFmtId="0" xfId="0" applyAlignment="1" applyFont="1">
      <alignment vertical="bottom"/>
    </xf>
    <xf borderId="0" fillId="0" fontId="6" numFmtId="0" xfId="0" applyAlignment="1" applyFont="1">
      <alignment horizontal="center" vertical="bottom"/>
    </xf>
    <xf borderId="0" fillId="0" fontId="5" numFmtId="0" xfId="0" applyFont="1"/>
    <xf borderId="0" fillId="0" fontId="4" numFmtId="0" xfId="0" applyAlignment="1" applyFont="1">
      <alignment readingOrder="0" vertical="bottom"/>
    </xf>
    <xf borderId="0" fillId="0" fontId="4" numFmtId="0" xfId="0" applyAlignment="1" applyFont="1">
      <alignment horizontal="center" vertical="bottom"/>
    </xf>
    <xf borderId="0" fillId="0" fontId="4" numFmtId="0" xfId="0" applyFont="1"/>
    <xf borderId="0" fillId="0" fontId="6" numFmtId="0" xfId="0" applyAlignment="1" applyFont="1">
      <alignment readingOrder="0" vertical="bottom"/>
    </xf>
    <xf borderId="0" fillId="3" fontId="5" numFmtId="0" xfId="0" applyAlignment="1" applyFill="1" applyFont="1">
      <alignment horizontal="left" readingOrder="0"/>
    </xf>
    <xf borderId="0" fillId="0" fontId="7" numFmtId="0" xfId="0" applyAlignment="1" applyFont="1">
      <alignment readingOrder="0"/>
    </xf>
    <xf borderId="1" fillId="2" fontId="2" numFmtId="0" xfId="0" applyBorder="1" applyFont="1"/>
    <xf borderId="1" fillId="0" fontId="4" numFmtId="0" xfId="0" applyAlignment="1" applyBorder="1" applyFont="1">
      <alignment vertical="bottom"/>
    </xf>
    <xf borderId="0" fillId="0" fontId="4" numFmtId="3" xfId="0" applyAlignment="1" applyFont="1" applyNumberFormat="1">
      <alignment vertical="bottom"/>
    </xf>
    <xf borderId="0" fillId="0" fontId="4" numFmtId="164" xfId="0" applyAlignment="1" applyFont="1" applyNumberFormat="1">
      <alignment vertical="bottom"/>
    </xf>
    <xf borderId="0" fillId="0" fontId="3" numFmtId="0" xfId="0" applyFont="1"/>
    <xf borderId="2" fillId="0" fontId="4" numFmtId="0" xfId="0" applyAlignment="1" applyBorder="1" applyFont="1">
      <alignment vertical="bottom"/>
    </xf>
    <xf borderId="3" fillId="0" fontId="4" numFmtId="3" xfId="0" applyAlignment="1" applyBorder="1" applyFont="1" applyNumberFormat="1">
      <alignment vertical="bottom"/>
    </xf>
    <xf borderId="3" fillId="0" fontId="4" numFmtId="0" xfId="0" applyAlignment="1" applyBorder="1" applyFont="1">
      <alignment vertical="bottom"/>
    </xf>
    <xf borderId="4" fillId="0" fontId="4" numFmtId="3" xfId="0" applyAlignment="1" applyBorder="1" applyFont="1" applyNumberFormat="1">
      <alignment vertical="bottom"/>
    </xf>
    <xf borderId="4" fillId="0" fontId="4" numFmtId="0" xfId="0" applyAlignment="1" applyBorder="1" applyFont="1">
      <alignment vertical="bottom"/>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24</xdr:row>
      <xdr:rowOff>47625</xdr:rowOff>
    </xdr:from>
    <xdr:ext cx="3352800" cy="3305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866775</xdr:colOff>
      <xdr:row>24</xdr:row>
      <xdr:rowOff>47625</xdr:rowOff>
    </xdr:from>
    <xdr:ext cx="3352800" cy="3305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38"/>
  </cols>
  <sheetData>
    <row r="1">
      <c r="A1" s="1" t="s">
        <v>0</v>
      </c>
      <c r="B1" s="1" t="s">
        <v>1</v>
      </c>
      <c r="C1" s="2"/>
      <c r="D1" s="2"/>
      <c r="E1" s="2"/>
      <c r="F1" s="2"/>
    </row>
    <row r="2">
      <c r="A2" s="3" t="s">
        <v>2</v>
      </c>
      <c r="B2" s="4" t="s">
        <v>3</v>
      </c>
      <c r="C2" s="4"/>
      <c r="D2" s="4"/>
      <c r="E2" s="4"/>
      <c r="F2" s="4"/>
      <c r="G2" s="4"/>
    </row>
    <row r="3">
      <c r="A3" s="5" t="s">
        <v>4</v>
      </c>
      <c r="B3" s="4" t="s">
        <v>5</v>
      </c>
      <c r="C3" s="4"/>
      <c r="D3" s="4" t="s">
        <v>6</v>
      </c>
      <c r="E3" s="4"/>
      <c r="F3" s="4" t="s">
        <v>7</v>
      </c>
      <c r="G3" s="4"/>
    </row>
    <row r="4">
      <c r="A4" s="5" t="s">
        <v>8</v>
      </c>
      <c r="B4" s="4"/>
      <c r="C4" s="4"/>
      <c r="D4" s="4"/>
      <c r="E4" s="4"/>
      <c r="F4" s="4"/>
      <c r="G4" s="4"/>
    </row>
    <row r="5">
      <c r="A5" s="5" t="s">
        <v>9</v>
      </c>
      <c r="B5" s="4" t="s">
        <v>10</v>
      </c>
      <c r="C5" s="4"/>
      <c r="D5" s="6" t="s">
        <v>11</v>
      </c>
      <c r="E5" s="4"/>
      <c r="F5" s="4"/>
      <c r="G5" s="4"/>
    </row>
    <row r="6">
      <c r="A6" s="5" t="s">
        <v>12</v>
      </c>
      <c r="B6" s="7" t="s">
        <v>13</v>
      </c>
      <c r="C6" s="4" t="s">
        <v>14</v>
      </c>
      <c r="D6" s="8" t="s">
        <v>13</v>
      </c>
      <c r="E6" s="4" t="s">
        <v>14</v>
      </c>
      <c r="F6" s="4"/>
      <c r="G6" s="4"/>
    </row>
    <row r="7">
      <c r="A7" s="5" t="s">
        <v>15</v>
      </c>
      <c r="B7" s="4"/>
      <c r="C7" s="4"/>
      <c r="D7" s="4"/>
      <c r="E7" s="4"/>
      <c r="F7" s="4"/>
      <c r="G7" s="4"/>
    </row>
    <row r="8">
      <c r="A8" s="5" t="s">
        <v>16</v>
      </c>
      <c r="B8" s="4"/>
      <c r="C8" s="4"/>
      <c r="D8" s="4"/>
      <c r="E8" s="4"/>
      <c r="F8" s="4"/>
      <c r="G8" s="4"/>
    </row>
    <row r="9">
      <c r="A9" s="9"/>
      <c r="B9" s="4"/>
      <c r="C9" s="4"/>
      <c r="D9" s="4"/>
      <c r="E9" s="4"/>
      <c r="F9" s="4"/>
      <c r="G9" s="4"/>
    </row>
    <row r="10">
      <c r="A10" s="3" t="s">
        <v>17</v>
      </c>
      <c r="B10" s="4"/>
      <c r="C10" s="4"/>
      <c r="D10" s="4"/>
      <c r="E10" s="4"/>
      <c r="F10" s="4"/>
      <c r="G10" s="4"/>
    </row>
    <row r="11">
      <c r="A11" s="5" t="s">
        <v>18</v>
      </c>
      <c r="B11" s="4" t="s">
        <v>19</v>
      </c>
      <c r="C11" s="4"/>
      <c r="D11" s="4" t="s">
        <v>20</v>
      </c>
      <c r="E11" s="4"/>
      <c r="F11" s="4"/>
      <c r="G11" s="4"/>
    </row>
    <row r="12">
      <c r="A12" s="5" t="s">
        <v>21</v>
      </c>
      <c r="B12" s="4"/>
      <c r="C12" s="4"/>
      <c r="D12" s="4"/>
      <c r="E12" s="4"/>
      <c r="F12" s="4"/>
      <c r="G12" s="4"/>
    </row>
    <row r="13">
      <c r="A13" s="5" t="s">
        <v>22</v>
      </c>
      <c r="B13" s="4" t="s">
        <v>23</v>
      </c>
      <c r="C13" s="10"/>
      <c r="D13" s="11" t="s">
        <v>23</v>
      </c>
      <c r="E13" s="12"/>
      <c r="F13" s="4"/>
      <c r="G13" s="4"/>
    </row>
    <row r="14">
      <c r="A14" s="5" t="s">
        <v>24</v>
      </c>
      <c r="B14" s="4" t="s">
        <v>25</v>
      </c>
      <c r="C14" s="10"/>
      <c r="D14" s="11" t="s">
        <v>25</v>
      </c>
      <c r="E14" s="12"/>
      <c r="F14" s="4"/>
      <c r="G14" s="4"/>
    </row>
    <row r="15">
      <c r="A15" s="5" t="s">
        <v>26</v>
      </c>
      <c r="B15" s="4" t="s">
        <v>27</v>
      </c>
      <c r="C15" s="10"/>
      <c r="D15" s="11" t="s">
        <v>28</v>
      </c>
      <c r="E15" s="12"/>
      <c r="F15" s="4"/>
      <c r="G15" s="4"/>
    </row>
    <row r="16">
      <c r="A16" s="5" t="s">
        <v>29</v>
      </c>
      <c r="B16" s="4"/>
      <c r="C16" s="10"/>
      <c r="D16" s="4"/>
      <c r="E16" s="12"/>
      <c r="F16" s="4"/>
      <c r="G16" s="4"/>
    </row>
    <row r="17">
      <c r="A17" s="5" t="s">
        <v>30</v>
      </c>
      <c r="B17" s="4" t="s">
        <v>31</v>
      </c>
      <c r="C17" s="10"/>
      <c r="D17" s="4"/>
      <c r="E17" s="12"/>
      <c r="F17" s="4"/>
      <c r="G17" s="4"/>
    </row>
    <row r="18">
      <c r="A18" s="5" t="s">
        <v>32</v>
      </c>
      <c r="B18" s="4"/>
      <c r="C18" s="4"/>
      <c r="D18" s="4"/>
      <c r="E18" s="4"/>
      <c r="F18" s="4"/>
      <c r="G18" s="4"/>
    </row>
    <row r="19">
      <c r="A19" s="5" t="s">
        <v>33</v>
      </c>
      <c r="B19" s="7" t="s">
        <v>34</v>
      </c>
      <c r="C19" s="4"/>
      <c r="D19" s="4"/>
      <c r="E19" s="4"/>
      <c r="F19" s="4"/>
      <c r="G19" s="4"/>
    </row>
    <row r="20">
      <c r="A20" s="5" t="s">
        <v>35</v>
      </c>
      <c r="B20" s="4"/>
      <c r="C20" s="4"/>
      <c r="D20" s="4"/>
      <c r="E20" s="4"/>
      <c r="F20" s="4"/>
      <c r="G20" s="4"/>
    </row>
    <row r="21">
      <c r="A21" s="5" t="s">
        <v>36</v>
      </c>
      <c r="B21" s="7" t="s">
        <v>37</v>
      </c>
      <c r="C21" s="4"/>
      <c r="D21" s="4"/>
      <c r="E21" s="4"/>
      <c r="F21" s="4"/>
      <c r="G21" s="4"/>
    </row>
    <row r="22">
      <c r="A22" s="5" t="s">
        <v>38</v>
      </c>
      <c r="B22" s="4"/>
      <c r="C22" s="4"/>
      <c r="D22" s="4"/>
      <c r="E22" s="4"/>
      <c r="F22" s="4"/>
      <c r="G22" s="4"/>
    </row>
    <row r="23">
      <c r="A23" s="5" t="s">
        <v>39</v>
      </c>
      <c r="B23" s="4"/>
      <c r="C23" s="4"/>
      <c r="D23" s="4"/>
      <c r="E23" s="4"/>
      <c r="F23" s="4"/>
      <c r="G23" s="4"/>
    </row>
    <row r="24">
      <c r="A24" s="5" t="s">
        <v>40</v>
      </c>
      <c r="B24" s="7" t="s">
        <v>41</v>
      </c>
      <c r="C24" s="4"/>
      <c r="D24" s="4"/>
      <c r="E24" s="4"/>
      <c r="F24" s="13" t="s">
        <v>42</v>
      </c>
      <c r="G24" s="4"/>
    </row>
    <row r="25">
      <c r="A25" s="5" t="s">
        <v>43</v>
      </c>
    </row>
    <row r="26">
      <c r="A26" s="5" t="s">
        <v>44</v>
      </c>
    </row>
    <row r="27">
      <c r="A27" s="5" t="s">
        <v>45</v>
      </c>
    </row>
    <row r="28">
      <c r="A28" s="5" t="s">
        <v>46</v>
      </c>
    </row>
    <row r="29">
      <c r="A29" s="9"/>
    </row>
    <row r="30">
      <c r="A30" s="3" t="s">
        <v>47</v>
      </c>
    </row>
    <row r="31">
      <c r="A31" s="5" t="s">
        <v>48</v>
      </c>
    </row>
    <row r="32">
      <c r="A32" s="5" t="s">
        <v>49</v>
      </c>
    </row>
    <row r="33">
      <c r="A33" s="5" t="s">
        <v>50</v>
      </c>
    </row>
    <row r="34">
      <c r="A34" s="5" t="s">
        <v>51</v>
      </c>
    </row>
    <row r="35">
      <c r="A35" s="9"/>
    </row>
    <row r="36">
      <c r="A36" s="3" t="s">
        <v>52</v>
      </c>
    </row>
    <row r="37">
      <c r="A37" s="5" t="s">
        <v>53</v>
      </c>
    </row>
    <row r="38">
      <c r="A38" s="5" t="s">
        <v>54</v>
      </c>
    </row>
    <row r="39">
      <c r="A39" s="5" t="s">
        <v>55</v>
      </c>
    </row>
    <row r="40">
      <c r="A40" s="5" t="s">
        <v>56</v>
      </c>
    </row>
    <row r="41">
      <c r="A41" s="5" t="s">
        <v>57</v>
      </c>
    </row>
    <row r="42">
      <c r="A42" s="5" t="s">
        <v>58</v>
      </c>
    </row>
    <row r="43">
      <c r="A43" s="5" t="s">
        <v>59</v>
      </c>
    </row>
    <row r="44">
      <c r="A44" s="5" t="s">
        <v>60</v>
      </c>
    </row>
    <row r="45">
      <c r="A45" s="5" t="s">
        <v>61</v>
      </c>
    </row>
    <row r="46">
      <c r="A46" s="5" t="s">
        <v>62</v>
      </c>
    </row>
    <row r="47">
      <c r="A47" s="9"/>
    </row>
    <row r="48">
      <c r="A48" s="5" t="s">
        <v>63</v>
      </c>
    </row>
    <row r="49">
      <c r="A49" s="14" t="s">
        <v>64</v>
      </c>
    </row>
    <row r="51">
      <c r="A51" s="15"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21.5"/>
    <col customWidth="1" min="3" max="3" width="8.5"/>
    <col customWidth="1" min="4" max="4" width="10.88"/>
    <col customWidth="1" min="5" max="5" width="77.75"/>
  </cols>
  <sheetData>
    <row r="1">
      <c r="A1" s="1" t="s">
        <v>66</v>
      </c>
      <c r="B1" s="1" t="s">
        <v>67</v>
      </c>
      <c r="C1" s="2"/>
      <c r="D1" s="16"/>
      <c r="E1" s="1" t="s">
        <v>68</v>
      </c>
    </row>
    <row r="2">
      <c r="A2" s="5" t="s">
        <v>69</v>
      </c>
      <c r="B2" s="7" t="s">
        <v>70</v>
      </c>
      <c r="C2" s="4"/>
      <c r="D2" s="17"/>
      <c r="E2" s="3" t="s">
        <v>71</v>
      </c>
    </row>
    <row r="3">
      <c r="A3" s="5" t="s">
        <v>72</v>
      </c>
      <c r="B3" s="4" t="s">
        <v>73</v>
      </c>
      <c r="C3" s="4"/>
      <c r="D3" s="17" t="s">
        <v>74</v>
      </c>
      <c r="E3" s="5" t="s">
        <v>75</v>
      </c>
    </row>
    <row r="4">
      <c r="B4" s="4" t="s">
        <v>76</v>
      </c>
      <c r="C4" s="18"/>
      <c r="D4" s="17" t="s">
        <v>77</v>
      </c>
      <c r="E4" s="5" t="s">
        <v>78</v>
      </c>
    </row>
    <row r="5">
      <c r="A5" s="3" t="s">
        <v>79</v>
      </c>
      <c r="B5" s="4" t="s">
        <v>80</v>
      </c>
      <c r="C5" s="18"/>
      <c r="D5" s="17" t="s">
        <v>74</v>
      </c>
      <c r="E5" s="5" t="s">
        <v>81</v>
      </c>
    </row>
    <row r="6">
      <c r="A6" s="3" t="s">
        <v>82</v>
      </c>
      <c r="B6" s="4" t="s">
        <v>83</v>
      </c>
      <c r="C6" s="18"/>
      <c r="D6" s="17" t="s">
        <v>77</v>
      </c>
      <c r="E6" s="5" t="s">
        <v>84</v>
      </c>
    </row>
    <row r="7">
      <c r="A7" s="3" t="s">
        <v>85</v>
      </c>
      <c r="B7" s="4" t="s">
        <v>86</v>
      </c>
      <c r="C7" s="19"/>
      <c r="D7" s="17" t="s">
        <v>74</v>
      </c>
      <c r="E7" s="5" t="s">
        <v>87</v>
      </c>
    </row>
    <row r="8">
      <c r="B8" s="4" t="s">
        <v>88</v>
      </c>
      <c r="C8" s="18"/>
      <c r="D8" s="17" t="s">
        <v>74</v>
      </c>
      <c r="E8" s="5" t="s">
        <v>89</v>
      </c>
    </row>
    <row r="9">
      <c r="A9" s="20"/>
      <c r="B9" s="4"/>
      <c r="C9" s="4"/>
      <c r="D9" s="17"/>
      <c r="E9" s="9"/>
    </row>
    <row r="10">
      <c r="B10" s="7" t="s">
        <v>90</v>
      </c>
      <c r="C10" s="18"/>
      <c r="D10" s="17"/>
      <c r="E10" s="5" t="s">
        <v>91</v>
      </c>
    </row>
    <row r="11">
      <c r="B11" s="21" t="s">
        <v>92</v>
      </c>
      <c r="C11" s="22" t="str">
        <f>IFERROR((C5-C3)*60/(C6-C4))</f>
        <v/>
      </c>
      <c r="D11" s="23" t="s">
        <v>93</v>
      </c>
      <c r="E11" s="5" t="s">
        <v>94</v>
      </c>
    </row>
    <row r="12">
      <c r="B12" s="21" t="s">
        <v>95</v>
      </c>
      <c r="C12" s="24" t="str">
        <f>IFERROR(IF(C7&lt;&gt;"",C11*1000/C7,C11*1000/(C8*0.75)))</f>
        <v/>
      </c>
      <c r="D12" s="25" t="s">
        <v>96</v>
      </c>
      <c r="E12" s="5" t="s">
        <v>97</v>
      </c>
    </row>
    <row r="13">
      <c r="D13" s="26"/>
      <c r="E13" s="9"/>
    </row>
    <row r="14">
      <c r="D14" s="26"/>
      <c r="E14" s="5" t="s">
        <v>98</v>
      </c>
    </row>
    <row r="15">
      <c r="D15" s="26"/>
      <c r="E15" s="5" t="s">
        <v>99</v>
      </c>
    </row>
    <row r="16">
      <c r="D16" s="26"/>
      <c r="E16" s="5" t="s">
        <v>100</v>
      </c>
    </row>
    <row r="17">
      <c r="D17" s="26"/>
      <c r="E17" s="5" t="s">
        <v>101</v>
      </c>
    </row>
    <row r="18">
      <c r="D18" s="26"/>
      <c r="E18" s="5" t="s">
        <v>102</v>
      </c>
    </row>
    <row r="19">
      <c r="D19" s="26"/>
      <c r="E19" s="5" t="s">
        <v>103</v>
      </c>
    </row>
    <row r="20">
      <c r="D20" s="26"/>
      <c r="E20" s="5" t="s">
        <v>104</v>
      </c>
    </row>
    <row r="21">
      <c r="D21" s="26"/>
      <c r="E21" s="9"/>
    </row>
    <row r="22">
      <c r="D22" s="26"/>
      <c r="E22" s="5" t="s">
        <v>105</v>
      </c>
    </row>
    <row r="23">
      <c r="D23" s="26"/>
      <c r="E23" s="5" t="s">
        <v>106</v>
      </c>
    </row>
    <row r="24">
      <c r="D24" s="26"/>
      <c r="E24" s="5" t="s">
        <v>107</v>
      </c>
    </row>
    <row r="25">
      <c r="D25" s="26"/>
      <c r="E25" s="5" t="s">
        <v>108</v>
      </c>
    </row>
    <row r="26">
      <c r="D26" s="26"/>
      <c r="E26" s="9"/>
    </row>
    <row r="27">
      <c r="D27" s="26"/>
      <c r="E27" s="5" t="s">
        <v>109</v>
      </c>
    </row>
    <row r="28">
      <c r="D28" s="26"/>
      <c r="E28" s="5"/>
    </row>
    <row r="29">
      <c r="D29" s="26"/>
      <c r="E29" s="5" t="s">
        <v>110</v>
      </c>
    </row>
    <row r="30">
      <c r="D30" s="26"/>
      <c r="E30" s="5" t="s">
        <v>111</v>
      </c>
    </row>
    <row r="31">
      <c r="D31" s="26"/>
      <c r="E31" s="5" t="s">
        <v>112</v>
      </c>
    </row>
    <row r="32">
      <c r="D32" s="26"/>
      <c r="E32" s="5" t="s">
        <v>113</v>
      </c>
    </row>
    <row r="33">
      <c r="D33" s="26"/>
    </row>
    <row r="34">
      <c r="D34" s="26"/>
      <c r="E34" s="5" t="s">
        <v>114</v>
      </c>
    </row>
    <row r="35">
      <c r="D35" s="26"/>
      <c r="E35" s="5" t="s">
        <v>115</v>
      </c>
    </row>
    <row r="36">
      <c r="D36" s="26"/>
      <c r="E36" s="9"/>
    </row>
    <row r="37">
      <c r="D37" s="26"/>
      <c r="E37" s="3" t="s">
        <v>116</v>
      </c>
    </row>
    <row r="38">
      <c r="D38" s="26"/>
      <c r="E38" s="5" t="s">
        <v>117</v>
      </c>
    </row>
    <row r="39">
      <c r="D39" s="26"/>
      <c r="E39" s="5" t="s">
        <v>118</v>
      </c>
    </row>
    <row r="40">
      <c r="D40" s="26"/>
      <c r="E40" s="5" t="s">
        <v>119</v>
      </c>
    </row>
    <row r="41">
      <c r="D41" s="26"/>
      <c r="E41" s="5" t="s">
        <v>120</v>
      </c>
    </row>
    <row r="42">
      <c r="D42" s="26"/>
      <c r="E42" s="9"/>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sheetData>
  <drawing r:id="rId1"/>
</worksheet>
</file>