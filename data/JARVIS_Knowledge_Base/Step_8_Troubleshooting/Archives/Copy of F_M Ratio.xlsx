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FAQs" sheetId="1" r:id="rId4"/>
    <sheet state="visible" name="Indicators" sheetId="2" r:id="rId5"/>
    <sheet state="visible" name="Calculator" sheetId="3" r:id="rId6"/>
    <sheet state="visible" name="Equipment Issues" sheetId="4" r:id="rId7"/>
    <sheet state="visible" name="Process Control" sheetId="5" r:id="rId8"/>
  </sheets>
  <definedNames/>
  <calcPr/>
</workbook>
</file>

<file path=xl/sharedStrings.xml><?xml version="1.0" encoding="utf-8"?>
<sst xmlns="http://schemas.openxmlformats.org/spreadsheetml/2006/main" count="109" uniqueCount="104">
  <si>
    <t>ABOUT Food-to-Microorganism (F/M) Ratio</t>
  </si>
  <si>
    <t>What is it? :</t>
  </si>
  <si>
    <t>The F/M ratio (Food/Microorganism ratio) is the most critical process control number for your facility. It is is a measurement of the amount of incoming Food (in lbs of influent CBOD) divided by the amount of Microorganisms or bugs (in lbs of MLVSS) in your system.</t>
  </si>
  <si>
    <t>How does it work? :</t>
  </si>
  <si>
    <t>The wastewater your facility receives has organic waste which is food for the bugs in your system. The bugs digest the waste and settle down, making the water clean enough to discharge.</t>
  </si>
  <si>
    <t>Why does it matter? :</t>
  </si>
  <si>
    <t>Maintaining the right F/M ratio is the key to making your facility work to get clean water!</t>
  </si>
  <si>
    <t>Too much food or too little bugs would mean the water leaving your system is dirty because it’s got undigested waste in it.</t>
  </si>
  <si>
    <t>Too little food or too many bugs would mean there’s not enough to feed everyone. So the water leaving your system would be dirty because of the dead bugs in it that would’ve otherwise settled down after digestion.</t>
  </si>
  <si>
    <t>Where do I control it?</t>
  </si>
  <si>
    <t>At the inlet lines to every Aeration Basin (Food control) AND</t>
  </si>
  <si>
    <t>At every RAS/WAS common &amp; individual lines (Microbes control)</t>
  </si>
  <si>
    <t>How do I control it?</t>
  </si>
  <si>
    <t>If the F/M ratio is too high - There’s too much Food for the amount of Microbes in your system. Decrease the influent pumping rate to your Aeration Basin and/or Increase Sludge Wasting from your Secondary Clarifier</t>
  </si>
  <si>
    <t>If the F/M ratio is too low - There’s too little Food for the amount of Microbes in your system. Increase the influent pumping rate to your Aeration Basin and/or Decrease Sludge Wasting from your Secondary Clarifier.</t>
  </si>
  <si>
    <t>Where do I measure it?</t>
  </si>
  <si>
    <t>At every Aeration Basin</t>
  </si>
  <si>
    <t>How do I measure it?</t>
  </si>
  <si>
    <t>1. Influent Flow (in MGD) into your Aeration Basin</t>
  </si>
  <si>
    <t>2. Influent CBOD concentration (in mg/L) into your Aeration Basin</t>
  </si>
  <si>
    <t>3. MLVSS concentration (in mg/L) in your Aeration Basin</t>
  </si>
  <si>
    <t>4. Volume (in gallons) of your Aeration Basin</t>
  </si>
  <si>
    <t>Sources</t>
  </si>
  <si>
    <t>https://www.dep.state.pa.us/dep/deputate/waterops/redesign/calculators/FMDetails.htm</t>
  </si>
  <si>
    <t>https://www.thewastewaterblog.com/single-post/2016/12/19/Food-to-Mass-Ratio</t>
  </si>
  <si>
    <t>High F/M Ratio or Low MLSS/MLVSS Indicators (Any Combination)</t>
  </si>
  <si>
    <t>1. Online Monitoring System and/or Lab Analysis showing low MLSS / MLVSS</t>
  </si>
  <si>
    <t>2. High Hydraulic or Organic Loading rates or shock loads</t>
  </si>
  <si>
    <t>3. High oxygen uptake rate revealed by SOUR test</t>
  </si>
  <si>
    <t>4. Microscopic Analysis of Mixed Liquor sample showing absence of Protozoa. Presence of few life forms except Amoebas, Flagellates, some Free-swimming Ciliates. Additionally, Zooglea may be present (images)</t>
  </si>
  <si>
    <t>5. Centrifuge spin of Aeration Tank effluent showing &lt; 2 % concentration or Sludge Digestors producing low biomass concentrations</t>
  </si>
  <si>
    <t>6. High Heavy Metal presence in Aeration Tank influent</t>
  </si>
  <si>
    <t>7. Temperature of Aeration Tank influent outside the range of 77-95 deg. F (or 25-35 deg. C)</t>
  </si>
  <si>
    <t>8. pH of Aeration Tank influent outside the range of 7.0 - 8.5. High/Low Alkalinity in influent.</t>
  </si>
  <si>
    <t>9. High Conductivity of Aeration Tank influent</t>
  </si>
  <si>
    <t>10. Grey &amp; slimy or White &amp; billowy, sudsy, frothy foam or floating sludge on Aeration Tank surface (resembling images)</t>
  </si>
  <si>
    <t>11. Poor floc formation and presence of light, fluffy Dispersed Cells or Non-filamentous Straggler floc in Aeration Tank (resembling images)</t>
  </si>
  <si>
    <t>12. Low DO and ORP in Aeration Tank</t>
  </si>
  <si>
    <t>13. Rotten Egg smell (Septicity) or High Organic Acid concentration in Aeration Tank</t>
  </si>
  <si>
    <t>14. High Ammonia and Low Nitrate/Nitrite presence in Aeration Tank effluent</t>
  </si>
  <si>
    <t>15. Low SRT/MCRT or SDT/HRT of Aeration Tank and/or Secondary Clarifier</t>
  </si>
  <si>
    <t>16. Mixed liquor sample settling slowly in Settleometer, presence of straggler floc in supernatant</t>
  </si>
  <si>
    <t>17. Clouds of fluffy, homogeneous sludge rising in certain areas in Secondary Clarifier</t>
  </si>
  <si>
    <t>18. Washout from Secondary Clarifier containing straggler floc due to high Hydraulic load</t>
  </si>
  <si>
    <t>19. Cloudy Secondary Clarifier effluent showing high High BOD/COD, Ammonia, Phosphorus or TSS levels</t>
  </si>
  <si>
    <t>20. Excessive sludge production</t>
  </si>
  <si>
    <t>21. Start-up condition</t>
  </si>
  <si>
    <t>22. Lower organic ioading means lesser new biological solids added through reproduction, although this would also reduce F/M (1 lb BOD removed =&gt; 0.5 new solids added)?</t>
  </si>
  <si>
    <t>23. Nutrient deficiency</t>
  </si>
  <si>
    <t>SAMPLE CALCULATION</t>
  </si>
  <si>
    <t>CALCULATION TOOL</t>
  </si>
  <si>
    <t>F = Influent CBOD concentration (mg/L) x Influent Flow (MGD) x 8.34</t>
  </si>
  <si>
    <t>INPUT :</t>
  </si>
  <si>
    <t>M = MLVSS concentration (mg/L) x Aeration Basin Volume (gallons) x 8.34 / 1,000,000</t>
  </si>
  <si>
    <t>Influent Flow</t>
  </si>
  <si>
    <t>MGD</t>
  </si>
  <si>
    <t>Influent CBOD</t>
  </si>
  <si>
    <t>mg/L</t>
  </si>
  <si>
    <t>Example :</t>
  </si>
  <si>
    <t>Aeration Basin MLVSS</t>
  </si>
  <si>
    <t>Influent Flow = 1 MGD</t>
  </si>
  <si>
    <t>Aeration Basin Volume</t>
  </si>
  <si>
    <t>gallons</t>
  </si>
  <si>
    <t>Influent CBOD = 300 mg/L</t>
  </si>
  <si>
    <t>Aeration Basin MLVSS = 3500 mg/L</t>
  </si>
  <si>
    <t>OUTPUT :</t>
  </si>
  <si>
    <t>Aeration Basin Volume = 200,000 gallons</t>
  </si>
  <si>
    <t>Food (F)</t>
  </si>
  <si>
    <t xml:space="preserve">lbs </t>
  </si>
  <si>
    <t>Microbes (M)</t>
  </si>
  <si>
    <t>F = 1 x 300 x 8.34 = 2502 lbs of CBOD coming in as Food</t>
  </si>
  <si>
    <t>F/M Ratio</t>
  </si>
  <si>
    <t>M = 3500 x 200,000 x 8.34 / 1,000,000 = 5838 lbs of MLVSS or Microbes in your Aeration Basin</t>
  </si>
  <si>
    <t>F/M ratio = 2502 / 5838 = 0.42</t>
  </si>
  <si>
    <t>EQUIPMENT ISSUES</t>
  </si>
  <si>
    <t>Make sure to carry out the following action items before process control.</t>
  </si>
  <si>
    <t>At Inlet line to the Aeration Basin</t>
  </si>
  <si>
    <t>1. Inspection in case of breakdown of Pumps or Motors</t>
  </si>
  <si>
    <t>2. Strainers aren’t plugged</t>
  </si>
  <si>
    <t>3. Valves aren’t stuck</t>
  </si>
  <si>
    <t>4. Influent line isn’t clogged or choked</t>
  </si>
  <si>
    <t>5. Influent line isn’t leaking</t>
  </si>
  <si>
    <t>At RAS/WAS common &amp; individual lines</t>
  </si>
  <si>
    <t>4. Lines aren’t clogged or choked</t>
  </si>
  <si>
    <t>5. Lines aren’t leaking</t>
  </si>
  <si>
    <t>PROCESS CONTROL</t>
  </si>
  <si>
    <t>BEST INDUSTRY PRACTICES</t>
  </si>
  <si>
    <t>1. If the F/M ratio is ABOVE centerline range :</t>
  </si>
  <si>
    <t>The optimum centerline range depends on your facility’s design considerations and regulatory compliance requirements.</t>
  </si>
  <si>
    <t>1A. If Hydraulic loading is above centerline range</t>
  </si>
  <si>
    <t>Following are the desirable ranges that you can aim for, for the configuration that you have :</t>
  </si>
  <si>
    <t>Decrease the influent pumping rate to your Aeration Basin (How?) AND/OR</t>
  </si>
  <si>
    <t>Conventional Activated Sludge (complete mix) : 0.2 - 0.6</t>
  </si>
  <si>
    <t>1B. If Aeration Basin MLSS is below centerline range,</t>
  </si>
  <si>
    <t>Contact Stabilization : 0.15 - 0.2</t>
  </si>
  <si>
    <t>Decrease Sludge Wasting from your Secondary Clarifier (How?)</t>
  </si>
  <si>
    <t>Extended Aeration : 0.01 - 0.07</t>
  </si>
  <si>
    <t>Step Aeration : 0.2 - 0.5</t>
  </si>
  <si>
    <t>2. If the F/M ratio is BELOW centerline range :</t>
  </si>
  <si>
    <t>Two-Stage Aeration : 0.07 - 0.15</t>
  </si>
  <si>
    <t>2A. If Hydraulic loading is below centerline range,</t>
  </si>
  <si>
    <t>Increase the influent pumping rate to your Aeration Basin (How?) AND/OR</t>
  </si>
  <si>
    <t>2B. If Aeration Basin MLSS is above centerline range,</t>
  </si>
  <si>
    <t>Increase Sludge Wasting from your Secondary Clarifier (How?)</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</si>
</sst>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theme="1"/>
      <name val="Arial"/>
    </font>
    <font>
      <color theme="1"/>
      <name val="Arial"/>
    </font>
    <font>
      <b/>
      <color rgb="FF000000"/>
      <name val="Arial"/>
    </font>
    <font>
      <color rgb="FF000000"/>
      <name val="Arial"/>
    </font>
    <font>
      <b/>
      <color theme="1"/>
      <name val="Arial"/>
    </font>
    <font>
      <u/>
      <color rgb="FF1155CC"/>
      <name val="Arial"/>
    </font>
    <font>
      <b/>
      <color theme="1"/>
      <name val="Arial"/>
      <scheme val="minor"/>
    </font>
    <font>
      <sz val="9.0"/>
      <color rgb="FF000000"/>
      <name val="Arial"/>
    </font>
    <font>
      <sz val="9.0"/>
      <color rgb="FFFF0000"/>
      <name val="Arial"/>
    </font>
    <font>
      <color rgb="FF000000"/>
      <name val="Arial"/>
      <scheme val="minor"/>
    </font>
    <font>
      <color theme="1"/>
      <name val="Arial"/>
      <scheme val="minor"/>
    </font>
    <font>
      <b/>
      <color rgb="FF000000"/>
      <name val="Arial"/>
      <scheme val="minor"/>
    </font>
    <font>
      <b/>
      <u/>
      <color rgb="FF000000"/>
      <name val="Arial"/>
    </font>
    <font>
      <color rgb="FF000000"/>
      <name val="Roboto"/>
    </font>
    <font>
      <b/>
      <u/>
      <color rgb="FF000000"/>
      <name val="Roboto"/>
    </font>
    <font>
      <b/>
      <color rgb="FF000000"/>
      <name val="Roboto"/>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2" fontId="3" numFmtId="0" xfId="0" applyAlignment="1" applyFill="1" applyFont="1">
      <alignment readingOrder="0" shrinkToFit="0" wrapText="1"/>
    </xf>
    <xf borderId="0" fillId="3" fontId="4" numFmtId="0" xfId="0" applyAlignment="1" applyFill="1" applyFont="1">
      <alignment readingOrder="0" shrinkToFit="0" wrapText="1"/>
    </xf>
    <xf borderId="0" fillId="3" fontId="4"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xf>
    <xf borderId="1" fillId="0" fontId="6" numFmtId="0" xfId="0" applyAlignment="1" applyBorder="1" applyFont="1">
      <alignment shrinkToFit="0" vertical="bottom" wrapText="0"/>
    </xf>
    <xf borderId="0" fillId="2" fontId="7" numFmtId="0" xfId="0" applyAlignment="1" applyFont="1">
      <alignment readingOrder="0"/>
    </xf>
    <xf borderId="0" fillId="3" fontId="8" numFmtId="0" xfId="0" applyAlignment="1" applyFont="1">
      <alignment readingOrder="0" shrinkToFit="0" wrapText="1"/>
    </xf>
    <xf borderId="0" fillId="3" fontId="9" numFmtId="0" xfId="0" applyAlignment="1" applyFont="1">
      <alignment readingOrder="0" shrinkToFit="0" wrapText="1"/>
    </xf>
    <xf borderId="0" fillId="3" fontId="8" numFmtId="0" xfId="0" applyAlignment="1" applyFont="1">
      <alignment shrinkToFit="0" wrapText="1"/>
    </xf>
    <xf borderId="0" fillId="0" fontId="10" numFmtId="0" xfId="0" applyAlignment="1" applyFont="1">
      <alignment readingOrder="0"/>
    </xf>
    <xf borderId="0" fillId="0" fontId="7" numFmtId="0" xfId="0" applyAlignment="1" applyFont="1">
      <alignment vertical="bottom"/>
    </xf>
    <xf borderId="0" fillId="0" fontId="11" numFmtId="0" xfId="0" applyAlignment="1" applyFont="1">
      <alignment vertical="bottom"/>
    </xf>
    <xf borderId="0" fillId="0" fontId="11" numFmtId="3" xfId="0" applyAlignment="1" applyFont="1" applyNumberFormat="1">
      <alignment horizontal="right" vertical="bottom"/>
    </xf>
    <xf borderId="0" fillId="0" fontId="10" numFmtId="0" xfId="0" applyFont="1"/>
    <xf borderId="0" fillId="0" fontId="11" numFmtId="3" xfId="0" applyAlignment="1" applyFont="1" applyNumberFormat="1">
      <alignment horizontal="right" readingOrder="0" vertical="bottom"/>
    </xf>
    <xf borderId="0" fillId="0" fontId="12" numFmtId="0" xfId="0" applyAlignment="1" applyFont="1">
      <alignment readingOrder="0"/>
    </xf>
    <xf borderId="0" fillId="0" fontId="11" numFmtId="3" xfId="0" applyAlignment="1" applyFont="1" applyNumberFormat="1">
      <alignment vertical="bottom"/>
    </xf>
    <xf borderId="1" fillId="0" fontId="11" numFmtId="0" xfId="0" applyAlignment="1" applyBorder="1" applyFont="1">
      <alignment vertical="bottom"/>
    </xf>
    <xf borderId="1" fillId="0" fontId="11" numFmtId="0" xfId="0" applyAlignment="1" applyBorder="1" applyFont="1">
      <alignment horizontal="right" vertical="bottom"/>
    </xf>
    <xf borderId="0" fillId="0" fontId="4" numFmtId="0" xfId="0" applyAlignment="1" applyFont="1">
      <alignment readingOrder="0"/>
    </xf>
    <xf borderId="0" fillId="0" fontId="4" numFmtId="0" xfId="0" applyFont="1"/>
    <xf borderId="0" fillId="0" fontId="13" numFmtId="0" xfId="0" applyAlignment="1" applyFont="1">
      <alignment readingOrder="0"/>
    </xf>
    <xf borderId="0" fillId="3" fontId="14" numFmtId="0" xfId="0" applyAlignment="1" applyFont="1">
      <alignment readingOrder="0"/>
    </xf>
    <xf borderId="0" fillId="3" fontId="4" numFmtId="0" xfId="0" applyAlignment="1" applyFont="1">
      <alignment readingOrder="0"/>
    </xf>
    <xf borderId="0" fillId="3" fontId="15" numFmtId="0" xfId="0" applyAlignment="1" applyFont="1">
      <alignment readingOrder="0"/>
    </xf>
    <xf borderId="0" fillId="3" fontId="14" numFmtId="0" xfId="0" applyFont="1"/>
    <xf borderId="0" fillId="3" fontId="1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ep.state.pa.us/dep/deputate/waterops/redesign/calculators/FMDetails.htm" TargetMode="External"/><Relationship Id="rId2" Type="http://schemas.openxmlformats.org/officeDocument/2006/relationships/hyperlink" Target="https://www.thewastewaterblog.com/single-post/2016/12/19/Food-to-Mass-Rati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9.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5"/>
      <c r="B4" s="2"/>
      <c r="C4" s="2"/>
      <c r="D4" s="2"/>
      <c r="E4" s="2"/>
      <c r="F4" s="2"/>
      <c r="G4" s="2"/>
      <c r="H4" s="2"/>
      <c r="I4" s="2"/>
      <c r="J4" s="2"/>
      <c r="K4" s="2"/>
      <c r="L4" s="2"/>
      <c r="M4" s="2"/>
      <c r="N4" s="2"/>
      <c r="O4" s="2"/>
      <c r="P4" s="2"/>
      <c r="Q4" s="2"/>
      <c r="R4" s="2"/>
      <c r="S4" s="2"/>
      <c r="T4" s="2"/>
      <c r="U4" s="2"/>
      <c r="V4" s="2"/>
      <c r="W4" s="2"/>
      <c r="X4" s="2"/>
      <c r="Y4" s="2"/>
      <c r="Z4" s="2"/>
    </row>
    <row r="5">
      <c r="A5" s="3" t="s">
        <v>3</v>
      </c>
      <c r="B5" s="2"/>
      <c r="C5" s="2"/>
      <c r="D5" s="2"/>
      <c r="E5" s="2"/>
      <c r="F5" s="2"/>
      <c r="G5" s="2"/>
      <c r="H5" s="2"/>
      <c r="I5" s="2"/>
      <c r="J5" s="2"/>
      <c r="K5" s="2"/>
      <c r="L5" s="2"/>
      <c r="M5" s="2"/>
      <c r="N5" s="2"/>
      <c r="O5" s="2"/>
      <c r="P5" s="2"/>
      <c r="Q5" s="2"/>
      <c r="R5" s="2"/>
      <c r="S5" s="2"/>
      <c r="T5" s="2"/>
      <c r="U5" s="2"/>
      <c r="V5" s="2"/>
      <c r="W5" s="2"/>
      <c r="X5" s="2"/>
      <c r="Y5" s="2"/>
      <c r="Z5" s="2"/>
    </row>
    <row r="6">
      <c r="A6" s="4" t="s">
        <v>4</v>
      </c>
      <c r="B6" s="2"/>
      <c r="C6" s="2"/>
      <c r="D6" s="2"/>
      <c r="E6" s="2"/>
      <c r="F6" s="2"/>
      <c r="G6" s="2"/>
      <c r="H6" s="2"/>
      <c r="I6" s="2"/>
      <c r="J6" s="2"/>
      <c r="K6" s="2"/>
      <c r="L6" s="2"/>
      <c r="M6" s="2"/>
      <c r="N6" s="2"/>
      <c r="O6" s="2"/>
      <c r="P6" s="2"/>
      <c r="Q6" s="2"/>
      <c r="R6" s="2"/>
      <c r="S6" s="2"/>
      <c r="T6" s="2"/>
      <c r="U6" s="2"/>
      <c r="V6" s="2"/>
      <c r="W6" s="2"/>
      <c r="X6" s="2"/>
      <c r="Y6" s="2"/>
      <c r="Z6" s="2"/>
    </row>
    <row r="7">
      <c r="A7" s="5"/>
      <c r="B7" s="2"/>
      <c r="C7" s="2"/>
      <c r="D7" s="2"/>
      <c r="E7" s="2"/>
      <c r="F7" s="2"/>
      <c r="G7" s="2"/>
      <c r="H7" s="2"/>
      <c r="I7" s="2"/>
      <c r="J7" s="2"/>
      <c r="K7" s="2"/>
      <c r="L7" s="2"/>
      <c r="M7" s="2"/>
      <c r="N7" s="2"/>
      <c r="O7" s="2"/>
      <c r="P7" s="2"/>
      <c r="Q7" s="2"/>
      <c r="R7" s="2"/>
      <c r="S7" s="2"/>
      <c r="T7" s="2"/>
      <c r="U7" s="2"/>
      <c r="V7" s="2"/>
      <c r="W7" s="2"/>
      <c r="X7" s="2"/>
      <c r="Y7" s="2"/>
      <c r="Z7" s="2"/>
    </row>
    <row r="8">
      <c r="A8" s="3" t="s">
        <v>5</v>
      </c>
      <c r="B8" s="2"/>
      <c r="C8" s="2"/>
      <c r="D8" s="2"/>
      <c r="E8" s="2"/>
      <c r="F8" s="2"/>
      <c r="G8" s="2"/>
      <c r="H8" s="2"/>
      <c r="I8" s="2"/>
      <c r="J8" s="2"/>
      <c r="K8" s="2"/>
      <c r="L8" s="2"/>
      <c r="M8" s="2"/>
      <c r="N8" s="2"/>
      <c r="O8" s="2"/>
      <c r="P8" s="2"/>
      <c r="Q8" s="2"/>
      <c r="R8" s="2"/>
      <c r="S8" s="2"/>
      <c r="T8" s="2"/>
      <c r="U8" s="2"/>
      <c r="V8" s="2"/>
      <c r="W8" s="2"/>
      <c r="X8" s="2"/>
      <c r="Y8" s="2"/>
      <c r="Z8" s="2"/>
    </row>
    <row r="9">
      <c r="A9" s="4" t="s">
        <v>6</v>
      </c>
      <c r="B9" s="2"/>
      <c r="C9" s="2"/>
      <c r="D9" s="2"/>
      <c r="E9" s="2"/>
      <c r="F9" s="2"/>
      <c r="G9" s="2"/>
      <c r="H9" s="2"/>
      <c r="I9" s="2"/>
      <c r="J9" s="2"/>
      <c r="K9" s="2"/>
      <c r="L9" s="2"/>
      <c r="M9" s="2"/>
      <c r="N9" s="2"/>
      <c r="O9" s="2"/>
      <c r="P9" s="2"/>
      <c r="Q9" s="2"/>
      <c r="R9" s="2"/>
      <c r="S9" s="2"/>
      <c r="T9" s="2"/>
      <c r="U9" s="2"/>
      <c r="V9" s="2"/>
      <c r="W9" s="2"/>
      <c r="X9" s="2"/>
      <c r="Y9" s="2"/>
      <c r="Z9" s="2"/>
    </row>
    <row r="10">
      <c r="A10" s="4"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4"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5"/>
      <c r="B12" s="2"/>
      <c r="C12" s="2"/>
      <c r="D12" s="2"/>
      <c r="E12" s="2"/>
      <c r="F12" s="2"/>
      <c r="G12" s="2"/>
      <c r="H12" s="2"/>
      <c r="I12" s="2"/>
      <c r="J12" s="2"/>
      <c r="K12" s="2"/>
      <c r="L12" s="2"/>
      <c r="M12" s="2"/>
      <c r="N12" s="2"/>
      <c r="O12" s="2"/>
      <c r="P12" s="2"/>
      <c r="Q12" s="2"/>
      <c r="R12" s="2"/>
      <c r="S12" s="2"/>
      <c r="T12" s="2"/>
      <c r="U12" s="2"/>
      <c r="V12" s="2"/>
      <c r="W12" s="2"/>
      <c r="X12" s="2"/>
      <c r="Y12" s="2"/>
      <c r="Z12" s="2"/>
    </row>
    <row r="13">
      <c r="A13" s="3" t="s">
        <v>9</v>
      </c>
      <c r="B13" s="2"/>
      <c r="C13" s="2"/>
      <c r="D13" s="2"/>
      <c r="E13" s="2"/>
      <c r="F13" s="2"/>
      <c r="G13" s="2"/>
      <c r="H13" s="2"/>
      <c r="I13" s="2"/>
      <c r="J13" s="2"/>
      <c r="K13" s="2"/>
      <c r="L13" s="2"/>
      <c r="M13" s="2"/>
      <c r="N13" s="2"/>
      <c r="O13" s="2"/>
      <c r="P13" s="2"/>
      <c r="Q13" s="2"/>
      <c r="R13" s="2"/>
      <c r="S13" s="2"/>
      <c r="T13" s="2"/>
      <c r="U13" s="2"/>
      <c r="V13" s="2"/>
      <c r="W13" s="2"/>
      <c r="X13" s="2"/>
      <c r="Y13" s="2"/>
      <c r="Z13" s="2"/>
    </row>
    <row r="14">
      <c r="A14" s="4" t="s">
        <v>10</v>
      </c>
      <c r="B14" s="2"/>
      <c r="C14" s="2"/>
      <c r="D14" s="2"/>
      <c r="E14" s="2"/>
      <c r="F14" s="2"/>
      <c r="G14" s="2"/>
      <c r="H14" s="2"/>
      <c r="I14" s="2"/>
      <c r="J14" s="2"/>
      <c r="K14" s="2"/>
      <c r="L14" s="2"/>
      <c r="M14" s="2"/>
      <c r="N14" s="2"/>
      <c r="O14" s="2"/>
      <c r="P14" s="2"/>
      <c r="Q14" s="2"/>
      <c r="R14" s="2"/>
      <c r="S14" s="2"/>
      <c r="T14" s="2"/>
      <c r="U14" s="2"/>
      <c r="V14" s="2"/>
      <c r="W14" s="2"/>
      <c r="X14" s="2"/>
      <c r="Y14" s="2"/>
      <c r="Z14" s="2"/>
    </row>
    <row r="15">
      <c r="A15" s="4" t="s">
        <v>11</v>
      </c>
      <c r="B15" s="2"/>
      <c r="C15" s="2"/>
      <c r="D15" s="2"/>
      <c r="E15" s="2"/>
      <c r="F15" s="2"/>
      <c r="G15" s="2"/>
      <c r="H15" s="2"/>
      <c r="I15" s="2"/>
      <c r="J15" s="2"/>
      <c r="K15" s="2"/>
      <c r="L15" s="2"/>
      <c r="M15" s="2"/>
      <c r="N15" s="2"/>
      <c r="O15" s="2"/>
      <c r="P15" s="2"/>
      <c r="Q15" s="2"/>
      <c r="R15" s="2"/>
      <c r="S15" s="2"/>
      <c r="T15" s="2"/>
      <c r="U15" s="2"/>
      <c r="V15" s="2"/>
      <c r="W15" s="2"/>
      <c r="X15" s="2"/>
      <c r="Y15" s="2"/>
      <c r="Z15" s="2"/>
    </row>
    <row r="16">
      <c r="A16" s="5"/>
      <c r="B16" s="2"/>
      <c r="C16" s="2"/>
      <c r="D16" s="2"/>
      <c r="E16" s="2"/>
      <c r="F16" s="2"/>
      <c r="G16" s="2"/>
      <c r="H16" s="2"/>
      <c r="I16" s="2"/>
      <c r="J16" s="2"/>
      <c r="K16" s="2"/>
      <c r="L16" s="2"/>
      <c r="M16" s="2"/>
      <c r="N16" s="2"/>
      <c r="O16" s="2"/>
      <c r="P16" s="2"/>
      <c r="Q16" s="2"/>
      <c r="R16" s="2"/>
      <c r="S16" s="2"/>
      <c r="T16" s="2"/>
      <c r="U16" s="2"/>
      <c r="V16" s="2"/>
      <c r="W16" s="2"/>
      <c r="X16" s="2"/>
      <c r="Y16" s="2"/>
      <c r="Z16" s="2"/>
    </row>
    <row r="17">
      <c r="A17" s="3" t="s">
        <v>12</v>
      </c>
      <c r="B17" s="2"/>
      <c r="C17" s="2"/>
      <c r="D17" s="2"/>
      <c r="E17" s="2"/>
      <c r="F17" s="2"/>
      <c r="G17" s="2"/>
      <c r="H17" s="2"/>
      <c r="I17" s="2"/>
      <c r="J17" s="2"/>
      <c r="K17" s="2"/>
      <c r="L17" s="2"/>
      <c r="M17" s="2"/>
      <c r="N17" s="2"/>
      <c r="O17" s="2"/>
      <c r="P17" s="2"/>
      <c r="Q17" s="2"/>
      <c r="R17" s="2"/>
      <c r="S17" s="2"/>
      <c r="T17" s="2"/>
      <c r="U17" s="2"/>
      <c r="V17" s="2"/>
      <c r="W17" s="2"/>
      <c r="X17" s="2"/>
      <c r="Y17" s="2"/>
      <c r="Z17" s="2"/>
    </row>
    <row r="18">
      <c r="A18" s="4" t="s">
        <v>13</v>
      </c>
      <c r="B18" s="2"/>
      <c r="C18" s="2"/>
      <c r="D18" s="2"/>
      <c r="E18" s="2"/>
      <c r="F18" s="2"/>
      <c r="G18" s="2"/>
      <c r="H18" s="2"/>
      <c r="I18" s="2"/>
      <c r="J18" s="2"/>
      <c r="K18" s="2"/>
      <c r="L18" s="2"/>
      <c r="M18" s="2"/>
      <c r="N18" s="2"/>
      <c r="O18" s="2"/>
      <c r="P18" s="2"/>
      <c r="Q18" s="2"/>
      <c r="R18" s="2"/>
      <c r="S18" s="2"/>
      <c r="T18" s="2"/>
      <c r="U18" s="2"/>
      <c r="V18" s="2"/>
      <c r="W18" s="2"/>
      <c r="X18" s="2"/>
      <c r="Y18" s="2"/>
      <c r="Z18" s="2"/>
    </row>
    <row r="19">
      <c r="A19" s="4" t="s">
        <v>14</v>
      </c>
      <c r="B19" s="2"/>
      <c r="C19" s="2"/>
      <c r="D19" s="2"/>
      <c r="E19" s="2"/>
      <c r="F19" s="2"/>
      <c r="G19" s="2"/>
      <c r="H19" s="2"/>
      <c r="I19" s="2"/>
      <c r="J19" s="2"/>
      <c r="K19" s="2"/>
      <c r="L19" s="2"/>
      <c r="M19" s="2"/>
      <c r="N19" s="2"/>
      <c r="O19" s="2"/>
      <c r="P19" s="2"/>
      <c r="Q19" s="2"/>
      <c r="R19" s="2"/>
      <c r="S19" s="2"/>
      <c r="T19" s="2"/>
      <c r="U19" s="2"/>
      <c r="V19" s="2"/>
      <c r="W19" s="2"/>
      <c r="X19" s="2"/>
      <c r="Y19" s="2"/>
      <c r="Z19" s="2"/>
    </row>
    <row r="20">
      <c r="A20" s="5"/>
      <c r="B20" s="2"/>
      <c r="C20" s="2"/>
      <c r="D20" s="2"/>
      <c r="E20" s="2"/>
      <c r="F20" s="2"/>
      <c r="G20" s="2"/>
      <c r="H20" s="2"/>
      <c r="I20" s="2"/>
      <c r="J20" s="2"/>
      <c r="K20" s="2"/>
      <c r="L20" s="2"/>
      <c r="M20" s="2"/>
      <c r="N20" s="2"/>
      <c r="O20" s="2"/>
      <c r="P20" s="2"/>
      <c r="Q20" s="2"/>
      <c r="R20" s="2"/>
      <c r="S20" s="2"/>
      <c r="T20" s="2"/>
      <c r="U20" s="2"/>
      <c r="V20" s="2"/>
      <c r="W20" s="2"/>
      <c r="X20" s="2"/>
      <c r="Y20" s="2"/>
      <c r="Z20" s="2"/>
    </row>
    <row r="21">
      <c r="A21" s="3"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4" t="s">
        <v>16</v>
      </c>
      <c r="B22" s="2"/>
      <c r="C22" s="2"/>
      <c r="D22" s="2"/>
      <c r="E22" s="2"/>
      <c r="F22" s="2"/>
      <c r="G22" s="2"/>
      <c r="H22" s="2"/>
      <c r="I22" s="2"/>
      <c r="J22" s="2"/>
      <c r="K22" s="2"/>
      <c r="L22" s="2"/>
      <c r="M22" s="2"/>
      <c r="N22" s="2"/>
      <c r="O22" s="2"/>
      <c r="P22" s="2"/>
      <c r="Q22" s="2"/>
      <c r="R22" s="2"/>
      <c r="S22" s="2"/>
      <c r="T22" s="2"/>
      <c r="U22" s="2"/>
      <c r="V22" s="2"/>
      <c r="W22" s="2"/>
      <c r="X22" s="2"/>
      <c r="Y22" s="2"/>
      <c r="Z22" s="2"/>
    </row>
    <row r="23">
      <c r="A23" s="5"/>
      <c r="B23" s="2"/>
      <c r="C23" s="2"/>
      <c r="D23" s="2"/>
      <c r="E23" s="2"/>
      <c r="F23" s="2"/>
      <c r="G23" s="2"/>
      <c r="H23" s="2"/>
      <c r="I23" s="2"/>
      <c r="J23" s="2"/>
      <c r="K23" s="2"/>
      <c r="L23" s="2"/>
      <c r="M23" s="2"/>
      <c r="N23" s="2"/>
      <c r="O23" s="2"/>
      <c r="P23" s="2"/>
      <c r="Q23" s="2"/>
      <c r="R23" s="2"/>
      <c r="S23" s="2"/>
      <c r="T23" s="2"/>
      <c r="U23" s="2"/>
      <c r="V23" s="2"/>
      <c r="W23" s="2"/>
      <c r="X23" s="2"/>
      <c r="Y23" s="2"/>
      <c r="Z23" s="2"/>
    </row>
    <row r="24">
      <c r="A24" s="3" t="s">
        <v>17</v>
      </c>
      <c r="B24" s="2"/>
      <c r="C24" s="2"/>
      <c r="D24" s="2"/>
      <c r="E24" s="2"/>
      <c r="F24" s="2"/>
      <c r="G24" s="2"/>
      <c r="H24" s="2"/>
      <c r="I24" s="2"/>
      <c r="J24" s="2"/>
      <c r="K24" s="2"/>
      <c r="L24" s="2"/>
      <c r="M24" s="2"/>
      <c r="N24" s="2"/>
      <c r="O24" s="2"/>
      <c r="P24" s="2"/>
      <c r="Q24" s="2"/>
      <c r="R24" s="2"/>
      <c r="S24" s="2"/>
      <c r="T24" s="2"/>
      <c r="U24" s="2"/>
      <c r="V24" s="2"/>
      <c r="W24" s="2"/>
      <c r="X24" s="2"/>
      <c r="Y24" s="2"/>
      <c r="Z24" s="2"/>
    </row>
    <row r="25">
      <c r="A25" s="6" t="s">
        <v>18</v>
      </c>
      <c r="B25" s="2"/>
      <c r="C25" s="2"/>
      <c r="D25" s="2"/>
      <c r="E25" s="2"/>
      <c r="F25" s="2"/>
      <c r="G25" s="2"/>
      <c r="H25" s="2"/>
      <c r="I25" s="2"/>
      <c r="J25" s="2"/>
      <c r="K25" s="2"/>
      <c r="L25" s="2"/>
      <c r="M25" s="2"/>
      <c r="N25" s="2"/>
      <c r="O25" s="2"/>
      <c r="P25" s="2"/>
      <c r="Q25" s="2"/>
      <c r="R25" s="2"/>
      <c r="S25" s="2"/>
      <c r="T25" s="2"/>
      <c r="U25" s="2"/>
      <c r="V25" s="2"/>
      <c r="W25" s="2"/>
      <c r="X25" s="2"/>
      <c r="Y25" s="2"/>
      <c r="Z25" s="2"/>
    </row>
    <row r="26">
      <c r="A26" s="6" t="s">
        <v>19</v>
      </c>
      <c r="B26" s="2"/>
      <c r="C26" s="2"/>
      <c r="D26" s="2"/>
      <c r="E26" s="2"/>
      <c r="F26" s="2"/>
      <c r="G26" s="2"/>
      <c r="H26" s="2"/>
      <c r="I26" s="2"/>
      <c r="J26" s="2"/>
      <c r="K26" s="2"/>
      <c r="L26" s="2"/>
      <c r="M26" s="2"/>
      <c r="N26" s="2"/>
      <c r="O26" s="2"/>
      <c r="P26" s="2"/>
      <c r="Q26" s="2"/>
      <c r="R26" s="2"/>
      <c r="S26" s="2"/>
      <c r="T26" s="2"/>
      <c r="U26" s="2"/>
      <c r="V26" s="2"/>
      <c r="W26" s="2"/>
      <c r="X26" s="2"/>
      <c r="Y26" s="2"/>
      <c r="Z26" s="2"/>
    </row>
    <row r="27">
      <c r="A27" s="6" t="s">
        <v>20</v>
      </c>
      <c r="B27" s="2"/>
      <c r="C27" s="2"/>
      <c r="D27" s="2"/>
      <c r="E27" s="2"/>
      <c r="F27" s="2"/>
      <c r="G27" s="2"/>
      <c r="H27" s="2"/>
      <c r="I27" s="2"/>
      <c r="J27" s="2"/>
      <c r="K27" s="2"/>
      <c r="L27" s="2"/>
      <c r="M27" s="2"/>
      <c r="N27" s="2"/>
      <c r="O27" s="2"/>
      <c r="P27" s="2"/>
      <c r="Q27" s="2"/>
      <c r="R27" s="2"/>
      <c r="S27" s="2"/>
      <c r="T27" s="2"/>
      <c r="U27" s="2"/>
      <c r="V27" s="2"/>
      <c r="W27" s="2"/>
      <c r="X27" s="2"/>
      <c r="Y27" s="2"/>
      <c r="Z27" s="2"/>
    </row>
    <row r="28">
      <c r="A28" s="6" t="s">
        <v>21</v>
      </c>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7" t="s">
        <v>22</v>
      </c>
      <c r="B30" s="2"/>
      <c r="C30" s="2"/>
      <c r="D30" s="2"/>
      <c r="E30" s="2"/>
      <c r="F30" s="2"/>
      <c r="G30" s="2"/>
      <c r="H30" s="2"/>
      <c r="I30" s="2"/>
      <c r="J30" s="2"/>
      <c r="K30" s="2"/>
      <c r="L30" s="2"/>
      <c r="M30" s="2"/>
      <c r="N30" s="2"/>
      <c r="O30" s="2"/>
      <c r="P30" s="2"/>
      <c r="Q30" s="2"/>
      <c r="R30" s="2"/>
      <c r="S30" s="2"/>
      <c r="T30" s="2"/>
      <c r="U30" s="2"/>
      <c r="V30" s="2"/>
      <c r="W30" s="2"/>
      <c r="X30" s="2"/>
      <c r="Y30" s="2"/>
      <c r="Z30" s="2"/>
    </row>
    <row r="31">
      <c r="A31" s="8" t="s">
        <v>23</v>
      </c>
      <c r="B31" s="2"/>
      <c r="C31" s="2"/>
      <c r="D31" s="2"/>
      <c r="E31" s="2"/>
      <c r="F31" s="2"/>
      <c r="G31" s="2"/>
      <c r="H31" s="2"/>
      <c r="I31" s="2"/>
      <c r="J31" s="2"/>
      <c r="K31" s="2"/>
      <c r="L31" s="2"/>
      <c r="M31" s="2"/>
      <c r="N31" s="2"/>
      <c r="O31" s="2"/>
      <c r="P31" s="2"/>
      <c r="Q31" s="2"/>
      <c r="R31" s="2"/>
      <c r="S31" s="2"/>
      <c r="T31" s="2"/>
      <c r="U31" s="2"/>
      <c r="V31" s="2"/>
      <c r="W31" s="2"/>
      <c r="X31" s="2"/>
      <c r="Y31" s="2"/>
      <c r="Z31" s="2"/>
    </row>
    <row r="32">
      <c r="A32" s="8" t="s">
        <v>24</v>
      </c>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31"/>
    <hyperlink r:id="rId2" ref="A3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75"/>
  </cols>
  <sheetData>
    <row r="1">
      <c r="B1" s="9" t="s">
        <v>25</v>
      </c>
    </row>
    <row r="2">
      <c r="B2" s="10" t="s">
        <v>26</v>
      </c>
    </row>
    <row r="3">
      <c r="B3" s="10" t="s">
        <v>27</v>
      </c>
    </row>
    <row r="4">
      <c r="B4" s="10" t="s">
        <v>28</v>
      </c>
    </row>
    <row r="5">
      <c r="B5" s="10" t="s">
        <v>29</v>
      </c>
    </row>
    <row r="6">
      <c r="B6" s="10" t="s">
        <v>30</v>
      </c>
    </row>
    <row r="7">
      <c r="B7" s="10" t="s">
        <v>31</v>
      </c>
    </row>
    <row r="8">
      <c r="B8" s="10" t="s">
        <v>32</v>
      </c>
    </row>
    <row r="9">
      <c r="B9" s="10" t="s">
        <v>33</v>
      </c>
    </row>
    <row r="10">
      <c r="B10" s="10" t="s">
        <v>34</v>
      </c>
    </row>
    <row r="11">
      <c r="B11" s="10" t="s">
        <v>35</v>
      </c>
    </row>
    <row r="12">
      <c r="B12" s="10" t="s">
        <v>36</v>
      </c>
    </row>
    <row r="13">
      <c r="B13" s="11" t="s">
        <v>37</v>
      </c>
    </row>
    <row r="14">
      <c r="B14" s="10" t="s">
        <v>38</v>
      </c>
    </row>
    <row r="15">
      <c r="B15" s="10" t="s">
        <v>39</v>
      </c>
    </row>
    <row r="16">
      <c r="B16" s="10" t="s">
        <v>40</v>
      </c>
    </row>
    <row r="17">
      <c r="B17" s="10" t="s">
        <v>41</v>
      </c>
    </row>
    <row r="18">
      <c r="B18" s="10" t="s">
        <v>42</v>
      </c>
    </row>
    <row r="19">
      <c r="B19" s="10" t="s">
        <v>43</v>
      </c>
    </row>
    <row r="20">
      <c r="B20" s="10" t="s">
        <v>44</v>
      </c>
    </row>
    <row r="21">
      <c r="B21" s="10" t="s">
        <v>45</v>
      </c>
    </row>
    <row r="22">
      <c r="B22" s="10" t="s">
        <v>46</v>
      </c>
    </row>
    <row r="23">
      <c r="B23" s="11" t="s">
        <v>47</v>
      </c>
    </row>
    <row r="24">
      <c r="B24" s="10" t="s">
        <v>48</v>
      </c>
    </row>
    <row r="27">
      <c r="B27"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5"/>
    <col customWidth="1" min="2" max="2" width="19.13"/>
  </cols>
  <sheetData>
    <row r="1">
      <c r="A1" s="9" t="s">
        <v>49</v>
      </c>
      <c r="B1" s="9" t="s">
        <v>50</v>
      </c>
    </row>
    <row r="2">
      <c r="A2" s="13" t="s">
        <v>51</v>
      </c>
      <c r="B2" s="14" t="s">
        <v>52</v>
      </c>
      <c r="C2" s="15"/>
      <c r="D2" s="14"/>
    </row>
    <row r="3">
      <c r="A3" s="13" t="s">
        <v>53</v>
      </c>
      <c r="B3" s="15" t="s">
        <v>54</v>
      </c>
      <c r="C3" s="16">
        <v>1000.0</v>
      </c>
      <c r="D3" s="15" t="s">
        <v>55</v>
      </c>
    </row>
    <row r="4">
      <c r="A4" s="17"/>
      <c r="B4" s="15" t="s">
        <v>56</v>
      </c>
      <c r="C4" s="18">
        <v>590.0</v>
      </c>
      <c r="D4" s="15" t="s">
        <v>57</v>
      </c>
    </row>
    <row r="5">
      <c r="A5" s="19" t="s">
        <v>58</v>
      </c>
      <c r="B5" s="15" t="s">
        <v>59</v>
      </c>
      <c r="C5" s="16">
        <v>6000.0</v>
      </c>
      <c r="D5" s="15" t="s">
        <v>57</v>
      </c>
    </row>
    <row r="6">
      <c r="A6" s="13" t="s">
        <v>60</v>
      </c>
      <c r="B6" s="15" t="s">
        <v>61</v>
      </c>
      <c r="C6" s="18">
        <v>40000.0</v>
      </c>
      <c r="D6" s="15" t="s">
        <v>62</v>
      </c>
    </row>
    <row r="7">
      <c r="A7" s="13" t="s">
        <v>63</v>
      </c>
      <c r="B7" s="15"/>
      <c r="C7" s="20"/>
      <c r="D7" s="15"/>
    </row>
    <row r="8">
      <c r="A8" s="13" t="s">
        <v>64</v>
      </c>
      <c r="B8" s="14" t="s">
        <v>65</v>
      </c>
      <c r="C8" s="20"/>
      <c r="D8" s="15"/>
    </row>
    <row r="9">
      <c r="A9" s="13" t="s">
        <v>66</v>
      </c>
      <c r="B9" s="15" t="s">
        <v>67</v>
      </c>
      <c r="C9" s="16">
        <f>IFERROR(IF(OR(ISBLANK(C4),ISBLANK(C3)), "",ROUND(C4*C3*8.34,2)),"")</f>
        <v>4920600</v>
      </c>
      <c r="D9" s="15" t="s">
        <v>68</v>
      </c>
    </row>
    <row r="10">
      <c r="A10" s="17"/>
      <c r="B10" s="15" t="s">
        <v>69</v>
      </c>
      <c r="C10" s="16">
        <f>IFERROR(IF(OR(ISBLANK(C5),ISBLANK(C6)), "",ROUND(C5*C6*8.34,2)),"")</f>
        <v>2001600000</v>
      </c>
      <c r="D10" s="15" t="s">
        <v>68</v>
      </c>
    </row>
    <row r="11">
      <c r="A11" s="13" t="s">
        <v>70</v>
      </c>
      <c r="B11" s="21" t="s">
        <v>71</v>
      </c>
      <c r="C11" s="22">
        <f>IFERROR(IF(OR(ISBLANK(C9),ISBLANK(C10)),"",ROUND(C9/C10,3)),"")</f>
        <v>0.002</v>
      </c>
      <c r="D11" s="15"/>
    </row>
    <row r="12">
      <c r="A12" s="13" t="s">
        <v>72</v>
      </c>
    </row>
    <row r="13">
      <c r="A13" s="17"/>
    </row>
    <row r="14">
      <c r="A14" s="19" t="s">
        <v>73</v>
      </c>
    </row>
  </sheetData>
  <mergeCells count="1">
    <mergeCell ref="B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s>
  <sheetData>
    <row r="1">
      <c r="A1" s="9" t="s">
        <v>74</v>
      </c>
    </row>
    <row r="2">
      <c r="A2" s="23" t="s">
        <v>75</v>
      </c>
    </row>
    <row r="3">
      <c r="A3" s="24"/>
    </row>
    <row r="4">
      <c r="A4" s="25" t="s">
        <v>76</v>
      </c>
    </row>
    <row r="5">
      <c r="A5" s="23" t="s">
        <v>77</v>
      </c>
    </row>
    <row r="6">
      <c r="A6" s="23" t="s">
        <v>78</v>
      </c>
    </row>
    <row r="7">
      <c r="A7" s="23" t="s">
        <v>79</v>
      </c>
    </row>
    <row r="8">
      <c r="A8" s="23" t="s">
        <v>80</v>
      </c>
    </row>
    <row r="9">
      <c r="A9" s="23" t="s">
        <v>81</v>
      </c>
    </row>
    <row r="10">
      <c r="A10" s="24"/>
    </row>
    <row r="11">
      <c r="A11" s="25" t="s">
        <v>82</v>
      </c>
    </row>
    <row r="12">
      <c r="A12" s="23" t="s">
        <v>77</v>
      </c>
    </row>
    <row r="13">
      <c r="A13" s="23" t="s">
        <v>78</v>
      </c>
    </row>
    <row r="14">
      <c r="A14" s="23" t="s">
        <v>79</v>
      </c>
    </row>
    <row r="15">
      <c r="A15" s="23" t="s">
        <v>83</v>
      </c>
    </row>
    <row r="16">
      <c r="A16" s="23" t="s">
        <v>84</v>
      </c>
    </row>
    <row r="17">
      <c r="A17"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88"/>
    <col customWidth="1" min="2" max="2" width="88.5"/>
  </cols>
  <sheetData>
    <row r="1">
      <c r="A1" s="9" t="s">
        <v>85</v>
      </c>
      <c r="B1" s="9" t="s">
        <v>86</v>
      </c>
    </row>
    <row r="2">
      <c r="A2" s="26" t="s">
        <v>87</v>
      </c>
      <c r="B2" s="27" t="s">
        <v>88</v>
      </c>
    </row>
    <row r="3">
      <c r="A3" s="28" t="s">
        <v>89</v>
      </c>
      <c r="B3" s="27" t="s">
        <v>90</v>
      </c>
    </row>
    <row r="4">
      <c r="A4" s="26" t="s">
        <v>91</v>
      </c>
      <c r="B4" s="27" t="s">
        <v>92</v>
      </c>
    </row>
    <row r="5">
      <c r="A5" s="26" t="s">
        <v>93</v>
      </c>
      <c r="B5" s="27" t="s">
        <v>94</v>
      </c>
    </row>
    <row r="6">
      <c r="A6" s="26" t="s">
        <v>95</v>
      </c>
      <c r="B6" s="27" t="s">
        <v>96</v>
      </c>
    </row>
    <row r="7">
      <c r="A7" s="29"/>
      <c r="B7" s="27" t="s">
        <v>97</v>
      </c>
    </row>
    <row r="8">
      <c r="A8" s="30" t="s">
        <v>98</v>
      </c>
      <c r="B8" s="27" t="s">
        <v>99</v>
      </c>
    </row>
    <row r="9">
      <c r="A9" s="26" t="s">
        <v>100</v>
      </c>
    </row>
    <row r="10">
      <c r="A10" s="26" t="s">
        <v>101</v>
      </c>
    </row>
    <row r="11">
      <c r="A11" s="26" t="s">
        <v>102</v>
      </c>
    </row>
    <row r="12">
      <c r="A12" s="26" t="s">
        <v>103</v>
      </c>
    </row>
  </sheetData>
  <drawing r:id="rId1"/>
</worksheet>
</file>