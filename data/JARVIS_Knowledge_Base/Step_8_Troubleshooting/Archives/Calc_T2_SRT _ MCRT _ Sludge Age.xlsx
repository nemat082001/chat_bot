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ceptFAQs" sheetId="1" r:id="rId4"/>
    <sheet state="visible" name="Calculator" sheetId="2" r:id="rId5"/>
  </sheets>
  <definedNames/>
  <calcPr/>
</workbook>
</file>

<file path=xl/sharedStrings.xml><?xml version="1.0" encoding="utf-8"?>
<sst xmlns="http://schemas.openxmlformats.org/spreadsheetml/2006/main" count="121" uniqueCount="107">
  <si>
    <t>ABOUT SRT / MCRT / SLUDGE AGE</t>
  </si>
  <si>
    <t>TYPICAL VALUES</t>
  </si>
  <si>
    <t>What is it? :</t>
  </si>
  <si>
    <t>The optimum centerline range of SRT depends on your facility’s design considerations and regulatory compliance requirements.</t>
  </si>
  <si>
    <t>The terms Sludge Age, SRT, MCRT are terms used to describe the amount of time, in days, that solids or microorganisms are maintained in the activated sludge process before getting wasted. The terms SRT and MCRT vary slightly in definition, while “Sluge Age” can be used to refer to either of these two.</t>
  </si>
  <si>
    <t>Following are the desirable ranges of SRT that you can aim for based on the treatment process, outcome, conditions, or constraints :</t>
  </si>
  <si>
    <t>Sludge Age is obtained by dividing the mass of total suspended solids (TSS) in the treatment system by the mass of TSS lost and removed from the treatment system through wasting from the Secondary Clarifier.</t>
  </si>
  <si>
    <t>Conventional Activated Sludge Process : 5 - 15 days</t>
  </si>
  <si>
    <t>SRT or Sludge Residence Time measures only the mass of TSS in the Aeration Basin or MLSS.</t>
  </si>
  <si>
    <t>BOD removal : 3 - 5 days (Summer: 4 days, Winter: &lt; 8 days)</t>
  </si>
  <si>
    <t>MCRT or Mean Cell Residence TIme measures the mass of TSS in the Aeration Basin (MLSS) and that in the Secondary Clarifier</t>
  </si>
  <si>
    <t>Provide complete nitrification : 3 - 18 days (Summer: 10 days, Winter &lt; 15 days)</t>
  </si>
  <si>
    <t>Biological phosphorus removal : 2 - 4 days</t>
  </si>
  <si>
    <t>How does it work? :</t>
  </si>
  <si>
    <t>Stabilization of activated sludge : 20 - 40 days</t>
  </si>
  <si>
    <t>Sludge Age impacts the MLSS concentration in the Aeration Basin.</t>
  </si>
  <si>
    <t>Minimize sludge production : 30 days</t>
  </si>
  <si>
    <t>Long sludge age (or Old Sludge) increases the MLSS concentration.</t>
  </si>
  <si>
    <t>Minimize filamentous bacteria : 15 - 20 days</t>
  </si>
  <si>
    <t>Short sludge age (or Young Sludge) decreases the MLSS concentration.</t>
  </si>
  <si>
    <t>Degradation of xenobiotic (toxic) compounds : 5 - 50 days</t>
  </si>
  <si>
    <t>Why does it matter? :</t>
  </si>
  <si>
    <t>Since the MLSS concentration is affected by the Sludge Age/SRT/MCRT, it becomes a critical process control number to determine the M in the F/M ratio and keep it in the centerline range.</t>
  </si>
  <si>
    <t>Maintaining optimal Sludge Age is also necessary to develop good floc and avoid foaming and/or bulking problems.</t>
  </si>
  <si>
    <t>Where do I control it?</t>
  </si>
  <si>
    <t>At every WAS line</t>
  </si>
  <si>
    <t>How do I control it?</t>
  </si>
  <si>
    <t>If the F/M ratio is too high or MLSS too low - Decrease Sludge Wasting or WAS from the Secondary Clarifier to increase Sludge Age, which increases the M to restore the F/M ratio.</t>
  </si>
  <si>
    <t>If the F/M ratio is too low or MLSS too high - Increase Sludge Wasting or WAS from the Secondary Clarifier to decrease Sludge Age, which decreases the M to restore the F/M ratio.</t>
  </si>
  <si>
    <t>Where do I measure it?</t>
  </si>
  <si>
    <t>At every Aeration Basin and/or Secondary Clarifier</t>
  </si>
  <si>
    <t>How do I measure it?</t>
  </si>
  <si>
    <t>You’ll need the following data:</t>
  </si>
  <si>
    <t>1. MLSS concentration (which refers to TSS in both Aeration Basin (AB) and Secondary Clarifier (SC))</t>
  </si>
  <si>
    <t>2. Volume (in gallons) of your Aeration Basin (AB)</t>
  </si>
  <si>
    <t>3. Volume (in gallons) of your Secondary Clarifier (SC), only required for MCRT</t>
  </si>
  <si>
    <t>4. WAS Flow rate</t>
  </si>
  <si>
    <t>5. TSS concentration in WAS</t>
  </si>
  <si>
    <t>6. Flow rate of Secondary Clarifier (SC) effluent</t>
  </si>
  <si>
    <t>7. TSS concentration in Secondary Clarifier (SC) effluent</t>
  </si>
  <si>
    <t>CALCULATION TOOL</t>
  </si>
  <si>
    <t>Target Sludge Age</t>
  </si>
  <si>
    <t>Maximum Specific Growth corrected for Temperature : μ(max,T)</t>
  </si>
  <si>
    <t>μ(max,T) =  0.65 x (1.055)^(T-25)</t>
  </si>
  <si>
    <t>Decay Rate corrected for Temperature, k(d)</t>
  </si>
  <si>
    <t>k(d) = 0.05 x (1.055)^(T-25)</t>
  </si>
  <si>
    <t>Growth Rate correction factor for effluent Ammonia : CF(NH4+)</t>
  </si>
  <si>
    <t>k(N) = 1.0 x (1.055)^(T-25)</t>
  </si>
  <si>
    <t>CF(NH4) = Effluent Ammonia / ( k(N) + Effluent Ammonia)</t>
  </si>
  <si>
    <t>Growth Rate correction factor for Dissolved Oxygen : CF(DO)</t>
  </si>
  <si>
    <t>CF(DO) = DO / (1 + DO)</t>
  </si>
  <si>
    <t>Growth Rate corrected for Temperature, Ammonia, DO : μ(T)</t>
  </si>
  <si>
    <t>μ(T) = μ(max,T) x CF(NH4+) x CF(DO)</t>
  </si>
  <si>
    <t>MCRT = 1 / ( μ(T) - k(d) )</t>
  </si>
  <si>
    <t>INPUT :</t>
  </si>
  <si>
    <t>Temperature of Mixed Liquor</t>
  </si>
  <si>
    <t>°F</t>
  </si>
  <si>
    <t>Target TKN in Secondary Clarifier effluent (for Nutrient removal only)</t>
  </si>
  <si>
    <t>mg/L</t>
  </si>
  <si>
    <t>DO in Mixed Liquor</t>
  </si>
  <si>
    <t>OUTPUT :</t>
  </si>
  <si>
    <t>Temperature of Mixed Liquor (deg. C)</t>
  </si>
  <si>
    <t>°C</t>
  </si>
  <si>
    <t>Lower Limit</t>
  </si>
  <si>
    <t>Upper Limit</t>
  </si>
  <si>
    <t>MCRT (for No Nutrient removal)</t>
  </si>
  <si>
    <t>days</t>
  </si>
  <si>
    <t>MCRT (for Nutrient removal)</t>
  </si>
  <si>
    <t>Current Sludge Age based on Solids Inventory</t>
  </si>
  <si>
    <t>Note : If your Secondary Clarifier is designed to have a sludge blanket, please use MCRT instead of SRT</t>
  </si>
  <si>
    <t xml:space="preserve">Select SRT or MCRT </t>
  </si>
  <si>
    <t>MCRT</t>
  </si>
  <si>
    <t>Average MLSS in Aeration Tank(s)</t>
  </si>
  <si>
    <t>Net Volume of Aeration Tank(s)</t>
  </si>
  <si>
    <t>Mgal</t>
  </si>
  <si>
    <t>Average TSS concentration in Secondary Clarifier Effluent</t>
  </si>
  <si>
    <t>Average Effluent Flow rate from Secondary Clarifier(s)</t>
  </si>
  <si>
    <t>MGD</t>
  </si>
  <si>
    <t>Average TSS concentration in WAS</t>
  </si>
  <si>
    <t>WAS Flow Rate</t>
  </si>
  <si>
    <t>gal/day</t>
  </si>
  <si>
    <t>Total Solids in Aeration Tank</t>
  </si>
  <si>
    <t xml:space="preserve">lbs </t>
  </si>
  <si>
    <t>Total Solids leaving Activated Sludge Process</t>
  </si>
  <si>
    <t>Is your facility mandated to remove nutrients?</t>
  </si>
  <si>
    <t>YES</t>
  </si>
  <si>
    <t>R2.3B</t>
  </si>
  <si>
    <t>Sampling Point</t>
  </si>
  <si>
    <t>Result</t>
  </si>
  <si>
    <t>Condition</t>
  </si>
  <si>
    <t>Code</t>
  </si>
  <si>
    <t>D : Aeration Basin - Outlend end</t>
  </si>
  <si>
    <t>Very Low SRT/MCRT</t>
  </si>
  <si>
    <t>Actual SRT/MCRT &lt; 
50% of Design/Target SRT/MCRT</t>
  </si>
  <si>
    <t>R2.1D</t>
  </si>
  <si>
    <t>Low SRT/MCRT</t>
  </si>
  <si>
    <t>50% of Design/Target SRT/MCRT &lt; 
Actual SRT/MCRT &lt; 
90% of Design/Target SRT/MCRT</t>
  </si>
  <si>
    <t>R2.2D</t>
  </si>
  <si>
    <t>Normal SRT/MCRT 
(within 10% of target)</t>
  </si>
  <si>
    <t>90% of Design/Target &lt; 
Actual SRT/MCRT &lt; 
110% of Design/Target</t>
  </si>
  <si>
    <t>R2.3D</t>
  </si>
  <si>
    <t>High SRT/MCRT</t>
  </si>
  <si>
    <t>110% of Design/Target SRT/MCRT &lt; 
Actual SRT/MCRT &lt; 
150% of Design/Target SRT/MCRT</t>
  </si>
  <si>
    <t>R2.4D</t>
  </si>
  <si>
    <t>Very High SRT/MCRT</t>
  </si>
  <si>
    <t>150% of Design/Target SRT/MCRT &lt; 
Actual SRT/MCRT</t>
  </si>
  <si>
    <t>R2.5D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</si>
</sst>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00"/>
  </numFmts>
  <fonts count="11">
    <font>
      <sz val="10.0"/>
      <color rgb="FF000000"/>
      <name val="Arial"/>
      <scheme val="minor"/>
    </font>
    <font>
      <b/>
      <color theme="1"/>
      <name val="Arial"/>
      <scheme val="minor"/>
    </font>
    <font>
      <b/>
      <color rgb="FF000000"/>
      <name val="Roboto"/>
    </font>
    <font>
      <color rgb="FF000000"/>
      <name val="Arial"/>
      <scheme val="minor"/>
    </font>
    <font>
      <color rgb="FF000000"/>
      <name val="Roboto"/>
    </font>
    <font>
      <color theme="1"/>
      <name val="Arial"/>
      <scheme val="minor"/>
    </font>
    <font>
      <color rgb="FF000000"/>
      <name val="Arial"/>
    </font>
    <font>
      <b/>
      <color theme="1"/>
      <name val="Arial"/>
    </font>
    <font>
      <color theme="1"/>
      <name val="Arial"/>
    </font>
    <font/>
    <font>
      <u/>
      <color rgb="FF1155CC"/>
      <name val="Arial"/>
      <scheme val="minor"/>
    </font>
  </fonts>
  <fills count="7">
    <fill>
      <patternFill patternType="none"/>
    </fill>
    <fill>
      <patternFill patternType="lightGray"/>
    </fill>
    <fill>
      <patternFill patternType="solid">
        <fgColor rgb="FFFFF2CC"/>
        <bgColor rgb="FFFFF2CC"/>
      </patternFill>
    </fill>
    <fill>
      <patternFill patternType="solid">
        <fgColor rgb="FFFFFFFF"/>
        <bgColor rgb="FFFFFFFF"/>
      </patternFill>
    </fill>
    <fill>
      <patternFill patternType="solid">
        <fgColor rgb="FF00FF00"/>
        <bgColor rgb="FF00FF00"/>
      </patternFill>
    </fill>
    <fill>
      <patternFill patternType="solid">
        <fgColor rgb="FFD9D9D9"/>
        <bgColor rgb="FFD9D9D9"/>
      </patternFill>
    </fill>
    <fill>
      <patternFill patternType="solid">
        <fgColor rgb="FFF4CCCC"/>
        <bgColor rgb="FFF4CCCC"/>
      </patternFill>
    </fill>
  </fills>
  <borders count="7">
    <border/>
    <border>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1"/>
    </xf>
    <xf borderId="0" fillId="2" fontId="1" numFmtId="0" xfId="0" applyAlignment="1" applyFont="1">
      <alignment readingOrder="0"/>
    </xf>
    <xf borderId="1" fillId="3" fontId="2" numFmtId="0" xfId="0" applyAlignment="1" applyBorder="1" applyFill="1" applyFont="1">
      <alignment readingOrder="0" shrinkToFit="0" wrapText="1"/>
    </xf>
    <xf borderId="0" fillId="3" fontId="3" numFmtId="0" xfId="0" applyAlignment="1" applyFont="1">
      <alignment readingOrder="0"/>
    </xf>
    <xf borderId="1" fillId="3" fontId="4" numFmtId="0" xfId="0" applyAlignment="1" applyBorder="1" applyFont="1">
      <alignment readingOrder="0" shrinkToFit="0" wrapText="1"/>
    </xf>
    <xf borderId="1" fillId="3" fontId="4" numFmtId="0" xfId="0" applyAlignment="1" applyBorder="1" applyFont="1">
      <alignment shrinkToFit="0" wrapText="1"/>
    </xf>
    <xf borderId="0" fillId="0" fontId="5" numFmtId="4" xfId="0" applyFont="1" applyNumberFormat="1"/>
    <xf borderId="1" fillId="0" fontId="6" numFmtId="0" xfId="0" applyAlignment="1" applyBorder="1" applyFont="1">
      <alignment readingOrder="0" shrinkToFit="0" wrapText="1"/>
    </xf>
    <xf borderId="0" fillId="2" fontId="1" numFmtId="0" xfId="0" applyAlignment="1" applyFont="1">
      <alignment readingOrder="0" shrinkToFit="0" vertical="center" wrapText="1"/>
    </xf>
    <xf borderId="1" fillId="2" fontId="1" numFmtId="0" xfId="0" applyAlignment="1" applyBorder="1" applyFont="1">
      <alignment readingOrder="0" shrinkToFit="0" vertical="center" wrapText="1"/>
    </xf>
    <xf borderId="0" fillId="4" fontId="7" numFmtId="0" xfId="0" applyAlignment="1" applyFill="1" applyFont="1">
      <alignment readingOrder="0" shrinkToFit="0" vertical="center" wrapText="1"/>
    </xf>
    <xf borderId="0" fillId="4" fontId="8" numFmtId="0" xfId="0" applyAlignment="1" applyFont="1">
      <alignment shrinkToFit="0" vertical="center" wrapText="1"/>
    </xf>
    <xf borderId="1" fillId="4" fontId="8" numFmtId="0" xfId="0" applyAlignment="1" applyBorder="1" applyFont="1">
      <alignment shrinkToFit="0" vertical="center" wrapText="1"/>
    </xf>
    <xf borderId="0" fillId="0" fontId="7" numFmtId="0" xfId="0" applyAlignment="1" applyFont="1">
      <alignment shrinkToFit="0" vertical="center" wrapText="1"/>
    </xf>
    <xf borderId="1" fillId="0" fontId="9" numFmtId="0" xfId="0" applyBorder="1" applyFont="1"/>
    <xf borderId="0" fillId="0" fontId="8" numFmtId="0" xfId="0" applyAlignment="1" applyFont="1">
      <alignment shrinkToFit="0" vertical="center" wrapText="1"/>
    </xf>
    <xf borderId="2" fillId="0" fontId="8" numFmtId="0" xfId="0" applyAlignment="1" applyBorder="1" applyFont="1">
      <alignment shrinkToFit="0" vertical="center" wrapText="1"/>
    </xf>
    <xf borderId="3" fillId="0" fontId="9" numFmtId="0" xfId="0" applyBorder="1" applyFont="1"/>
    <xf borderId="4" fillId="0" fontId="9" numFmtId="0" xfId="0" applyBorder="1" applyFont="1"/>
    <xf borderId="2" fillId="5" fontId="8" numFmtId="0" xfId="0" applyAlignment="1" applyBorder="1" applyFill="1" applyFont="1">
      <alignment readingOrder="0" shrinkToFit="0" vertical="center" wrapText="1"/>
    </xf>
    <xf borderId="0" fillId="0" fontId="8" numFmtId="0" xfId="0" applyAlignment="1" applyFont="1">
      <alignment readingOrder="0" shrinkToFit="0" vertical="center" wrapText="1"/>
    </xf>
    <xf borderId="0" fillId="3" fontId="8" numFmtId="0" xfId="0" applyAlignment="1" applyFont="1">
      <alignment readingOrder="0" shrinkToFit="0" vertical="center" wrapText="1"/>
    </xf>
    <xf borderId="1" fillId="3" fontId="8" numFmtId="0" xfId="0" applyAlignment="1" applyBorder="1" applyFont="1">
      <alignment shrinkToFit="0" vertical="center" wrapText="1"/>
    </xf>
    <xf borderId="1" fillId="0" fontId="8" numFmtId="0" xfId="0" applyAlignment="1" applyBorder="1" applyFont="1">
      <alignment shrinkToFit="0" vertical="center" wrapText="1"/>
    </xf>
    <xf borderId="0" fillId="0" fontId="5" numFmtId="0" xfId="0" applyAlignment="1" applyFont="1">
      <alignment shrinkToFit="0" vertical="center" wrapText="1"/>
    </xf>
    <xf borderId="1" fillId="0" fontId="5" numFmtId="0" xfId="0" applyAlignment="1" applyBorder="1" applyFont="1">
      <alignment shrinkToFit="0" vertical="center" wrapText="1"/>
    </xf>
    <xf borderId="0" fillId="3" fontId="8" numFmtId="0" xfId="0" applyAlignment="1" applyFont="1">
      <alignment shrinkToFit="0" vertical="center" wrapText="1"/>
    </xf>
    <xf borderId="0" fillId="0" fontId="7" numFmtId="0" xfId="0" applyAlignment="1" applyFont="1">
      <alignment horizontal="right" readingOrder="0" shrinkToFit="0" vertical="center" wrapText="1"/>
    </xf>
    <xf borderId="5" fillId="0" fontId="8" numFmtId="0" xfId="0" applyAlignment="1" applyBorder="1" applyFont="1">
      <alignment readingOrder="0" shrinkToFit="0" vertical="center" wrapText="1"/>
    </xf>
    <xf borderId="5" fillId="0" fontId="8" numFmtId="0" xfId="0" applyAlignment="1" applyBorder="1" applyFont="1">
      <alignment horizontal="right" shrinkToFit="0" vertical="center" wrapText="1"/>
    </xf>
    <xf borderId="3" fillId="0" fontId="5" numFmtId="0" xfId="0" applyAlignment="1" applyBorder="1" applyFont="1">
      <alignment horizontal="right" shrinkToFit="0" vertical="center" wrapText="1"/>
    </xf>
    <xf borderId="5" fillId="0" fontId="8" numFmtId="0" xfId="0" applyAlignment="1" applyBorder="1" applyFont="1">
      <alignment shrinkToFit="0" vertical="center" wrapText="1"/>
    </xf>
    <xf borderId="6" fillId="0" fontId="5" numFmtId="0" xfId="0" applyAlignment="1" applyBorder="1" applyFont="1">
      <alignment horizontal="right" shrinkToFit="0" vertical="center" wrapText="1"/>
    </xf>
    <xf borderId="0" fillId="0" fontId="7" numFmtId="0" xfId="0" applyAlignment="1" applyFont="1">
      <alignment readingOrder="0" shrinkToFit="0" vertical="center" wrapText="1"/>
    </xf>
    <xf borderId="0" fillId="0" fontId="5" numFmtId="0" xfId="0" applyAlignment="1" applyFont="1">
      <alignment readingOrder="0" shrinkToFit="0" vertical="center" wrapText="1"/>
    </xf>
    <xf borderId="0" fillId="0" fontId="5" numFmtId="0" xfId="0" applyAlignment="1" applyFont="1">
      <alignment horizontal="right" readingOrder="0" shrinkToFit="0" vertical="center" wrapText="1"/>
    </xf>
    <xf borderId="0" fillId="0" fontId="8" numFmtId="3" xfId="0" applyAlignment="1" applyFont="1" applyNumberFormat="1">
      <alignment readingOrder="0" shrinkToFit="0" vertical="center" wrapText="1"/>
    </xf>
    <xf borderId="0" fillId="0" fontId="8" numFmtId="164" xfId="0" applyAlignment="1" applyFont="1" applyNumberFormat="1">
      <alignment readingOrder="0" shrinkToFit="0" vertical="center" wrapText="1"/>
    </xf>
    <xf borderId="0" fillId="0" fontId="8" numFmtId="165" xfId="0" applyAlignment="1" applyFont="1" applyNumberFormat="1">
      <alignment readingOrder="0" shrinkToFit="0" vertical="center" wrapText="1"/>
    </xf>
    <xf borderId="0" fillId="0" fontId="8" numFmtId="3" xfId="0" applyAlignment="1" applyFont="1" applyNumberFormat="1">
      <alignment shrinkToFit="0" vertical="center" wrapText="1"/>
    </xf>
    <xf borderId="0" fillId="0" fontId="1" numFmtId="0" xfId="0" applyAlignment="1" applyFont="1">
      <alignment horizontal="right" readingOrder="0" shrinkToFit="0" vertical="center" wrapText="1"/>
    </xf>
    <xf borderId="5" fillId="0" fontId="5" numFmtId="0" xfId="0" applyAlignment="1" applyBorder="1" applyFont="1">
      <alignment horizontal="right" shrinkToFit="0" vertical="center" wrapText="1"/>
    </xf>
    <xf borderId="0" fillId="0" fontId="10" numFmtId="0" xfId="0" applyAlignment="1" applyFont="1">
      <alignment readingOrder="0" shrinkToFit="0" vertical="center" wrapText="1"/>
    </xf>
    <xf borderId="5" fillId="6" fontId="7" numFmtId="0" xfId="0" applyAlignment="1" applyBorder="1" applyFill="1" applyFont="1">
      <alignment shrinkToFit="0" vertical="center" wrapText="1"/>
    </xf>
    <xf borderId="5" fillId="6" fontId="7" numFmtId="0" xfId="0" applyAlignment="1" applyBorder="1" applyFont="1">
      <alignment shrinkToFit="0" vertical="center" wrapText="1"/>
    </xf>
    <xf borderId="5" fillId="6" fontId="7" numFmtId="0" xfId="0" applyAlignment="1" applyBorder="1" applyFont="1">
      <alignment readingOrder="0" shrinkToFit="0" vertical="center" wrapText="1"/>
    </xf>
    <xf borderId="1" fillId="0" fontId="5" numFmtId="0" xfId="0" applyAlignment="1" applyBorder="1" applyFont="1">
      <alignment readingOrder="0" shrinkToFit="0" vertical="center" wrapText="1"/>
    </xf>
  </cellXfs>
  <cellStyles count="1">
    <cellStyle xfId="0" name="Normal" builtinId="0"/>
  </cellStyles>
  <dxfs count="2">
    <dxf>
      <font>
        <color rgb="FF34A853"/>
      </font>
      <fill>
        <patternFill patternType="none"/>
      </fill>
      <border/>
    </dxf>
    <dxf>
      <font>
        <color rgb="FFEA4335"/>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75"/>
    <col customWidth="1" min="2" max="2" width="96.25"/>
  </cols>
  <sheetData>
    <row r="1">
      <c r="A1" s="1" t="s">
        <v>0</v>
      </c>
      <c r="B1" s="2" t="s">
        <v>1</v>
      </c>
    </row>
    <row r="2">
      <c r="A2" s="3" t="s">
        <v>2</v>
      </c>
      <c r="B2" s="4" t="s">
        <v>3</v>
      </c>
    </row>
    <row r="3">
      <c r="A3" s="5" t="s">
        <v>4</v>
      </c>
      <c r="B3" s="4" t="s">
        <v>5</v>
      </c>
    </row>
    <row r="4">
      <c r="A4" s="5" t="s">
        <v>6</v>
      </c>
      <c r="B4" s="4" t="s">
        <v>7</v>
      </c>
    </row>
    <row r="5">
      <c r="A5" s="5" t="s">
        <v>8</v>
      </c>
      <c r="B5" s="4" t="s">
        <v>9</v>
      </c>
    </row>
    <row r="6">
      <c r="A6" s="5" t="s">
        <v>10</v>
      </c>
      <c r="B6" s="4" t="s">
        <v>11</v>
      </c>
    </row>
    <row r="7">
      <c r="A7" s="6"/>
      <c r="B7" s="4" t="s">
        <v>12</v>
      </c>
    </row>
    <row r="8">
      <c r="A8" s="3" t="s">
        <v>13</v>
      </c>
      <c r="B8" s="4" t="s">
        <v>14</v>
      </c>
    </row>
    <row r="9">
      <c r="A9" s="5" t="s">
        <v>15</v>
      </c>
      <c r="B9" s="4" t="s">
        <v>16</v>
      </c>
    </row>
    <row r="10">
      <c r="A10" s="5" t="s">
        <v>17</v>
      </c>
      <c r="B10" s="4" t="s">
        <v>18</v>
      </c>
    </row>
    <row r="11">
      <c r="A11" s="5" t="s">
        <v>19</v>
      </c>
      <c r="B11" s="4" t="s">
        <v>20</v>
      </c>
    </row>
    <row r="12">
      <c r="A12" s="6"/>
    </row>
    <row r="13">
      <c r="A13" s="3" t="s">
        <v>21</v>
      </c>
    </row>
    <row r="14">
      <c r="A14" s="5" t="s">
        <v>22</v>
      </c>
    </row>
    <row r="15">
      <c r="A15" s="5" t="s">
        <v>23</v>
      </c>
    </row>
    <row r="16">
      <c r="A16" s="6"/>
      <c r="B16" s="7"/>
    </row>
    <row r="17">
      <c r="A17" s="3" t="s">
        <v>24</v>
      </c>
    </row>
    <row r="18">
      <c r="A18" s="5" t="s">
        <v>25</v>
      </c>
    </row>
    <row r="19">
      <c r="A19" s="6"/>
    </row>
    <row r="20">
      <c r="A20" s="3" t="s">
        <v>26</v>
      </c>
    </row>
    <row r="21">
      <c r="A21" s="5" t="s">
        <v>27</v>
      </c>
    </row>
    <row r="22">
      <c r="A22" s="6"/>
    </row>
    <row r="23">
      <c r="A23" s="5" t="s">
        <v>28</v>
      </c>
    </row>
    <row r="24">
      <c r="A24" s="6"/>
    </row>
    <row r="25">
      <c r="A25" s="3" t="s">
        <v>29</v>
      </c>
    </row>
    <row r="26">
      <c r="A26" s="5" t="s">
        <v>30</v>
      </c>
    </row>
    <row r="27">
      <c r="A27" s="6"/>
    </row>
    <row r="28">
      <c r="A28" s="3" t="s">
        <v>31</v>
      </c>
    </row>
    <row r="29">
      <c r="A29" s="5" t="s">
        <v>32</v>
      </c>
    </row>
    <row r="30">
      <c r="A30" s="8" t="s">
        <v>33</v>
      </c>
    </row>
    <row r="31">
      <c r="A31" s="8" t="s">
        <v>34</v>
      </c>
    </row>
    <row r="32">
      <c r="A32" s="8" t="s">
        <v>35</v>
      </c>
    </row>
    <row r="33">
      <c r="A33" s="8" t="s">
        <v>36</v>
      </c>
    </row>
    <row r="34">
      <c r="A34" s="8" t="s">
        <v>37</v>
      </c>
    </row>
    <row r="35">
      <c r="A35" s="8" t="s">
        <v>38</v>
      </c>
    </row>
    <row r="36">
      <c r="A36" s="8" t="s">
        <v>39</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2.88"/>
    <col customWidth="1" min="2" max="4" width="28.25"/>
  </cols>
  <sheetData>
    <row r="1">
      <c r="A1" s="9" t="s">
        <v>40</v>
      </c>
      <c r="D1" s="10"/>
    </row>
    <row r="2">
      <c r="A2" s="11" t="s">
        <v>41</v>
      </c>
      <c r="B2" s="12"/>
      <c r="C2" s="12"/>
      <c r="D2" s="13"/>
    </row>
    <row r="3">
      <c r="A3" s="14" t="s">
        <v>42</v>
      </c>
      <c r="D3" s="15"/>
    </row>
    <row r="4">
      <c r="A4" s="16" t="s">
        <v>43</v>
      </c>
      <c r="D4" s="15"/>
    </row>
    <row r="5">
      <c r="A5" s="14" t="s">
        <v>44</v>
      </c>
      <c r="D5" s="15"/>
    </row>
    <row r="6">
      <c r="A6" s="16" t="s">
        <v>45</v>
      </c>
      <c r="D6" s="15"/>
    </row>
    <row r="7">
      <c r="A7" s="14" t="s">
        <v>46</v>
      </c>
      <c r="D7" s="15"/>
    </row>
    <row r="8">
      <c r="A8" s="16" t="s">
        <v>47</v>
      </c>
      <c r="D8" s="15"/>
    </row>
    <row r="9">
      <c r="A9" s="16" t="s">
        <v>48</v>
      </c>
      <c r="D9" s="15"/>
    </row>
    <row r="10">
      <c r="A10" s="14" t="s">
        <v>49</v>
      </c>
      <c r="D10" s="15"/>
    </row>
    <row r="11">
      <c r="A11" s="16" t="s">
        <v>50</v>
      </c>
      <c r="D11" s="15"/>
    </row>
    <row r="12">
      <c r="A12" s="14" t="s">
        <v>51</v>
      </c>
      <c r="D12" s="15"/>
    </row>
    <row r="13">
      <c r="A13" s="17" t="s">
        <v>52</v>
      </c>
      <c r="B13" s="18"/>
      <c r="C13" s="18"/>
      <c r="D13" s="19"/>
    </row>
    <row r="14">
      <c r="A14" s="20" t="s">
        <v>53</v>
      </c>
      <c r="B14" s="18"/>
      <c r="C14" s="18"/>
      <c r="D14" s="19"/>
    </row>
    <row r="15">
      <c r="A15" s="16"/>
      <c r="D15" s="15"/>
    </row>
    <row r="16">
      <c r="A16" s="14" t="s">
        <v>54</v>
      </c>
      <c r="D16" s="15"/>
    </row>
    <row r="17">
      <c r="A17" s="16" t="s">
        <v>55</v>
      </c>
      <c r="B17" s="21">
        <v>80.0</v>
      </c>
      <c r="C17" s="22" t="s">
        <v>56</v>
      </c>
      <c r="D17" s="23"/>
    </row>
    <row r="18">
      <c r="A18" s="21" t="s">
        <v>57</v>
      </c>
      <c r="B18" s="21">
        <v>1.0</v>
      </c>
      <c r="C18" s="16" t="s">
        <v>58</v>
      </c>
      <c r="D18" s="23"/>
    </row>
    <row r="19">
      <c r="A19" s="16" t="s">
        <v>59</v>
      </c>
      <c r="B19" s="21">
        <v>2.0</v>
      </c>
      <c r="C19" s="16" t="s">
        <v>58</v>
      </c>
      <c r="D19" s="24"/>
    </row>
    <row r="20">
      <c r="A20" s="25"/>
      <c r="B20" s="25"/>
      <c r="C20" s="25"/>
      <c r="D20" s="26"/>
    </row>
    <row r="21">
      <c r="A21" s="14" t="s">
        <v>60</v>
      </c>
      <c r="D21" s="15"/>
    </row>
    <row r="22">
      <c r="A22" s="16" t="s">
        <v>61</v>
      </c>
      <c r="B22" s="16">
        <f>IF(ISBLANK(B17)=TRUE,"",ROUND(IF(C17="°C",B17,(5/9)*(B17-32)),1))</f>
        <v>26.7</v>
      </c>
      <c r="C22" s="27" t="s">
        <v>62</v>
      </c>
      <c r="D22" s="26"/>
    </row>
    <row r="23">
      <c r="A23" s="25"/>
      <c r="B23" s="28" t="s">
        <v>63</v>
      </c>
      <c r="C23" s="28" t="s">
        <v>64</v>
      </c>
      <c r="D23" s="26"/>
    </row>
    <row r="24">
      <c r="A24" s="29" t="s">
        <v>65</v>
      </c>
      <c r="B24" s="30">
        <f>IF(OR(B17="",C17="",B22="",B19&lt;=0),"",ROUNDDOWN(1/((0.65*(1.055^(B22-25)))*(B19/(1+B19))-(0.05*(1.055^(B22-25))))))</f>
        <v>2</v>
      </c>
      <c r="C24" s="31">
        <f>IF(OR(B17="",C17="",B22="",B19&lt;=0),"",ROUNDUP(1/((0.65*(1.055^(B22-25)))*(B19/(1+B19))-(0.05*(1.055^(B22-25))))))</f>
        <v>3</v>
      </c>
      <c r="D24" s="32" t="s">
        <v>66</v>
      </c>
    </row>
    <row r="25">
      <c r="A25" s="29" t="s">
        <v>67</v>
      </c>
      <c r="B25" s="30">
        <f>IF(OR(B17="",C17="",B22="",B18&lt;=0,B19&lt;=0),"",ROUNDDOWN(1/((0.65*(1.055^(B22-25)))*(B18/(B18+(1.055^(B22-25))))*(B19/(1+B19))-(0.05*(1.055^(B22-25))))))</f>
        <v>5</v>
      </c>
      <c r="C25" s="33">
        <f>IF(OR(B17="",C17="",B22="",B18&lt;=0,B19&lt;=0),"",ROUNDUP(1/((0.65*(1.055^(B22-25)))*(B18/(B18+(1.055^(B22-25))))*(B19/(1+B19))-(0.05*(1.055^(B22-25))))))</f>
        <v>6</v>
      </c>
      <c r="D25" s="32" t="s">
        <v>66</v>
      </c>
    </row>
    <row r="26">
      <c r="A26" s="25"/>
      <c r="B26" s="25"/>
      <c r="C26" s="25"/>
      <c r="D26" s="26"/>
    </row>
    <row r="27">
      <c r="A27" s="11" t="s">
        <v>68</v>
      </c>
      <c r="B27" s="12"/>
      <c r="C27" s="12"/>
      <c r="D27" s="13"/>
    </row>
    <row r="28">
      <c r="A28" s="14" t="s">
        <v>54</v>
      </c>
      <c r="B28" s="16"/>
      <c r="C28" s="16"/>
      <c r="D28" s="24"/>
    </row>
    <row r="29">
      <c r="A29" s="34" t="s">
        <v>69</v>
      </c>
      <c r="B29" s="35"/>
      <c r="C29" s="25"/>
      <c r="D29" s="26"/>
    </row>
    <row r="30">
      <c r="A30" s="35" t="s">
        <v>70</v>
      </c>
      <c r="B30" s="36" t="s">
        <v>71</v>
      </c>
      <c r="C30" s="25"/>
      <c r="D30" s="26"/>
    </row>
    <row r="31">
      <c r="A31" s="21" t="s">
        <v>72</v>
      </c>
      <c r="B31" s="37">
        <v>3500.0</v>
      </c>
      <c r="C31" s="16" t="s">
        <v>58</v>
      </c>
      <c r="D31" s="24"/>
    </row>
    <row r="32">
      <c r="A32" s="21" t="s">
        <v>73</v>
      </c>
      <c r="B32" s="21">
        <v>0.5</v>
      </c>
      <c r="C32" s="16" t="s">
        <v>74</v>
      </c>
      <c r="D32" s="24"/>
    </row>
    <row r="33">
      <c r="A33" s="21" t="str">
        <f>IF(B30&lt;&gt;"SRT","Net Volume of Secondary Clarifier(s)","")</f>
        <v>Net Volume of Secondary Clarifier(s)</v>
      </c>
      <c r="B33" s="38">
        <v>0.3</v>
      </c>
      <c r="C33" s="16" t="str">
        <f>IF(A33="","", "Mgal")</f>
        <v>Mgal</v>
      </c>
      <c r="D33" s="24"/>
    </row>
    <row r="34">
      <c r="A34" s="21" t="s">
        <v>75</v>
      </c>
      <c r="B34" s="37">
        <v>20.0</v>
      </c>
      <c r="C34" s="16" t="s">
        <v>58</v>
      </c>
      <c r="D34" s="24"/>
    </row>
    <row r="35">
      <c r="A35" s="21" t="s">
        <v>76</v>
      </c>
      <c r="B35" s="21">
        <v>0.2</v>
      </c>
      <c r="C35" s="16" t="s">
        <v>77</v>
      </c>
      <c r="D35" s="24"/>
    </row>
    <row r="36">
      <c r="A36" s="21" t="s">
        <v>78</v>
      </c>
      <c r="B36" s="37">
        <v>8000.0</v>
      </c>
      <c r="C36" s="16" t="s">
        <v>58</v>
      </c>
      <c r="D36" s="24"/>
    </row>
    <row r="37">
      <c r="A37" s="16" t="s">
        <v>79</v>
      </c>
      <c r="B37" s="39">
        <v>95000.0</v>
      </c>
      <c r="C37" s="21" t="s">
        <v>80</v>
      </c>
      <c r="D37" s="24"/>
    </row>
    <row r="38">
      <c r="A38" s="25"/>
      <c r="B38" s="40"/>
      <c r="C38" s="16"/>
      <c r="D38" s="24"/>
    </row>
    <row r="39">
      <c r="A39" s="14" t="s">
        <v>60</v>
      </c>
      <c r="B39" s="40"/>
      <c r="C39" s="16"/>
      <c r="D39" s="24"/>
    </row>
    <row r="40">
      <c r="A40" s="21" t="s">
        <v>81</v>
      </c>
      <c r="B40" s="40">
        <f>IF(OR(B31="",B32=""),"",ROUND(B32*B31*8.34,0))</f>
        <v>14595</v>
      </c>
      <c r="C40" s="16" t="s">
        <v>82</v>
      </c>
      <c r="D40" s="24"/>
    </row>
    <row r="41">
      <c r="A41" s="21" t="str">
        <f>IF(B30&lt;&gt;"SRT","Total Solids in Aeration Tank &amp; Secondary Clarifier","")</f>
        <v>Total Solids in Aeration Tank &amp; Secondary Clarifier</v>
      </c>
      <c r="B41" s="40">
        <f>IF(B30&lt;&gt;"SRT", IF(OR(B31="",B32="",B33=""),"",ROUND((B31*B32*8.34)+(B31*B33*8.34),0)),"")</f>
        <v>23352</v>
      </c>
      <c r="C41" s="16" t="str">
        <f>IF(B30&lt;&gt;"SRT","lbs","") </f>
        <v>lbs</v>
      </c>
      <c r="D41" s="24"/>
    </row>
    <row r="42">
      <c r="A42" s="21" t="s">
        <v>83</v>
      </c>
      <c r="B42" s="40">
        <f>IF(OR(B34="",B35="",B36="",B37=""),"",
IF(C37="MGD",ROUND((B34*B35*8.34)+(B36*B37*8.34),0),
IF(C37="gal/day",ROUND((B34*B35*8.34)+(B36*B37*8.34*(10^-6)),0),"")))</f>
        <v>6372</v>
      </c>
      <c r="C42" s="16" t="s">
        <v>82</v>
      </c>
      <c r="D42" s="24"/>
    </row>
    <row r="43">
      <c r="A43" s="25"/>
      <c r="B43" s="41" t="s">
        <v>63</v>
      </c>
      <c r="C43" s="41" t="s">
        <v>64</v>
      </c>
      <c r="D43" s="26"/>
    </row>
    <row r="44">
      <c r="A44" s="32" t="str">
        <f>IF(B30&lt;&gt;"MCRT","SRT","")</f>
        <v/>
      </c>
      <c r="B44" s="30" t="str">
        <f>IF(A44="","", IF(OR(B40="",B42=""),"",ROUNDDOWN(B40/B42)))</f>
        <v/>
      </c>
      <c r="C44" s="42" t="str">
        <f>IF(A44="","", IF(OR(B40="",B42=""),"",ROUNDUP(B40/B42)))</f>
        <v/>
      </c>
      <c r="D44" s="32" t="str">
        <f t="shared" ref="D44:D45" si="1">IF(A44="","","days")</f>
        <v/>
      </c>
    </row>
    <row r="45">
      <c r="A45" s="32" t="str">
        <f>IF(B30&lt;&gt;"SRT","MCRT","")</f>
        <v>MCRT</v>
      </c>
      <c r="B45" s="30">
        <f>IF(A45="","",(IF(OR(B40="",B41="",B42=""),"",ROUNDDOWN((B40+B41)/B42))))</f>
        <v>5</v>
      </c>
      <c r="C45" s="42">
        <f>IF(A45="","",IF(OR(B40="",B41="",B42=""),"",ROUNDUP((B40+B41)/B42)))</f>
        <v>6</v>
      </c>
      <c r="D45" s="32" t="str">
        <f t="shared" si="1"/>
        <v>days</v>
      </c>
    </row>
    <row r="46">
      <c r="A46" s="35" t="s">
        <v>84</v>
      </c>
      <c r="B46" s="36" t="s">
        <v>85</v>
      </c>
      <c r="C46" s="25"/>
      <c r="D46" s="26"/>
    </row>
    <row r="47">
      <c r="A47" s="25" t="str">
        <f> IF(B46="NO",
IF(OR(B24="",C24="",B44="",C44=""),"",IF(AND(B44&lt;B24,B44&lt;C24,C44&lt;B24,C44&lt;C24),"Your SRT is less than the requirement. You need to decrease WAS.", IF(AND(B44&gt;B24,B44&gt;C24,C44&gt;B24,C44&gt;C24),"Your SRT is more than the requirement. You need to increase WAS.","Your SRT is within the required range. Don't alter WAS."))),
IF(B46="YES",
IF(OR(B25="",C25="",B44="",C44=""),"",IF(AND(B44&lt;B25,B44&lt;C25,C44&lt;B25,C44&lt;C25),"Your SRT is less than the requirement. You need to decrease WAS.", IF(AND(B44&gt;B25,B44&gt;C25,C44&gt;B25,C44&gt;C25),"Your SRT is more than the requirement. You need to increase WAS.","Your SRT is within the required range. Don't alter WAS."))),
""))</f>
        <v/>
      </c>
      <c r="B47" s="43"/>
      <c r="C47" s="25"/>
      <c r="D47" s="26"/>
    </row>
    <row r="48">
      <c r="A48" s="25" t="str">
        <f> IF(B46="NO",
IF(OR(B24="",C24="",B45="",C45=""),"",IF(AND(B45&lt;B24,B45&lt;C24,C45&lt;B24,C45&lt;C24),"Your MCRT is less than the requirement. You need to decrease WAS.", IF(AND(B45&gt;B24,B45&gt;C24,C45&gt;B24,C45&gt;C24),"Your MCRT is more than the requirement. You need to increase WAS.","Your MCRT is within the required range. Don't alter WAS."))),
IF(B46="YES",
IF(OR(B25="",C25="",B45="",C45=""),"",IF(AND(B45&lt;B25,B45&lt;C25,C45&lt;B25,C45&lt;C25),"Your MCRT is less than the requirement. You need to decrease WAS.", IF(AND(B45&gt;B25,B45&gt;C25,C45&gt;B25,C45&gt;C25),"Your MCRT is more than the requirement. You need to increase WAS.","Your MCRT is within the required range. Don't alter WAS."))),
""))</f>
        <v>Your MCRT is within the required range. Don't alter WAS.</v>
      </c>
      <c r="B48" s="35" t="s">
        <v>86</v>
      </c>
      <c r="C48" s="25"/>
      <c r="D48" s="26"/>
    </row>
    <row r="49">
      <c r="A49" s="43"/>
      <c r="B49" s="25"/>
      <c r="C49" s="25"/>
      <c r="D49" s="26"/>
    </row>
    <row r="50">
      <c r="A50" s="44" t="s">
        <v>87</v>
      </c>
      <c r="B50" s="45" t="s">
        <v>88</v>
      </c>
      <c r="C50" s="46" t="s">
        <v>89</v>
      </c>
      <c r="D50" s="45" t="s">
        <v>90</v>
      </c>
    </row>
    <row r="51">
      <c r="A51" s="47" t="s">
        <v>91</v>
      </c>
      <c r="B51" s="35" t="s">
        <v>92</v>
      </c>
      <c r="C51" s="35" t="s">
        <v>93</v>
      </c>
      <c r="D51" s="47" t="s">
        <v>94</v>
      </c>
    </row>
    <row r="52">
      <c r="A52" s="47" t="s">
        <v>91</v>
      </c>
      <c r="B52" s="35" t="s">
        <v>95</v>
      </c>
      <c r="C52" s="35" t="s">
        <v>96</v>
      </c>
      <c r="D52" s="47" t="s">
        <v>97</v>
      </c>
    </row>
    <row r="53">
      <c r="A53" s="47" t="s">
        <v>91</v>
      </c>
      <c r="B53" s="35" t="s">
        <v>98</v>
      </c>
      <c r="C53" s="35" t="s">
        <v>99</v>
      </c>
      <c r="D53" s="47" t="s">
        <v>100</v>
      </c>
    </row>
    <row r="54">
      <c r="A54" s="47" t="s">
        <v>91</v>
      </c>
      <c r="B54" s="35" t="s">
        <v>101</v>
      </c>
      <c r="C54" s="35" t="s">
        <v>102</v>
      </c>
      <c r="D54" s="47" t="s">
        <v>103</v>
      </c>
    </row>
    <row r="55">
      <c r="A55" s="47" t="s">
        <v>91</v>
      </c>
      <c r="B55" s="35" t="s">
        <v>104</v>
      </c>
      <c r="C55" s="35" t="s">
        <v>105</v>
      </c>
      <c r="D55" s="47" t="s">
        <v>106</v>
      </c>
    </row>
  </sheetData>
  <mergeCells count="16">
    <mergeCell ref="A1:C1"/>
    <mergeCell ref="A3:D3"/>
    <mergeCell ref="A4:D4"/>
    <mergeCell ref="A5:D5"/>
    <mergeCell ref="A6:D6"/>
    <mergeCell ref="A7:D7"/>
    <mergeCell ref="A8:D8"/>
    <mergeCell ref="A16:D16"/>
    <mergeCell ref="A21:D21"/>
    <mergeCell ref="A9:D9"/>
    <mergeCell ref="A10:D10"/>
    <mergeCell ref="A11:D11"/>
    <mergeCell ref="A12:D12"/>
    <mergeCell ref="A13:D13"/>
    <mergeCell ref="A14:D14"/>
    <mergeCell ref="A15:D15"/>
  </mergeCells>
  <conditionalFormatting sqref="A47:A48">
    <cfRule type="containsText" dxfId="0" priority="1" operator="containsText" text="within">
      <formula>NOT(ISERROR(SEARCH(("within"),(A47))))</formula>
    </cfRule>
  </conditionalFormatting>
  <conditionalFormatting sqref="A47:A48">
    <cfRule type="notContainsText" dxfId="1" priority="2" operator="notContains" text="within">
      <formula>ISERROR(SEARCH(("within"),(A47)))</formula>
    </cfRule>
  </conditionalFormatting>
  <dataValidations>
    <dataValidation type="list" allowBlank="1" sqref="B30">
      <formula1>"SRT,MCRT"</formula1>
    </dataValidation>
    <dataValidation type="list" allowBlank="1" sqref="C37">
      <formula1>"MGD,gal/day"</formula1>
    </dataValidation>
    <dataValidation type="list" allowBlank="1" sqref="B46">
      <formula1>"YES,NO"</formula1>
    </dataValidation>
    <dataValidation type="list" allowBlank="1" sqref="C17">
      <formula1>"°F,°C"</formula1>
    </dataValidation>
  </dataValidations>
  <drawing r:id="rId1"/>
</worksheet>
</file>