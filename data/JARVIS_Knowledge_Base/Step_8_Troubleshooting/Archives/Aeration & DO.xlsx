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4"/>
    <sheet state="visible" name="O&amp;M" sheetId="2" r:id="rId5"/>
    <sheet state="visible" name="Mixing Criteria" sheetId="3" r:id="rId6"/>
    <sheet state="visible" name="STATS" sheetId="4" r:id="rId7"/>
    <sheet state="visible" name="Equipment Issues" sheetId="5" r:id="rId8"/>
    <sheet state="visible" name="Process Control" sheetId="6" r:id="rId9"/>
    <sheet state="visible" name="Monitoring" sheetId="7" r:id="rId10"/>
  </sheets>
  <definedNames/>
  <calcPr/>
</workbook>
</file>

<file path=xl/sharedStrings.xml><?xml version="1.0" encoding="utf-8"?>
<sst xmlns="http://schemas.openxmlformats.org/spreadsheetml/2006/main" count="435" uniqueCount="336">
  <si>
    <t>Airflow Requirements - DIFFUSED Aeration</t>
  </si>
  <si>
    <t>Airflow - MECHANICAL (SURFACE) Aeration</t>
  </si>
  <si>
    <t>INPUT</t>
  </si>
  <si>
    <t>Design F/M Ratio</t>
  </si>
  <si>
    <t>Design SRT/MCRT/Sludge Age</t>
  </si>
  <si>
    <t>days</t>
  </si>
  <si>
    <t>Avg daily flow in peak month</t>
  </si>
  <si>
    <t>MGD</t>
  </si>
  <si>
    <t>Design Avg cBOD concentration</t>
  </si>
  <si>
    <t>mg/L or ppm</t>
  </si>
  <si>
    <t>Design Avg TKN / TN / Ammonia-N conc.</t>
  </si>
  <si>
    <t>Volume of Aeration Tank</t>
  </si>
  <si>
    <t>MGal</t>
  </si>
  <si>
    <t>Depth of Aeration Tank</t>
  </si>
  <si>
    <t>feet</t>
  </si>
  <si>
    <t>Field Transfer Rate of Aerator as supplied by manufacturer, if known</t>
  </si>
  <si>
    <t>lbs O2 / HP / hr</t>
  </si>
  <si>
    <t>Time duration of Aeration system in service</t>
  </si>
  <si>
    <t>hours</t>
  </si>
  <si>
    <t>Choose Aerator type, if Field Transfer Rate of Aerator not known</t>
  </si>
  <si>
    <t>Low Speed Surface Aerator with Draft Tube</t>
  </si>
  <si>
    <t>No. of blowers employed</t>
  </si>
  <si>
    <t>Average rated horsepower of aerator</t>
  </si>
  <si>
    <t>HP</t>
  </si>
  <si>
    <t>Time duration of Aerators in service</t>
  </si>
  <si>
    <t>EQUATIONS</t>
  </si>
  <si>
    <t>SOURCES</t>
  </si>
  <si>
    <t>No. of aerators in service</t>
  </si>
  <si>
    <t>nos.</t>
  </si>
  <si>
    <t>https://www.sciencedirect.com/topics/engineering/oxygen-requirement</t>
  </si>
  <si>
    <t>http://courses.washington.edu/onsite/activated%20sludge%20and%20SBR%20pdf.pdf</t>
  </si>
  <si>
    <t>https://www.dec.ny.gov/docs/water_pdf/oxcapmech.pdf</t>
  </si>
  <si>
    <r>
      <rPr>
        <rFont val="Arial"/>
        <color theme="1"/>
      </rPr>
      <t>i)</t>
    </r>
    <r>
      <rPr>
        <rFont val="Arial"/>
        <b/>
        <color theme="1"/>
      </rPr>
      <t xml:space="preserve"> y = 5(x^2) - 0.5x + 1.2</t>
    </r>
    <r>
      <rPr>
        <rFont val="Arial"/>
        <color theme="1"/>
      </rPr>
      <t xml:space="preserve"> , where y = O2 for unit cBOD removed (lbs/lb), x = F/M ratio</t>
    </r>
  </si>
  <si>
    <r>
      <rPr>
        <rFont val="Arial"/>
        <color theme="1"/>
      </rPr>
      <t>ii)</t>
    </r>
    <r>
      <rPr>
        <rFont val="Arial"/>
        <b/>
        <color theme="1"/>
      </rPr>
      <t xml:space="preserve"> R = (0.75B + 0.05MV) * 1.5</t>
    </r>
    <r>
      <rPr>
        <rFont val="Arial"/>
        <color theme="1"/>
      </rPr>
      <t>, where R = O2 for cBODl (kg/day), B = cBOD (kg/day)</t>
    </r>
  </si>
  <si>
    <t>where M = MLSS (kg/m3), V = Aeration Tank Vol (m3), *for F/M range 0.1 - 1.0</t>
  </si>
  <si>
    <r>
      <rPr>
        <rFont val="Arial"/>
        <color theme="1"/>
      </rPr>
      <t>i)</t>
    </r>
    <r>
      <rPr>
        <rFont val="Arial"/>
        <b/>
        <color theme="1"/>
      </rPr>
      <t xml:space="preserve"> y = 5(x^2) - 0.5x + 1.2</t>
    </r>
    <r>
      <rPr>
        <rFont val="Arial"/>
        <color theme="1"/>
      </rPr>
      <t xml:space="preserve"> , where y = O2 for unit cBOD removed (lbs/lb), x = F/M ratio</t>
    </r>
  </si>
  <si>
    <r>
      <rPr>
        <rFont val="Arial"/>
        <color theme="1"/>
      </rPr>
      <t>iii)</t>
    </r>
    <r>
      <rPr>
        <rFont val="Arial"/>
        <b/>
        <color theme="1"/>
      </rPr>
      <t xml:space="preserve"> y = 0.183 * ln (SRT) + 0.7559</t>
    </r>
    <r>
      <rPr>
        <rFont val="Arial"/>
        <color theme="1"/>
      </rPr>
      <t>, where y = O2 for unit cBOD removed (lbs/lb)</t>
    </r>
  </si>
  <si>
    <r>
      <rPr>
        <rFont val="Arial"/>
        <color theme="1"/>
      </rPr>
      <t>ii)</t>
    </r>
    <r>
      <rPr>
        <rFont val="Arial"/>
        <b/>
        <color theme="1"/>
      </rPr>
      <t xml:space="preserve"> R = (0.75B + 0.05MV) * 1.5</t>
    </r>
    <r>
      <rPr>
        <rFont val="Arial"/>
        <color theme="1"/>
      </rPr>
      <t>, where R = O2 for cBODl (kg/day), B = cBOD (kg/day)</t>
    </r>
  </si>
  <si>
    <t>OUTPUT</t>
  </si>
  <si>
    <r>
      <rPr>
        <rFont val="Arial"/>
        <color theme="1"/>
      </rPr>
      <t>iii)</t>
    </r>
    <r>
      <rPr>
        <rFont val="Arial"/>
        <b/>
        <color theme="1"/>
      </rPr>
      <t xml:space="preserve"> y = 0.183 * ln (SRT) + 0.7559</t>
    </r>
    <r>
      <rPr>
        <rFont val="Arial"/>
        <color theme="1"/>
      </rPr>
      <t>, where y = O2 for unit cBOD removed (lbs/lb)</t>
    </r>
  </si>
  <si>
    <t>O2 required for unit cBOD removal from design F/M ratio</t>
  </si>
  <si>
    <t>lbs O2/lb cBOD removed</t>
  </si>
  <si>
    <r>
      <rPr>
        <rFont val="Arial"/>
        <b val="0"/>
        <color theme="1"/>
      </rPr>
      <t>iv)</t>
    </r>
    <r>
      <rPr>
        <rFont val="Arial"/>
        <b/>
        <color theme="1"/>
      </rPr>
      <t xml:space="preserve"> Horsepower = Torque x RPM / 5252</t>
    </r>
  </si>
  <si>
    <t>MLSS based on design F/M, Max. monthly flow</t>
  </si>
  <si>
    <t>mg/L</t>
  </si>
  <si>
    <r>
      <rPr>
        <rFont val="Arial"/>
        <b val="0"/>
        <color theme="1"/>
      </rPr>
      <t>v)</t>
    </r>
    <r>
      <rPr>
        <rFont val="Arial"/>
        <b/>
        <color theme="1"/>
      </rPr>
      <t xml:space="preserve"> Standard Field O2 Transfer Rate ranges (in lbs O2 / HP / hr)</t>
    </r>
  </si>
  <si>
    <t>Daily O2 required for cBOD removal from design F/M (eq. i)</t>
  </si>
  <si>
    <t>lbs O2 / day</t>
  </si>
  <si>
    <t>Low Speed Surface Aerator</t>
  </si>
  <si>
    <t>Daily O2 required for cBOD removal from design F/M (eq. ii)</t>
  </si>
  <si>
    <t>O2 required for cBOD removal from design SRT/MCRT/SA</t>
  </si>
  <si>
    <t>High Speed Floating Aerator</t>
  </si>
  <si>
    <t>Daily O2 reqd for cBOD removal from design SRT/MCRT/SA</t>
  </si>
  <si>
    <t>O2 required for Nitrification (option 1)</t>
  </si>
  <si>
    <t>lbs O2/lb TKN</t>
  </si>
  <si>
    <t>O2 required for Nitrification (option 2) x 1.5 (PF)</t>
  </si>
  <si>
    <t>Daily O2 required for Nitrification (as per option 1)</t>
  </si>
  <si>
    <t>Daily O2 required for Nitrification (as per option 2)</t>
  </si>
  <si>
    <t>Are both Nitrification &amp; Denitrification mandatory?</t>
  </si>
  <si>
    <t>YES</t>
  </si>
  <si>
    <t>Actual O2 requirement (AOR) from design F/M Ratio</t>
  </si>
  <si>
    <t>Actual O2 requirement (AOR) from design SRT/MCRT/SA</t>
  </si>
  <si>
    <t>Correction factor for Temp, Pr, etc.</t>
  </si>
  <si>
    <t>lbs O2/ lb TKN</t>
  </si>
  <si>
    <t>Standard O2 requirement (SOR) from design F/M Ratio</t>
  </si>
  <si>
    <t>Standard O2 requirement (SOR) from design SRT/MCRT/SA</t>
  </si>
  <si>
    <t>Avg O2 transfer efficiency of equipment</t>
  </si>
  <si>
    <t>per ft. submergence</t>
  </si>
  <si>
    <t>Total Field O2 requirement from design F/M Ratio</t>
  </si>
  <si>
    <t>Total Field O2 requirement from design SRT/MCRT/SA</t>
  </si>
  <si>
    <t>Fraction of O2 in Air</t>
  </si>
  <si>
    <t>Total Air requirement from design F/M Ratio</t>
  </si>
  <si>
    <t>lbs Air / day</t>
  </si>
  <si>
    <t>Average Feld transfer rate of selected Aerator configuration</t>
  </si>
  <si>
    <t>Total Air requirement from design SRT/MCRT/SA</t>
  </si>
  <si>
    <t>Reqd avg HP per aerator (from design F/M Ratio) for given Runtime, Aerators</t>
  </si>
  <si>
    <t>Volume occupied by 1 lb of Air at STP</t>
  </si>
  <si>
    <t>cu ft</t>
  </si>
  <si>
    <t>Reqd avg HP per aerator (from design SRT/MCRT/SA) for given Runtime, Aerators</t>
  </si>
  <si>
    <t>Total Air flow required (from design F/M Ratio)</t>
  </si>
  <si>
    <t>scfm</t>
  </si>
  <si>
    <t>Reqd avg daily runtime per aerator (from design F/M Ratio) for given HP, Aerators</t>
  </si>
  <si>
    <t>Total Air flow required (from design SRT/MCRT/SA)</t>
  </si>
  <si>
    <t>Reqd avg daily runtime per aerator (from design SRT/MCRT/SA) for given HP, Aerators</t>
  </si>
  <si>
    <t>Total Air flow reqd per blower (from design F/M ratio)</t>
  </si>
  <si>
    <t>scfm per blower</t>
  </si>
  <si>
    <t>Reqd no. of aerators (from design F/M Ratio) for given HP, Runtime</t>
  </si>
  <si>
    <t>Total Air flow reqd per blower (from design SRT/MCRT/SA)</t>
  </si>
  <si>
    <t>Reqd no. of aerators (from design SRT/MCRT/SA) for given HP, Runtime</t>
  </si>
  <si>
    <t>If airflow per diffuser is too high &amp; additional aeration zones are available, put additional aeration zones in service</t>
  </si>
  <si>
    <t>Recommended Air flow required : 750 to 2000 cu ft/lb BOD removed</t>
  </si>
  <si>
    <t>Recommended Minimum required airflow/unit length : 3 scfm/lin. ft.</t>
  </si>
  <si>
    <t>Total cBOD per day</t>
  </si>
  <si>
    <t>lbs/day</t>
  </si>
  <si>
    <t>Total Air requirement per day (from design F/M Ratio)</t>
  </si>
  <si>
    <t>cu ft/day</t>
  </si>
  <si>
    <t>Total Air requirement per day (from design SRT/MCRT/SA)</t>
  </si>
  <si>
    <t>Vol. Air required / lb cBOD removed (from design F/M Ratio)</t>
  </si>
  <si>
    <t>cu ft/lb BOD removed</t>
  </si>
  <si>
    <t>Vol. Air required / lb cBOD removed (from design SRT/MCRT/SA)</t>
  </si>
  <si>
    <t>DIFFUSED AERATION SYSTEM</t>
  </si>
  <si>
    <t>MECHANICAL SURFACE AERATION SYSTEM</t>
  </si>
  <si>
    <t>SN</t>
  </si>
  <si>
    <t>Problem</t>
  </si>
  <si>
    <t>Observations / Checks</t>
  </si>
  <si>
    <t>Recommendation</t>
  </si>
  <si>
    <t>Observation / Check</t>
  </si>
  <si>
    <t>LOW DO PROBLEMS</t>
  </si>
  <si>
    <t>Diffusers need cleaning or repair</t>
  </si>
  <si>
    <t>1. Look for signs of poor mixing pattern or uneven surface aeration. Refer "Mixing Criteria" sheet
2. Little to no turbulence 
3. Deflocculation
4. Check diffusers for clogging</t>
  </si>
  <si>
    <t>Check maintenance records for last cleaning of blowers. Bump or chemically clean in-place diffusers if they've not been cleaned for the last 12 months. Take basins out of service and manually clean diffusers. Replace broken diffusers or periodically replace all diffusers if they've gone beyond expected service life. When corrected aerate continuously until brown color and DO return. Then return to time clock operation.</t>
  </si>
  <si>
    <t>Water level too low for mechanical aerator impeller, ie, Inadequate impeller submergence, causing Motor Overload</t>
  </si>
  <si>
    <t>1. Noise of the surging of water surface and waves caused by mechanical aeration equipment
2. Check impeller submergence level and compare with manufacturer's recommendation for minimum submergence</t>
  </si>
  <si>
    <t>1. Raise or shorten aeration tank weir / Lower impeller. Increase level in basin to provide recommended minimum impeller submergence
2. Repair leaks in weirs or gates that allow water level to drop below desired level during low flows
3. Reduce aeration tankage on-line if otherwise impossible, to raise the water surface.
4. Consider experimenting with baffles, draft tubes, etc.
5. Check the aeration tank weir for leaks.
6. Increase the return rate as a last resort</t>
  </si>
  <si>
    <t>Leaks in air piping. If blowoffs present, air releasing through blowoffs</t>
  </si>
  <si>
    <t>1. Check for excessive diffuser headloss or blowoff malfunction. Check air pipe &amp; joints, listen for air leakage or soap test. 
2. Watch for bubbling, especially on surface near diffuser header pipe. 
3. Generally, little to no turbulence</t>
  </si>
  <si>
    <t>1. Check maintenance records for last cleaning of blowers. Bump or chemically clean in-place diffusers if they've not been cleaned for the last 12 months. Take basins out of service and manually clean diffusers. Replace broken diffusers or periodically replace all diffusers if they've gone beyond expected service life. When corrected aerate continuously until brown color and DO return. Then return to time clock operation.
2. Repair Blowoff system. Tighten flange bolts and/or replace flange gaskets</t>
  </si>
  <si>
    <t>Basin design prone to wave formation at aerator</t>
  </si>
  <si>
    <t>Visual observation of waves reflecting off surfaces, creating standing waves</t>
  </si>
  <si>
    <t>Adjust aerator speed or position, if possible or modify basin using baffles to reduce standing wave effect</t>
  </si>
  <si>
    <t>Imbalance with diffuser header valves, improper air distribution</t>
  </si>
  <si>
    <t>Check airflow to basin. Check valve adjustment</t>
  </si>
  <si>
    <t>Balance or manually adjust valves as required to better distribute air</t>
  </si>
  <si>
    <t>Aerator blades / Impeller fouled with rags or debris</t>
  </si>
  <si>
    <t>1. Check for vibration, visual observation of impeller, visual observation of splash pattern
2. Check blades for rags or debris</t>
  </si>
  <si>
    <t>Take aerator out of service and remove rags or debris from impeller</t>
  </si>
  <si>
    <t>Poor blower performance</t>
  </si>
  <si>
    <t>Check blower - PM required, service record, design &amp; present output</t>
  </si>
  <si>
    <t>Repair as read</t>
  </si>
  <si>
    <t>Aerator blades / Impeller fouled with ice</t>
  </si>
  <si>
    <t>1. Check for vibration, visual observation of impeller, visual observation of splash pattern
2. Check blades for ice</t>
  </si>
  <si>
    <t>Take aerator out of service and remove ice from impeller, install manufacturer approved shields that keep splash confined to basin and minimize ice formation</t>
  </si>
  <si>
    <t>Aeration control system needs adjustment</t>
  </si>
  <si>
    <t>Compare control parameter values to set points</t>
  </si>
  <si>
    <t>If insufficient air is provided under automatic operation, adjust controls to increase airflow when setpoints are maintained</t>
  </si>
  <si>
    <t>Aerator speed too low</t>
  </si>
  <si>
    <t>1. Check Aerator speed
2. Look for signs of poor mixing. Refer "Mixing Criteria" sheet
3. Little to no turbulence 
4. Deflocculation</t>
  </si>
  <si>
    <t xml:space="preserve">Refer "Calculator" sheet. Compare pollutant loadings to design values. Increase Aerator speed accordingly. </t>
  </si>
  <si>
    <t>Dirty inlet air</t>
  </si>
  <si>
    <t>Check inlet air pressure between filter and blower</t>
  </si>
  <si>
    <t>Replace inlet filters. Clean filters if washable</t>
  </si>
  <si>
    <t>Too few aerators in operation / low runtime / inadequate power rating</t>
  </si>
  <si>
    <t>1. Check number of aerators in operation. 
2. Look for signs of poor mixing. Refer "Mixing Criteria" sheet
3. Little to no turbulence 
4. Deflocculation</t>
  </si>
  <si>
    <t>Refer "Calculator" sheet. Compare pollutant loadings to design values. Increase the no. of aerators in operation, runtime or motors with higher power rating as required.</t>
  </si>
  <si>
    <t>Blower malfunction</t>
  </si>
  <si>
    <t>Compare airflow at each blower to its performance curve(s)</t>
  </si>
  <si>
    <t>Diagnose and repair/replace malfunctioning parts. Check setting of inlet air vanes/valves</t>
  </si>
  <si>
    <t>Difficult to maintain DO at head end due to improper Organic Load distribution to tanks</t>
  </si>
  <si>
    <t>Check DO profile through the process</t>
  </si>
  <si>
    <t>If possible, change influent points from plug flow to step feed or complete mix</t>
  </si>
  <si>
    <t>Equipment not operating (check time clock first, may not be on “off” cycle)</t>
  </si>
  <si>
    <t>Air bubbles rising, chocolate color, little or no foam, 20-30% solids, DO no more than 1 ppm or 1 mg/L</t>
  </si>
  <si>
    <t>Check for power outage, fuses blown-replace. Reset circuit breaker. Motor overloaded-push reset button. Check overload heaters if reset button does not start motor. Check “V” belt drive.</t>
  </si>
  <si>
    <t>HIGH DO PROBLEMS</t>
  </si>
  <si>
    <t>Over-Aeration resulting in high DO</t>
  </si>
  <si>
    <t>1. Boiling action, violent or excessive turbulence or splashing throughout Aeration Tank. Large bubbles more than 0.5 in. in diameter
2. Check DO throughout the process, recommended in range of 1.0-3.0 mg/L throughout
3. Compare pollutant loadings to design values</t>
  </si>
  <si>
    <t>1. Lower or lengthen aeration tank weir / Raise impeller. Decrease level in basin to provide recommended maximum impeller submergence at peak flow
2. Increase aeration tankage on-line if otherwise impossible, to raise the water surface.
3. If aerators allow, periodically reduce the speed of aerator to reduce oxygen transfer but maintain mixing
4. Consider experimenting with baffles, draft tubes, etc.
5. If DO is still too high, take aerator out of service, use low speed, if two- speed aerators, or take an aeration zone out of service to maintain minimum impeller submergence
6. If aerators allow, periodically reduce the speed of aerator to reduce oxygen transfer but maintain mixing
7. If aerator is able to re-suspend solids, consider shutting off aerator(s) (not more than 1.5-2 hrs off to prevent odors). Use a combination of on time and either reduced speed time or off time throughout the day to better match aeration to the oxygen demand. For large aerators, on-off operation may be too hard on gear reducers; consider soft-start of motors if on-off operation is used.
8. Decrease the return rate as a last resort</t>
  </si>
  <si>
    <t>Rising air bubbles despite equipment in good operation</t>
  </si>
  <si>
    <t>Air bubbles rising. Light muddy color, too much foam, 5- 10% solids, murky supernatant, poor separation of liquid and solids.</t>
  </si>
  <si>
    <t>Plant is running too much. Reduce running time to minimum necessary to maintain brown color. Common during start-up period. Use commercial de-foamer if necessary.</t>
  </si>
  <si>
    <t>Too much DO in internal recycle suction, causing high DO in Anoxic zones</t>
  </si>
  <si>
    <t>1. Check DO in Aeration Zone where internal recycle starts
2. Boiling action, violent or excessive turbulence or splashing throughout Aeration Tank. Large bubbles more than 0.5 in. in diameter</t>
  </si>
  <si>
    <t>1. For activated sludge process with internal recycle, DO profile can be tapered for low DO at internal recycle suction. Adjust submergence
2. Adjust basin levels, use baffles and/or modify inlet ports to minimize turbulence and introduction of DO to anoxic zones</t>
  </si>
  <si>
    <t>Equipment will work on manual but not automatic.</t>
  </si>
  <si>
    <t>Possible failure of time clock, have electrician check. Overload may be released - push reset button.</t>
  </si>
  <si>
    <t>Too much turbulence at influent, causign significant DO and/or NO2+NO3-N in Fermentation Zones</t>
  </si>
  <si>
    <t>Boiling action, violent or excessive turbulence or splashing throughout Aeration Tank. Large bubbles more than 0.5 in. in diameter</t>
  </si>
  <si>
    <t>Adjust basin levels, use baffles and/or modify inlet ports to minimize turbulence and introduction of DO to anoxic zones</t>
  </si>
  <si>
    <t>All equipment operating properly except spray systems.</t>
  </si>
  <si>
    <t>Excessive foam</t>
  </si>
  <si>
    <t>Possible spray pump not operating-check power supply and push reset. Possible pump plugged- remove pump and clean intake. Possible clogged nozzles- clean.</t>
  </si>
  <si>
    <t>Water level too high for mechanical aerator impeller, causing Motor overload</t>
  </si>
  <si>
    <t>Check impeller submergence level, especially at peak flow</t>
  </si>
  <si>
    <t>1. Lower or lengthen aeration tank weir / Raise impeller. Decrease level in basin to provide recommended maximum impeller submergence at peak flow
2. Increase aeration tankage on-line if otherwise impossible, to raise the water surface.</t>
  </si>
  <si>
    <t>Too few blowers in operation</t>
  </si>
  <si>
    <t>1. Check number of blowers in operation and control system
2. Look for signs of poor mixing pattern or uneven surface aeration. Refer "Mixing Criteria" sheet
3. Little to no turbulence 
4. Deflocculation</t>
  </si>
  <si>
    <t>Refer "Calculator" sheet. Compare pollutant loadings to design values. Increase the no. of blowers in operation or adjust controls to bring on more blowers if automatically controlled</t>
  </si>
  <si>
    <t>Air flow too low for proper observation of blowers</t>
  </si>
  <si>
    <t>1. Compare airflow divided by no. of diffusers to acceptable low value, for your organic loading. Roughly 750 to 2000 cu ft of air required per lb BOD removed.
2. Look for signs of poor mixing pattern or uneven surface aeration. Refer "Mixing Criteria" sheet
3. Little to no turbulence 
4. Shearing of flocs</t>
  </si>
  <si>
    <t>Refer "Calculator" sheet. Compare pollutant loadings to design values. Increase airflow to provide at least minimum recommended airflow per diffuser. Increase until DO is between 1.0-3.0 mg/L in Aeration Zones.</t>
  </si>
  <si>
    <t>DETAILED CHECKS : 
Routine preventive maintenance by emptying Aeration Tanks necessary for 
A. Performing detailed inspection of the structure, valves, and control gates 
B. Cleaning out grit and settled solids
C. Maintaining equipment and piping</t>
  </si>
  <si>
    <t>Unit</t>
  </si>
  <si>
    <t>Checks for Maintenance</t>
  </si>
  <si>
    <t>Difficult to maintain DO at head end due to improper Air distribution to tanks</t>
  </si>
  <si>
    <t>Check Air distribution</t>
  </si>
  <si>
    <t>If possible, redistribute the air. If necessary, consider changing diffuser layout</t>
  </si>
  <si>
    <t>General</t>
  </si>
  <si>
    <t>1. Use gloves when examining your aerator motor. Wash hands immediately after any maintenance is completed.
2. Always turn power off at the breaker before removing the motor for inspection or service.
3. Children and pets should be kept away from the system discharge area.</t>
  </si>
  <si>
    <t>A. Consult the O&amp;M manual for the lubrication needs of the motor, gear box, shaft, and others 
B. Inspect aerators 
C. Check for unusual vibration</t>
  </si>
  <si>
    <t>Refer "Calculator" sheet. Decrease airflow to provide, at most, the maximum recommended airflow per diffuser. If diffusers allow, reduce the amount of air added by periodically reducing or shutting off air (not more than 1.5 - 2 hrs off to prevent odors). Use a combination of on time and either reduced airflow time or off time throughout the day to better match aeration to the oxygen demand</t>
  </si>
  <si>
    <t>Aeration Tank</t>
  </si>
  <si>
    <t>Have your tank pumped out at least every 4 years by a registered hauler, more frequently if needed.</t>
  </si>
  <si>
    <t>Air rate too high for proper operation of diffusers</t>
  </si>
  <si>
    <t>Compare airflow divided by number of diffusers to acceptable high value</t>
  </si>
  <si>
    <t>Motor</t>
  </si>
  <si>
    <t>Recommended that a service contract for routine maintenance and service be obtained from the local manufacturer’s representative.</t>
  </si>
  <si>
    <t>Too many blowers in operation</t>
  </si>
  <si>
    <t>Motor Operation</t>
  </si>
  <si>
    <t>Check your motor and timer routinely. Listen for the sound of the motor running. It is now recommended to run aeration motors continuously. If run on a timer, it should run no less than 30 minutes of every hour. A manufacturer’s representative can set the timer to the proper operating cycle. When the motor is off for long periods of time, it cools and allows condensation to enter the motor housing and potentially shorten the motor life.</t>
  </si>
  <si>
    <t>Compare control parameter values to setpoint(s)</t>
  </si>
  <si>
    <t>If excess air is provided under automatic operation, adjust controls to decrease airflow when setpoints are maintained</t>
  </si>
  <si>
    <t>Motor Shaft</t>
  </si>
  <si>
    <t>To inspect or clean the motor shaft, turn power off at the breaker, unplug the motor and lift it straight up to examine the aspirator shaft. Use care so the shaft is not bumped or bent. The stainless shaft and nozzle-like aspirator should be straight, free of hair, lint, and any debris. An aspirator nozzle is attached to the shaft bottom to provide air input and circulation as the motor rotates the shaft. Cleaning the shaft monthly will reduce stress placed on the motor and will help increase motor longevity.</t>
  </si>
  <si>
    <t>Air Intake</t>
  </si>
  <si>
    <r>
      <rPr>
        <rFont val="Arial"/>
        <color theme="1"/>
      </rPr>
      <t xml:space="preserve">While the motor is running and with gloves on, place a finger on the top of the air intake tube </t>
    </r>
    <r>
      <rPr>
        <rFont val="Arial"/>
        <b/>
        <color theme="1"/>
      </rPr>
      <t>(refer Image MOT1)</t>
    </r>
    <r>
      <rPr>
        <rFont val="Arial"/>
        <color theme="1"/>
      </rPr>
      <t>. You should feel suction. If there is no suction, unplug and remove the motor to check for debris inside the motor or the shaft. The shaft can be cleared by removing and cleaning the aspirator (right-hand thread) and using a water hose or a long rod to clear obstructions. If required, the shaft can be removed by loosening the 2 lowest Allen screws below the motor housing to make removing debris easier. If no debris or blockage is found, and there is still no suction, the motor may need service. If your motor has an air filter, ensure that it's cleaned or replaced periodically. Check that hose connections are secure and verify that air is reaching the tank when the pump is running</t>
    </r>
  </si>
  <si>
    <t>Filters</t>
  </si>
  <si>
    <t>Pumping and cleaning a Jet up flow filter (a large, rectangular lid, if present) is recommended every six months. Rake the gravel while hosing down the filter with a hose to break up accumulated biological growth. This liquid should be pumped back into the aeration tank.
Locate and clean the nylon mesh filter, if present (it might be located in the third compartment) on a regular basis by licensed service personnel.</t>
  </si>
  <si>
    <t>Chlorination</t>
  </si>
  <si>
    <t>If present, tablets should be placed in the tubes periodically. Use only calcium hypochlorite tablets designed for sewage treatment, not pool chlorine tablets.</t>
  </si>
  <si>
    <t>Risers</t>
  </si>
  <si>
    <t>All compartments should have watertight risers properly installed above the ground surface to prevent soil and surface water from entering the system. Risers will allow your system to be easily accessed for service and inspections. Your system will have to be pumped more frequently if soil is allowed to enter. Soil influx can damage the aerator motor, clog the filter, or even create a blockage in the effluent line.</t>
  </si>
  <si>
    <t>Access</t>
  </si>
  <si>
    <t>Any shrubbery and/or vegetation around the aerobic system must be maintained to accommodate routine system maintenance and inspection.</t>
  </si>
  <si>
    <r>
      <rPr>
        <rFont val="Arial"/>
        <color theme="1"/>
      </rPr>
      <t xml:space="preserve">Have your tank pumped out at least every 4 years by a registered hauler, more frequently if needed. 
</t>
    </r>
    <r>
      <rPr>
        <rFont val="Arial"/>
        <color theme="1"/>
        <u/>
      </rPr>
      <t>PRECAUTIONS</t>
    </r>
    <r>
      <rPr>
        <rFont val="Arial"/>
        <color theme="1"/>
      </rPr>
      <t xml:space="preserve">: </t>
    </r>
    <r>
      <rPr>
        <rFont val="Arial"/>
        <b/>
        <color theme="1"/>
      </rPr>
      <t xml:space="preserve">
</t>
    </r>
    <r>
      <rPr>
        <rFont val="Arial"/>
        <color theme="1"/>
      </rPr>
      <t>1. Use gloves when examining your aerator motor. Wash hands immediately after any maintenance is completed.
2. Always turn power off at the breaker before removing the motor for inspection or service.
3. Children and pets should be kept away from the system discharge area.</t>
    </r>
  </si>
  <si>
    <t>Discharge</t>
  </si>
  <si>
    <t>1. Aerobic systems that discharge to surface water drainage must have outlets that are accessible for inspection. The outlet pipe needs to flow freely. Ideally, there should be 6 inches between the bottom of the discharge pipe and the receiving waterway. The receiving waterway should be maintained so that discharged water keeps moving away.
2. Aerobic systems with leaching typically have two sets of leach lines. A square (sometimes round, plastic) distribution box provides switching between each set of leach lines using a PVC 90° elbow (or a paddle on plastic risers). The elbow should be switched every six months. This allows one set of leach lines to rest while the other accepts the system effluent.</t>
  </si>
  <si>
    <t>Centrifugal Blowers</t>
  </si>
  <si>
    <t>1. Unusual noise or vibrations
2. Lubrication of blowers and motors
3. Check and lubricate couplings
4. Check discharge pressure and temperature 
5. Check filters and obstructions
6. Check amperage meter</t>
  </si>
  <si>
    <t>Postive Displacement Blowers</t>
  </si>
  <si>
    <t>1. Unusual noise or vibrations
2. Lubrication of blowers and motors
3. Check and lubricate couplings
4. Check and exercise pressure relief valve
5. Check discharge pressure and temperature 
6. Check filters and obstructions
7. Check blower seals
8. Check drive belt alignment and tension</t>
  </si>
  <si>
    <t>Coarse Bubble Diffusers</t>
  </si>
  <si>
    <t>1. Aeration basins should be drained annually
2. Remove excess settled solids that have accumulated 
3. Clean diffusers and piping assemblies as needed
4. Inspect all hardware and components
5. Repair, replace, and tighten components as needed 
6. Refill aeration tank following startup procedures</t>
  </si>
  <si>
    <t>Fine Bubble Diffusers</t>
  </si>
  <si>
    <t>1. Aeration basins should be drained annually
2. Drain aeration basin and leave air on
3. Remove excess settled solids that have accumulated
4. With air on, hose off and wash each diffuser with clean water
5. With air off, if needed scrub each diffuser with either a soft bristle brush or rag 6. Turn air back on and repeat hosing procedure for each diffuser
7. Inspect all hardware and components
8. Repair, replace, or tighten components as needed
9. Refill aeration tank following startup procedures</t>
  </si>
  <si>
    <t>PARAMETER</t>
  </si>
  <si>
    <t>INCOMPLETE MIXING - Indicators / Design Characteristics</t>
  </si>
  <si>
    <t>THOROUGH MIXING - Indicators / Design Characteristics</t>
  </si>
  <si>
    <t>Reactor Shape</t>
  </si>
  <si>
    <t>1. Very long length to width ratio (greater than 4:1) with inlet at one end (width side) and outlet at opposite end.</t>
  </si>
  <si>
    <t>1. Circular Tank - No criteria, or</t>
  </si>
  <si>
    <t>2. System is designed or operated with biomass separation within the aeration system.</t>
  </si>
  <si>
    <t>2. Rectangular Tank - Small length/width ratio (3:1 or less).</t>
  </si>
  <si>
    <t>Mixing</t>
  </si>
  <si>
    <t>1. Entering recycled biomass and wastewater are not quickly dispersed. Indications of poor dispersion may be:</t>
  </si>
  <si>
    <t>1. Unit does not have baffles or partitions.</t>
  </si>
  <si>
    <t>- visual indication of solids settling</t>
  </si>
  <si>
    <t>2. Jet aeration system - Pumping rate should be &gt; 5 times the entering wastewater and recycle flow rate.</t>
  </si>
  <si>
    <t>- plume with visual differences in color or solids level</t>
  </si>
  <si>
    <t>3. Diffused system air flow rate &gt; 10 scfm/1000 cu. ft.</t>
  </si>
  <si>
    <t>2. The unit has baffles or partitions within the tank, or aeration units are operated in series.</t>
  </si>
  <si>
    <t>3. Mixing does not occur between inlet and outlet.</t>
  </si>
  <si>
    <t>Aeration Equipment</t>
  </si>
  <si>
    <t>1. Rolling or tapered aeration</t>
  </si>
  <si>
    <r>
      <rPr>
        <rFont val="Arial"/>
        <color theme="1"/>
        <sz val="10.0"/>
      </rPr>
      <t xml:space="preserve">1. Diffused aeration - Well operated (unplugged) subsurface fine bubble diffused (Porous Diffusers) system such as plate, dome, disc, tube. </t>
    </r>
    <r>
      <rPr>
        <rFont val="Arial"/>
        <b/>
        <color theme="1"/>
        <sz val="10.0"/>
      </rPr>
      <t>Depth</t>
    </r>
    <r>
      <rPr>
        <rFont val="Arial"/>
        <color theme="1"/>
        <sz val="10.0"/>
      </rPr>
      <t xml:space="preserve"> : 15 ft minimum. </t>
    </r>
    <r>
      <rPr>
        <rFont val="Arial"/>
        <b/>
        <color theme="1"/>
        <sz val="10.0"/>
      </rPr>
      <t>Location</t>
    </r>
    <r>
      <rPr>
        <rFont val="Arial"/>
        <color theme="1"/>
        <sz val="10.0"/>
      </rPr>
      <t xml:space="preserve"> : Full Floor Coverage (indicated by uniform bubble distribution on surface of basin)</t>
    </r>
  </si>
  <si>
    <t>2. Aerators (submerged or surface aerators) located such that there are zones that are not mixed (i.e., relatively stagnant or dead zones)</t>
  </si>
  <si>
    <r>
      <rPr>
        <rFont val="Arial"/>
        <color theme="1"/>
        <sz val="10.0"/>
      </rPr>
      <t xml:space="preserve">2. Jet aeration system - per manufacturers criteria, with subsurface flow only. </t>
    </r>
    <r>
      <rPr>
        <rFont val="Arial"/>
        <b/>
        <color theme="1"/>
        <sz val="10.0"/>
      </rPr>
      <t>Depth</t>
    </r>
    <r>
      <rPr>
        <rFont val="Arial"/>
        <color theme="1"/>
        <sz val="10.0"/>
      </rPr>
      <t xml:space="preserve"> : used in deep tanks (25 ft or greater). </t>
    </r>
    <r>
      <rPr>
        <rFont val="Arial"/>
        <b/>
        <color theme="1"/>
        <sz val="10.0"/>
      </rPr>
      <t>Location</t>
    </r>
    <r>
      <rPr>
        <rFont val="Arial"/>
        <color theme="1"/>
        <sz val="10.0"/>
      </rPr>
      <t xml:space="preserve"> : Liquid pumping with air diffusion occurs at bottom of tank.</t>
    </r>
  </si>
  <si>
    <t>3. Significant distance between aeration equipment such that solids settling results</t>
  </si>
  <si>
    <t>Inlet</t>
  </si>
  <si>
    <t>1. Wastewater inlet is located relative to the surface aerator such that the entering wastewater is exposed to the air before significant mixing.</t>
  </si>
  <si>
    <t>1. Multiple inlet points or inlet located near point of significant mixing.</t>
  </si>
  <si>
    <t>2. Inlet located such that wastewater enters the unit at a relatively stagnant zone.</t>
  </si>
  <si>
    <t>2. Submerged inlet</t>
  </si>
  <si>
    <t>3. Inlet located above the surface, at the surface, or near the surface.</t>
  </si>
  <si>
    <t>Effluent Outlet</t>
  </si>
  <si>
    <t>Located such that short circuiting occurs between inlet and outlet.</t>
  </si>
  <si>
    <t>Located such that short circuiting does not occur between inlet and outlet.</t>
  </si>
  <si>
    <t>SOURCE :</t>
  </si>
  <si>
    <t>"Technical Support Document for Evaluation of Thoroughly Mixed Biological Treatment Units" - EPA</t>
  </si>
  <si>
    <t>https://www3.epa.gov/ttn/atw/nsps/socww/mulmix5.pdf</t>
  </si>
  <si>
    <t>1. A thoroughly mixed treatment unit is a unit that is designed and operated to approach or achieve uniform biomass distribution and organic compound concentration throughout the aeration unit by quickly dispersing the recycled biomass and the wastewater entering the unit.</t>
  </si>
  <si>
    <t>2. The EPA=s intent is that this definition reflect the modeling that was used, in part, as the basis for the decision (1) to exempt certain systems treating list 1 compounds from the requirement to determine the fraction biodegraded (Fbio) and (2) to allow the easier procedures for determining Fbio for systems meeting the definition but treating list 1 and 2 compounds.</t>
  </si>
  <si>
    <t>3. IMPORTANT FEATURES : biomass is recycled, the biomass approaches or achieves a state of being suspended uniformly throughout each aeration unit the biomass concentration is not less than 1 kilogram/cubic meter, and that influent materials are rapidly dispersed throughout the unit. key design criteria for ensuring that the list 1 compounds are efficiently biodegraded in the biological treatment unit prior to the opportunity for significant volatilization to the atmosphere</t>
  </si>
  <si>
    <t>4. Consequently, the criteria and procedures provided in this document for determining whether a biological treatment unit can be considered a “thoroughly mixed treatment unit” are based on evaluating the rate of mixing relative to the rate of stripping or volatilization.</t>
  </si>
  <si>
    <t xml:space="preserve">5. Practically, small insignificant Dead/Stagnant zones are expected, but there is enough mixing to support suspension, so no accumulation on sides or floor.  </t>
  </si>
  <si>
    <t>6. INSUFFICIENT MIX =&gt; BIOMASS Accumulates on floor - SIGNS : Biomass layers, Low DO, Anaerobic decay at base of floor, less Biomass generation than is theoretically expected.</t>
  </si>
  <si>
    <t>DO Requirements</t>
  </si>
  <si>
    <t>SYSTEM</t>
  </si>
  <si>
    <t>Air per BOD</t>
  </si>
  <si>
    <t>Air per Lin feet</t>
  </si>
  <si>
    <t>DO reqd.</t>
  </si>
  <si>
    <t>SOTE</t>
  </si>
  <si>
    <t>SOTR 
(lbs O2/hp hr)</t>
  </si>
  <si>
    <t>AOTR 
(lbs O2/hp hr)</t>
  </si>
  <si>
    <t>1. Each bug needs 0.1-0.3 mg/L</t>
  </si>
  <si>
    <t>Diffused Aeration</t>
  </si>
  <si>
    <t>Min 750 to 2000 cu ft/lb BOD removed</t>
  </si>
  <si>
    <t>Min. 3 scfm/lin. ft.</t>
  </si>
  <si>
    <t>10-40% in clean water at 15 ft submergence
COARSE : 9-13%
FINE : 13-40%</t>
  </si>
  <si>
    <t>COARSE : 1 - 2
FINE : 1.3 - 2.5</t>
  </si>
  <si>
    <t>COARSE : 0.2-0.5 in. dia
FINE : 0.04-0.1 in. dia</t>
  </si>
  <si>
    <t>2. if &lt;2 mg/L then bugs outside floc consume. Bugs inside die, floc breaks</t>
  </si>
  <si>
    <t>COARSE: &lt;1% /ft submg</t>
  </si>
  <si>
    <t>3. F/M 1 =&gt; DO 5 mg/L</t>
  </si>
  <si>
    <t>JET : 1-2% / ft submg</t>
  </si>
  <si>
    <t>4. Often F/M &lt;= 0.5 =&gt; DO 2 mg/L fine, but if F/M &gt; 0.4 =&gt; DO 4 mg/L</t>
  </si>
  <si>
    <t>FINE : 2% / ft submg</t>
  </si>
  <si>
    <t>BOD removal max at 1, NITF max at 2...but DO needs to reach flocs</t>
  </si>
  <si>
    <t>Surface Aeration</t>
  </si>
  <si>
    <t>1.0 - 1.5 lbs O2 per lb BOD removed</t>
  </si>
  <si>
    <t>1.8 - 2.5 lbs O2/ hp hr</t>
  </si>
  <si>
    <t>5. At High F/M, high OUR =&gt; MLSS inc helps remove low DO filaments. Inc DO also concurrently. RAS inc also</t>
  </si>
  <si>
    <t>6. Common experience - takes higher DO to control low DO bulk than to prevent it. Chlorintn also short term option</t>
  </si>
  <si>
    <t>7. Step feeding of wastes helps solve low DO blk, but can lead to low F/M blk</t>
  </si>
  <si>
    <t>8. Higher aeration causes more foam due to physical action of more air present. Inc DO can also lead to DN problem.</t>
  </si>
  <si>
    <t>Recommended range : 1.0 - 3.0 mg/L</t>
  </si>
  <si>
    <t>Oxygen Requirement in Theory</t>
  </si>
  <si>
    <t>per lb COD : 0.9 - 1.3 lbs O2</t>
  </si>
  <si>
    <t>per lb TKN : 4.57 lbs O2</t>
  </si>
  <si>
    <t>if all of the cells can be oxidized completely, the ultimate BOD of the cells is equal to 1.42 times the concentration of cells.</t>
  </si>
  <si>
    <t>The air demand, given in terms of standard cubic feet per minute (scfm), is calculated by accounting for the specific weight of air at standard temperature, as well as the mass fraction of oxygen in air.</t>
  </si>
  <si>
    <t>Additionally, the Standard Oxygen Transfer Efficiency (SOTE) of the aeration equipment must be applied to the air demand calculation</t>
  </si>
  <si>
    <t>Air demand calculations must also account for the quantity of air required to maintain biomass in suspension.</t>
  </si>
  <si>
    <t>The volume of air required to provide sufficient mixing depends on a variety of factors, including the tank geometry and the biomass concentration</t>
  </si>
  <si>
    <t>The tank geometry is a key factor to consider because typically the back of the aeration tank receives a limited amount of mixing, especially if a tapered grid system is utilized</t>
  </si>
  <si>
    <t>In suspended growth aeration systems, the air demand for mixing is typically less than that required for oxygen transfer to support biological processes.</t>
  </si>
  <si>
    <t>In fixed growth and Integrated Fixed-Film Activated Sludge (IFAS) biological processes, mixing requirements often exceed process aeration requirements due to the fixed or floating media added to the Mixed Liquor Suspended Solids (MLSS) that promotes additional biological growth. However, the air demand requirements for mixing should still be compared with the air demands for oxygen transfer across all of the zones of an aeration tank to ensure that sufficient mixing air is provided.</t>
  </si>
  <si>
    <r>
      <rPr>
        <rFont val="Arial"/>
        <b/>
        <color theme="1"/>
      </rPr>
      <t xml:space="preserve">Blower Maintenance
</t>
    </r>
    <r>
      <rPr>
        <rFont val="Arial"/>
        <color theme="1"/>
      </rPr>
      <t>Whether centrifugal or positive displacement, blowers are difficult and expensive to repair, largely due to the fact that they operate at high speed and are machined to very close tolerance. Wastewater treatment plant shops are seldom equipped to perform major repairs on this type of equipment, and usually contract for this work to be done. Heat, vibration, and dust are often causes of premature wear and blower failure. Improperly maintained air filters which results in suction side air restrictions, or leaks which allow dust to enter the blower are damaging to either type of blower. Lubrication and other preventive maintenance must be done in accordance with the manufacturer’s specifications.</t>
    </r>
  </si>
  <si>
    <r>
      <rPr>
        <rFont val="Arial"/>
        <b/>
        <color theme="1"/>
      </rPr>
      <t xml:space="preserve">Piping
</t>
    </r>
    <r>
      <rPr>
        <rFont val="Arial"/>
        <color theme="1"/>
      </rPr>
      <t>Piping which connects the blower to the air diffusion system at the aeration tank may be either a simple drop pipe extending from the deck of the aeration tank to the floor of the tank, or may be a swing type system. The advantage of the swing system is that hinges in the piping allow the operator to retrieve a bank of aerators out of the tank using a crane on the deck of the tank when diffuser maintenance is needed. Needless to say, this operation requires an adequate crew and careful observance of all safety considerations.</t>
    </r>
  </si>
  <si>
    <t>The most efficient system is a combination of fine bubble diffusers, full floor coverage, diffuser placement, and an annual cleaning requirement.</t>
  </si>
  <si>
    <t>A coarse bubble system placed in full floor coverage has low maintenance requirements but OTE is approximately half of a fine bubble diffuser.</t>
  </si>
  <si>
    <t>A fine bubble diffuser system used in non-full floor coverage placement (side roll or center roll) is not any more efficient than a typical coarse bubble diffuser, but may require more maintenance than the coarse bubble diffuser.</t>
  </si>
  <si>
    <t>SIDE ROLL, MID ROLL, DUAL MID ROLL, FULL FLOOR COVERAGE Configurations, in increasing order of Efficiency</t>
  </si>
  <si>
    <t>The most efficient aeration system is a combination of fine bubble and high OTE with the diffusers placed in full floor coverage with a mid-range system pressure (6 to 8 psi) and annual cleaning. A coarse bubble diffuser system placed in full floor coverage has low maintenance requirements but a much lower OTE (about half of fine bubble diffusers). Fine bubble diffusers used in a side roll or center roll placement are not any more efficient than a similarly placed coarse bubble diffuser and may require more maintenance.</t>
  </si>
  <si>
    <t>All maintenance and repairs should be documented. Consult the O&amp;M manual for all maintenance needs.</t>
  </si>
  <si>
    <t>WRRFs may also draw foul air from the headspace of process tanks or from odorous buildings such as preliminary treatment facilities for odor control, and use that air for aeration of biological processes. Odorous air, however, contains compounds that could potentially lead to corrosion of aeration equipment, and if odorous air is used for aeration, careful consideration for compatible materials must be included in the selection and design of aeration equipment.</t>
  </si>
  <si>
    <t>DO CONTROL METHODS</t>
  </si>
  <si>
    <t>DIFFUSED AERATION</t>
  </si>
  <si>
    <t>SURFACE AERATION</t>
  </si>
  <si>
    <t>Controlling air valves</t>
  </si>
  <si>
    <t>Increasing or decreasing the aerator speed by using VFDs</t>
  </si>
  <si>
    <t xml:space="preserve">Controlling the blower output such as using variable frequency drives (VFD) </t>
  </si>
  <si>
    <t xml:space="preserve">Increasing or decreasing the aerator submergence by adjusting the tank water level </t>
  </si>
  <si>
    <t>Increasing or decreasing the number of blowers in operation</t>
  </si>
  <si>
    <t>Increasing or decreasing the number of aerators in operation</t>
  </si>
  <si>
    <t>Cleaning or replacing diffusers</t>
  </si>
  <si>
    <t>Process control (ex: MLSS levels)</t>
  </si>
  <si>
    <t>Changing the number of diffusers</t>
  </si>
  <si>
    <t>[NOTE: Throttling air valves with a positive displacement blower will not reduce air flow output but will raise operating pressure of the blower with high electric cost as the result. Throttling an inlet air valve on a centrifugal blower will reduce air discharge flow.]</t>
  </si>
  <si>
    <t>Sampling and in-line testing of various pollutants of interest (such as pH, ammonia, orthophosphorus, etc) allows for a rapid assessment of the treatment occuring in various stages of the plant and troubleshooting any treatment problems or variability. Pacing blower output from in-line aeration basin DO sensors provides for greater energy efficiency by deliveringoxygenbasedontheincomingwasteload. RASflowratescanbeadjusted based on influent flow rates to help maintain a more consistent sludge blanket in the clarifiers and more consistant MLSS concentrations in the aeration basin. The use of and placement of in-line monitoring probes and sensors is dependent upon treatment
objectives.</t>
  </si>
  <si>
    <t>A. Dissolved oxygen (DO) meter</t>
  </si>
  <si>
    <t>A DO meter is used to monitor aeration basin dissolved oxygen levels. Many plants have in-line DO sensors to automatically control DO levels. If manual measurements are made, they should be taken in each aeration basin using a field DO probe.</t>
  </si>
  <si>
    <t>FACTORS AFFECTING DO</t>
  </si>
  <si>
    <t>An increase in influent BOD (food) will increase oxygen demand and more aeration may be required to treat the incoming BOD</t>
  </si>
  <si>
    <t>An increase in wastewater temperature lowers the solubility of oxygen in water thus requiring more air. This usually happens during summer operations.</t>
  </si>
  <si>
    <t>A loss of viable bacteria in the aeration basin may result in higher than normal DO because dead bacteria will be unable to consume the oxygen supplied. The source of the toxicity should be identified and eliminated and the mixed liquor may need to be wasted from the planttoremovethedeadbacteria. Seedingmaybenecessary.</t>
  </si>
  <si>
    <t>The effluent end of the aeration tank should have a dissolved oxygen level of at least 1.0 mg/L. DO in the aeration tank should be checked every two hours until a pattern is established.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</si>
</sst>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5">
    <font>
      <sz val="10.0"/>
      <color rgb="FF000000"/>
      <name val="Arial"/>
      <scheme val="minor"/>
    </font>
    <font>
      <b/>
      <color theme="1"/>
      <name val="Arial"/>
      <scheme val="minor"/>
    </font>
    <font/>
    <font>
      <color theme="1"/>
      <name val="Arial"/>
      <scheme val="minor"/>
    </font>
    <font>
      <color rgb="FF000000"/>
      <name val="Roboto"/>
    </font>
    <font>
      <u/>
      <color rgb="FF0000FF"/>
    </font>
    <font>
      <u/>
      <color rgb="FF0000FF"/>
    </font>
    <font>
      <b/>
      <color rgb="FF000000"/>
      <name val="Arial"/>
    </font>
    <font>
      <b/>
      <i/>
      <color theme="1"/>
      <name val="Arial"/>
      <scheme val="minor"/>
    </font>
    <font>
      <b/>
      <sz val="10.0"/>
      <color rgb="FF000000"/>
      <name val="Arial"/>
    </font>
    <font>
      <b/>
      <sz val="10.0"/>
      <color theme="1"/>
      <name val="Arial"/>
    </font>
    <font>
      <b/>
      <color rgb="FFFFFFFF"/>
      <name val="Arial"/>
      <scheme val="minor"/>
    </font>
    <font>
      <sz val="10.0"/>
      <color theme="1"/>
      <name val="Arial"/>
      <scheme val="minor"/>
    </font>
    <font>
      <color rgb="FF000000"/>
      <name val="Arial"/>
    </font>
    <font>
      <sz val="10.0"/>
      <color rgb="FF000000"/>
      <name val="Arial"/>
    </font>
    <font>
      <sz val="10.0"/>
      <color theme="1"/>
      <name val="Arial"/>
    </font>
    <font>
      <u/>
      <sz val="10.0"/>
      <color rgb="FF0000FF"/>
      <name val="Arial"/>
    </font>
    <font>
      <b/>
      <i/>
      <sz val="10.0"/>
      <color rgb="FF000000"/>
      <name val="Helvetica"/>
    </font>
    <font>
      <sz val="10.0"/>
      <color rgb="FF000000"/>
      <name val="Helvetica"/>
    </font>
    <font>
      <sz val="9.0"/>
      <color rgb="FF000000"/>
      <name val="Helvetica"/>
    </font>
    <font>
      <sz val="9.0"/>
      <color rgb="FF333333"/>
      <name val="Helvetica"/>
    </font>
    <font>
      <b/>
      <i/>
      <sz val="9.0"/>
      <color rgb="FF000000"/>
      <name val="CenturyGothic"/>
    </font>
    <font>
      <b/>
      <i/>
      <sz val="9.0"/>
      <color rgb="FF000000"/>
      <name val="Arial"/>
    </font>
    <font>
      <b/>
      <sz val="10.0"/>
      <color theme="1"/>
      <name val="Arial"/>
      <scheme val="minor"/>
    </font>
    <font>
      <sz val="11.0"/>
      <color rgb="FF000000"/>
      <name val="ArialMT"/>
    </font>
  </fonts>
  <fills count="7">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rgb="FFFFFFFF"/>
        <bgColor rgb="FFFFFFFF"/>
      </patternFill>
    </fill>
    <fill>
      <patternFill patternType="solid">
        <fgColor rgb="FFFF0000"/>
        <bgColor rgb="FFFF0000"/>
      </patternFill>
    </fill>
    <fill>
      <patternFill patternType="solid">
        <fgColor rgb="FF0000FF"/>
        <bgColor rgb="FF0000FF"/>
      </patternFill>
    </fill>
  </fills>
  <borders count="20">
    <border/>
    <border>
      <right style="medium">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bottom style="thin">
        <color rgb="FF000000"/>
      </bottom>
    </border>
    <border>
      <right style="medium">
        <color rgb="FF000000"/>
      </right>
      <bottom style="thin">
        <color rgb="FF000000"/>
      </bottom>
    </border>
    <border>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0" fontId="2" numFmtId="0" xfId="0" applyBorder="1" applyFont="1"/>
    <xf borderId="0" fillId="3" fontId="1" numFmtId="0" xfId="0" applyAlignment="1" applyFill="1" applyFont="1">
      <alignment horizontal="center" readingOrder="0"/>
    </xf>
    <xf borderId="0" fillId="0" fontId="1" numFmtId="0" xfId="0" applyAlignment="1" applyFont="1">
      <alignment readingOrder="0"/>
    </xf>
    <xf borderId="1" fillId="0" fontId="3" numFmtId="0" xfId="0" applyBorder="1" applyFont="1"/>
    <xf borderId="0" fillId="0" fontId="3" numFmtId="0" xfId="0" applyAlignment="1" applyFont="1">
      <alignment readingOrder="0"/>
    </xf>
    <xf borderId="1" fillId="0" fontId="3" numFmtId="0" xfId="0" applyAlignment="1" applyBorder="1" applyFont="1">
      <alignment readingOrder="0"/>
    </xf>
    <xf borderId="1" fillId="0" fontId="3" numFmtId="0" xfId="0" applyAlignment="1" applyBorder="1" applyFont="1">
      <alignment horizontal="left" readingOrder="0"/>
    </xf>
    <xf borderId="0" fillId="4" fontId="4" numFmtId="0" xfId="0" applyAlignment="1" applyFill="1" applyFont="1">
      <alignment readingOrder="0"/>
    </xf>
    <xf borderId="1" fillId="0" fontId="1" numFmtId="0" xfId="0" applyAlignment="1" applyBorder="1" applyFont="1">
      <alignment readingOrder="0"/>
    </xf>
    <xf borderId="1" fillId="0" fontId="5" numFmtId="0" xfId="0" applyAlignment="1" applyBorder="1" applyFont="1">
      <alignment readingOrder="0" shrinkToFit="0" wrapText="0"/>
    </xf>
    <xf borderId="1" fillId="0" fontId="6" numFmtId="0" xfId="0" applyAlignment="1" applyBorder="1" applyFont="1">
      <alignment readingOrder="0"/>
    </xf>
    <xf borderId="0" fillId="0" fontId="3" numFmtId="0" xfId="0" applyFont="1"/>
    <xf borderId="2" fillId="0" fontId="3" numFmtId="0" xfId="0" applyAlignment="1" applyBorder="1" applyFont="1">
      <alignment readingOrder="0"/>
    </xf>
    <xf borderId="3" fillId="0" fontId="3" numFmtId="0" xfId="0" applyAlignment="1" applyBorder="1" applyFont="1">
      <alignment horizontal="center" readingOrder="0"/>
    </xf>
    <xf borderId="4" fillId="0" fontId="3" numFmtId="0" xfId="0" applyAlignment="1" applyBorder="1" applyFont="1">
      <alignment horizontal="center" readingOrder="0"/>
    </xf>
    <xf borderId="0" fillId="0" fontId="3" numFmtId="0" xfId="0" applyAlignment="1" applyFont="1">
      <alignment horizontal="left" readingOrder="0"/>
    </xf>
    <xf borderId="0" fillId="0" fontId="3" numFmtId="164" xfId="0" applyAlignment="1" applyFont="1" applyNumberFormat="1">
      <alignment readingOrder="0"/>
    </xf>
    <xf borderId="0" fillId="0" fontId="3" numFmtId="9" xfId="0" applyAlignment="1" applyFont="1" applyNumberFormat="1">
      <alignment readingOrder="0"/>
    </xf>
    <xf borderId="1" fillId="0" fontId="3" numFmtId="0" xfId="0" applyAlignment="1" applyBorder="1" applyFont="1">
      <alignment horizontal="left"/>
    </xf>
    <xf borderId="2" fillId="0" fontId="1" numFmtId="0" xfId="0" applyAlignment="1" applyBorder="1" applyFont="1">
      <alignment readingOrder="0"/>
    </xf>
    <xf borderId="3" fillId="0" fontId="1" numFmtId="0" xfId="0" applyBorder="1" applyFont="1"/>
    <xf borderId="4" fillId="0" fontId="1" numFmtId="0" xfId="0" applyAlignment="1" applyBorder="1" applyFont="1">
      <alignment readingOrder="0"/>
    </xf>
    <xf borderId="5" fillId="0" fontId="1" numFmtId="0" xfId="0" applyAlignment="1" applyBorder="1" applyFont="1">
      <alignment readingOrder="0"/>
    </xf>
    <xf borderId="6" fillId="0" fontId="1" numFmtId="0" xfId="0" applyBorder="1" applyFont="1"/>
    <xf borderId="7" fillId="0" fontId="1" numFmtId="0" xfId="0" applyBorder="1" applyFont="1"/>
    <xf borderId="3" fillId="0" fontId="1" numFmtId="0" xfId="0" applyAlignment="1" applyBorder="1" applyFont="1">
      <alignment readingOrder="0"/>
    </xf>
    <xf borderId="4" fillId="0" fontId="1" numFmtId="0" xfId="0" applyAlignment="1" applyBorder="1" applyFont="1">
      <alignment horizontal="left" readingOrder="0"/>
    </xf>
    <xf borderId="6" fillId="0" fontId="1" numFmtId="0" xfId="0" applyAlignment="1" applyBorder="1" applyFont="1">
      <alignment readingOrder="0"/>
    </xf>
    <xf borderId="8" fillId="0" fontId="1" numFmtId="0" xfId="0" applyAlignment="1" applyBorder="1" applyFont="1">
      <alignment readingOrder="0"/>
    </xf>
    <xf borderId="8" fillId="0" fontId="1" numFmtId="0" xfId="0" applyBorder="1" applyFont="1"/>
    <xf borderId="9" fillId="0" fontId="1" numFmtId="0" xfId="0" applyAlignment="1" applyBorder="1" applyFont="1">
      <alignment horizontal="left" readingOrder="0"/>
    </xf>
    <xf borderId="2" fillId="4" fontId="7" numFmtId="0" xfId="0" applyAlignment="1" applyBorder="1" applyFont="1">
      <alignment horizontal="left" readingOrder="0"/>
    </xf>
    <xf borderId="4" fillId="0" fontId="1" numFmtId="0" xfId="0" applyBorder="1" applyFont="1"/>
    <xf borderId="0" fillId="0" fontId="3" numFmtId="0" xfId="0" applyAlignment="1" applyFont="1">
      <alignment readingOrder="0" shrinkToFit="0" wrapText="1"/>
    </xf>
    <xf borderId="0" fillId="0" fontId="8" numFmtId="0" xfId="0" applyAlignment="1" applyFont="1">
      <alignment readingOrder="0"/>
    </xf>
    <xf borderId="0" fillId="0" fontId="8" numFmtId="0" xfId="0" applyAlignment="1" applyFont="1">
      <alignment readingOrder="0" shrinkToFit="0" wrapText="0"/>
    </xf>
    <xf borderId="3" fillId="0" fontId="3" numFmtId="0" xfId="0" applyAlignment="1" applyBorder="1" applyFont="1">
      <alignment readingOrder="0"/>
    </xf>
    <xf borderId="3" fillId="0" fontId="3" numFmtId="0" xfId="0" applyBorder="1" applyFont="1"/>
    <xf borderId="4" fillId="0" fontId="3" numFmtId="0" xfId="0" applyAlignment="1" applyBorder="1" applyFont="1">
      <alignment horizontal="left" readingOrder="0"/>
    </xf>
    <xf borderId="10" fillId="2" fontId="9" numFmtId="0" xfId="0" applyAlignment="1" applyBorder="1" applyFont="1">
      <alignment horizontal="center" readingOrder="0" shrinkToFit="0" vertical="center" wrapText="1"/>
    </xf>
    <xf borderId="10" fillId="0" fontId="2" numFmtId="0" xfId="0" applyBorder="1" applyFont="1"/>
    <xf borderId="11" fillId="0" fontId="2" numFmtId="0" xfId="0" applyBorder="1" applyFont="1"/>
    <xf borderId="12" fillId="3" fontId="10" numFmtId="0" xfId="0" applyAlignment="1" applyBorder="1" applyFont="1">
      <alignment horizontal="center" readingOrder="0" shrinkToFit="0" vertical="center" wrapText="1"/>
    </xf>
    <xf borderId="12" fillId="0" fontId="2" numFmtId="0" xfId="0" applyBorder="1" applyFont="1"/>
    <xf borderId="0" fillId="2" fontId="9" numFmtId="0" xfId="0" applyAlignment="1" applyFont="1">
      <alignment horizontal="center" readingOrder="0" shrinkToFit="0" vertical="center" wrapText="1"/>
    </xf>
    <xf borderId="3" fillId="2" fontId="9"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2" fontId="1" numFmtId="0" xfId="0" applyAlignment="1" applyBorder="1" applyFont="1">
      <alignment horizontal="center" readingOrder="0" shrinkToFit="0" vertical="center" wrapText="1"/>
    </xf>
    <xf borderId="10" fillId="3" fontId="1" numFmtId="0" xfId="0" applyAlignment="1" applyBorder="1" applyFont="1">
      <alignment horizontal="center" readingOrder="0" shrinkToFit="0" vertical="center" wrapText="1"/>
    </xf>
    <xf borderId="13" fillId="3" fontId="1" numFmtId="0" xfId="0" applyAlignment="1" applyBorder="1" applyFont="1">
      <alignment horizontal="center" readingOrder="0" shrinkToFit="0" vertical="center" wrapText="1"/>
    </xf>
    <xf borderId="0" fillId="5" fontId="11" numFmtId="0" xfId="0" applyAlignment="1" applyFill="1" applyFont="1">
      <alignment horizontal="center" readingOrder="0" textRotation="255" vertical="top"/>
    </xf>
    <xf borderId="0" fillId="0" fontId="3" numFmtId="0" xfId="0" applyAlignment="1" applyFont="1">
      <alignment horizontal="center" readingOrder="0" vertical="center"/>
    </xf>
    <xf borderId="0" fillId="0" fontId="3" numFmtId="0" xfId="0" applyAlignment="1" applyFont="1">
      <alignment readingOrder="0" shrinkToFit="0" vertical="center" wrapText="1"/>
    </xf>
    <xf borderId="1" fillId="0" fontId="3" numFmtId="0" xfId="0" applyAlignment="1" applyBorder="1" applyFont="1">
      <alignment readingOrder="0" shrinkToFit="0" vertical="center" wrapText="1"/>
    </xf>
    <xf borderId="0" fillId="5" fontId="11" numFmtId="0" xfId="0" applyAlignment="1" applyFont="1">
      <alignment horizontal="center" readingOrder="0" shrinkToFit="0" textRotation="255" vertical="top" wrapText="1"/>
    </xf>
    <xf borderId="0" fillId="0" fontId="3" numFmtId="0" xfId="0" applyAlignment="1" applyFont="1">
      <alignment horizontal="center" readingOrder="0" shrinkToFit="0" vertical="center" wrapText="1"/>
    </xf>
    <xf borderId="14" fillId="0" fontId="3" numFmtId="0" xfId="0" applyAlignment="1" applyBorder="1" applyFont="1">
      <alignment readingOrder="0" shrinkToFit="0" vertical="center" wrapText="1"/>
    </xf>
    <xf borderId="0" fillId="0" fontId="3" numFmtId="0" xfId="0" applyAlignment="1" applyFont="1">
      <alignment readingOrder="0" vertical="center"/>
    </xf>
    <xf borderId="14" fillId="0" fontId="3" numFmtId="0" xfId="0" applyAlignment="1" applyBorder="1" applyFont="1">
      <alignment readingOrder="0" vertical="center"/>
    </xf>
    <xf borderId="0" fillId="6" fontId="11" numFmtId="0" xfId="0" applyAlignment="1" applyFill="1" applyFont="1">
      <alignment readingOrder="0" textRotation="255" vertical="top"/>
    </xf>
    <xf borderId="0" fillId="0" fontId="12" numFmtId="0" xfId="0" applyAlignment="1" applyFont="1">
      <alignment horizontal="left" readingOrder="0" shrinkToFit="0" vertical="center" wrapText="1"/>
    </xf>
    <xf borderId="1" fillId="0" fontId="0" numFmtId="0" xfId="0" applyAlignment="1" applyBorder="1" applyFont="1">
      <alignment horizontal="left" readingOrder="0" shrinkToFit="0" vertical="center" wrapText="1"/>
    </xf>
    <xf borderId="0" fillId="0" fontId="12" numFmtId="0" xfId="0" applyAlignment="1" applyFont="1">
      <alignment horizontal="center" readingOrder="0" shrinkToFit="0" vertical="center" wrapText="1"/>
    </xf>
    <xf borderId="0" fillId="0" fontId="3" numFmtId="0" xfId="0" applyAlignment="1" applyFont="1">
      <alignment vertical="center"/>
    </xf>
    <xf borderId="0" fillId="0" fontId="3" numFmtId="0" xfId="0" applyAlignment="1" applyFont="1">
      <alignment horizontal="center" shrinkToFit="0" vertical="center" wrapText="1"/>
    </xf>
    <xf borderId="0" fillId="0" fontId="3" numFmtId="0" xfId="0" applyAlignment="1" applyFont="1">
      <alignment shrinkToFit="0" vertical="center" wrapText="1"/>
    </xf>
    <xf borderId="2" fillId="3" fontId="1" numFmtId="0" xfId="0" applyAlignment="1" applyBorder="1" applyFont="1">
      <alignment horizontal="left" readingOrder="0" vertical="center"/>
    </xf>
    <xf borderId="15" fillId="3" fontId="1" numFmtId="0" xfId="0" applyAlignment="1" applyBorder="1" applyFont="1">
      <alignment horizontal="left" readingOrder="0" vertical="center"/>
    </xf>
    <xf borderId="2" fillId="0" fontId="2" numFmtId="0" xfId="0" applyBorder="1" applyFont="1"/>
    <xf borderId="1" fillId="0" fontId="3" numFmtId="0" xfId="0" applyAlignment="1" applyBorder="1" applyFont="1">
      <alignment readingOrder="0" vertical="center"/>
    </xf>
    <xf borderId="2" fillId="3" fontId="1" numFmtId="0" xfId="0" applyAlignment="1" applyBorder="1" applyFont="1">
      <alignment horizontal="center" readingOrder="0" vertical="center"/>
    </xf>
    <xf borderId="3" fillId="3" fontId="1" numFmtId="0" xfId="0" applyAlignment="1" applyBorder="1" applyFont="1">
      <alignment horizontal="center" readingOrder="0" vertical="center"/>
    </xf>
    <xf borderId="14" fillId="4" fontId="13" numFmtId="0" xfId="0" applyAlignment="1" applyBorder="1" applyFont="1">
      <alignment horizontal="left" readingOrder="0" vertical="center"/>
    </xf>
    <xf borderId="0" fillId="4" fontId="13" numFmtId="0" xfId="0" applyAlignment="1" applyFont="1">
      <alignment horizontal="left" readingOrder="0" shrinkToFit="0" vertical="center" wrapText="1"/>
    </xf>
    <xf borderId="0" fillId="0" fontId="3" numFmtId="0" xfId="0" applyAlignment="1" applyFont="1">
      <alignment horizontal="center" vertical="center"/>
    </xf>
    <xf borderId="1" fillId="0" fontId="3" numFmtId="0" xfId="0" applyAlignment="1" applyBorder="1" applyFont="1">
      <alignment shrinkToFit="0" vertical="center" wrapText="1"/>
    </xf>
    <xf borderId="3" fillId="2" fontId="1" numFmtId="0" xfId="0" applyAlignment="1" applyBorder="1" applyFont="1">
      <alignment horizontal="left" readingOrder="0" vertical="center"/>
    </xf>
    <xf borderId="15" fillId="2" fontId="1" numFmtId="0" xfId="0" applyAlignment="1" applyBorder="1" applyFont="1">
      <alignment horizontal="left" readingOrder="0" vertical="center"/>
    </xf>
    <xf borderId="3" fillId="2" fontId="1" numFmtId="0" xfId="0" applyAlignment="1" applyBorder="1" applyFont="1">
      <alignment horizontal="center" readingOrder="0" vertical="center"/>
    </xf>
    <xf borderId="4" fillId="2" fontId="1" numFmtId="0" xfId="0" applyAlignment="1" applyBorder="1" applyFont="1">
      <alignment horizontal="center" readingOrder="0" vertical="center"/>
    </xf>
    <xf borderId="14" fillId="0" fontId="3" numFmtId="0" xfId="0" applyAlignment="1" applyBorder="1" applyFont="1">
      <alignment shrinkToFit="0" vertical="center" wrapText="1"/>
    </xf>
    <xf borderId="16" fillId="2" fontId="9" numFmtId="0" xfId="0" applyAlignment="1" applyBorder="1" applyFont="1">
      <alignment readingOrder="0" shrinkToFit="0" vertical="center" wrapText="1"/>
    </xf>
    <xf borderId="17" fillId="2" fontId="9" numFmtId="0" xfId="0" applyAlignment="1" applyBorder="1" applyFont="1">
      <alignment horizontal="center" readingOrder="0" shrinkToFit="0" vertical="center" wrapText="1"/>
    </xf>
    <xf borderId="17" fillId="2" fontId="10"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18" fillId="0" fontId="9" numFmtId="0" xfId="0" applyAlignment="1" applyBorder="1" applyFont="1">
      <alignment readingOrder="0" shrinkToFit="0" vertical="center" wrapText="1"/>
    </xf>
    <xf borderId="14" fillId="0" fontId="14" numFmtId="0" xfId="0" applyAlignment="1" applyBorder="1" applyFont="1">
      <alignment readingOrder="0" shrinkToFit="0" vertical="center" wrapText="1"/>
    </xf>
    <xf borderId="14" fillId="0" fontId="15" numFmtId="0" xfId="0" applyAlignment="1" applyBorder="1" applyFont="1">
      <alignment readingOrder="0" shrinkToFit="0" vertical="center" wrapText="1"/>
    </xf>
    <xf borderId="19" fillId="0" fontId="9" numFmtId="0" xfId="0" applyAlignment="1" applyBorder="1" applyFont="1">
      <alignment horizontal="center" readingOrder="0" shrinkToFit="0" vertical="center" wrapText="1"/>
    </xf>
    <xf borderId="8" fillId="0" fontId="9" numFmtId="0" xfId="0" applyAlignment="1" applyBorder="1" applyFont="1">
      <alignment readingOrder="0" shrinkToFit="0" vertical="center" wrapText="1"/>
    </xf>
    <xf borderId="13" fillId="0" fontId="14" numFmtId="0" xfId="0" applyAlignment="1" applyBorder="1" applyFont="1">
      <alignment readingOrder="0" shrinkToFit="0" vertical="center" wrapText="1"/>
    </xf>
    <xf borderId="13" fillId="0" fontId="15" numFmtId="0" xfId="0" applyAlignment="1" applyBorder="1" applyFont="1">
      <alignment readingOrder="0" shrinkToFit="0" vertical="center" wrapText="1"/>
    </xf>
    <xf borderId="0" fillId="0" fontId="9" numFmtId="0" xfId="0" applyAlignment="1" applyFont="1">
      <alignment horizontal="center" shrinkToFit="0" vertical="center" wrapText="1"/>
    </xf>
    <xf borderId="18" fillId="0" fontId="9" numFmtId="0" xfId="0" applyAlignment="1" applyBorder="1" applyFont="1">
      <alignment shrinkToFit="0" vertical="center" wrapText="1"/>
    </xf>
    <xf borderId="0" fillId="0" fontId="10" numFmtId="0" xfId="0" applyAlignment="1" applyFont="1">
      <alignment horizontal="center" shrinkToFit="0" vertical="center" wrapText="1"/>
    </xf>
    <xf borderId="18" fillId="0" fontId="10" numFmtId="0" xfId="0" applyAlignment="1" applyBorder="1" applyFont="1">
      <alignment shrinkToFit="0" vertical="center" wrapText="1"/>
    </xf>
    <xf borderId="14" fillId="0" fontId="15" numFmtId="0" xfId="0" applyAlignment="1" applyBorder="1" applyFont="1">
      <alignment shrinkToFit="0" vertical="center" wrapText="1"/>
    </xf>
    <xf borderId="19" fillId="0" fontId="10" numFmtId="0" xfId="0" applyAlignment="1" applyBorder="1" applyFont="1">
      <alignment horizontal="center" shrinkToFit="0" vertical="center" wrapText="1"/>
    </xf>
    <xf borderId="8" fillId="0" fontId="10" numFmtId="0" xfId="0" applyAlignment="1" applyBorder="1" applyFont="1">
      <alignment shrinkToFit="0" vertical="center" wrapText="1"/>
    </xf>
    <xf borderId="13" fillId="0" fontId="15" numFmtId="0" xfId="0" applyAlignment="1" applyBorder="1" applyFont="1">
      <alignment shrinkToFit="0" vertical="center" wrapText="1"/>
    </xf>
    <xf borderId="8" fillId="0" fontId="10" numFmtId="0" xfId="0" applyAlignment="1" applyBorder="1" applyFont="1">
      <alignment readingOrder="0" shrinkToFit="0" vertical="center" wrapText="1"/>
    </xf>
    <xf borderId="0" fillId="0" fontId="15" numFmtId="0" xfId="0" applyAlignment="1" applyFont="1">
      <alignment horizontal="center" shrinkToFit="0" wrapText="1"/>
    </xf>
    <xf borderId="0" fillId="0" fontId="15" numFmtId="0" xfId="0" applyAlignment="1" applyFont="1">
      <alignment shrinkToFit="0" wrapText="1"/>
    </xf>
    <xf borderId="0" fillId="0" fontId="10"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0" fontId="15" numFmtId="0" xfId="0" applyAlignment="1" applyFont="1">
      <alignment readingOrder="0" shrinkToFit="0" wrapText="1"/>
    </xf>
    <xf borderId="0" fillId="0" fontId="16" numFmtId="0" xfId="0" applyAlignment="1" applyFont="1">
      <alignment readingOrder="0" shrinkToFit="0" wrapText="1"/>
    </xf>
    <xf borderId="0" fillId="0" fontId="17" numFmtId="0" xfId="0" applyAlignment="1" applyFont="1">
      <alignment horizontal="center" readingOrder="0"/>
    </xf>
    <xf borderId="0" fillId="0" fontId="17" numFmtId="0" xfId="0" applyAlignment="1" applyFont="1">
      <alignment horizontal="left" readingOrder="0"/>
    </xf>
    <xf borderId="0" fillId="0" fontId="18" numFmtId="0" xfId="0" applyAlignment="1" applyFont="1">
      <alignment horizontal="center" readingOrder="0"/>
    </xf>
    <xf borderId="0" fillId="0" fontId="18" numFmtId="0" xfId="0" applyAlignment="1" applyFont="1">
      <alignment horizontal="left" readingOrder="0"/>
    </xf>
    <xf borderId="0" fillId="0" fontId="3" numFmtId="0" xfId="0" applyAlignment="1" applyFont="1">
      <alignment horizontal="center" readingOrder="0"/>
    </xf>
    <xf borderId="0" fillId="0" fontId="19" numFmtId="0" xfId="0" applyAlignment="1" applyFont="1">
      <alignment horizontal="center" readingOrder="0"/>
    </xf>
    <xf borderId="0" fillId="0" fontId="19" numFmtId="0" xfId="0" applyAlignment="1" applyFont="1">
      <alignment horizontal="left" readingOrder="0"/>
    </xf>
    <xf borderId="0" fillId="0" fontId="1" numFmtId="0" xfId="0" applyAlignment="1" applyFont="1">
      <alignment readingOrder="0" shrinkToFit="0" vertical="center" wrapText="1"/>
    </xf>
    <xf borderId="0" fillId="0" fontId="20" numFmtId="0" xfId="0" applyAlignment="1" applyFont="1">
      <alignment horizontal="left" readingOrder="0" shrinkToFit="0" vertical="center" wrapText="1"/>
    </xf>
    <xf borderId="0" fillId="0" fontId="21" numFmtId="0" xfId="0" applyAlignment="1" applyFont="1">
      <alignment readingOrder="0"/>
    </xf>
    <xf borderId="0" fillId="0" fontId="22" numFmtId="0" xfId="0" applyAlignment="1" applyFont="1">
      <alignment readingOrder="0"/>
    </xf>
    <xf borderId="0" fillId="0" fontId="3" numFmtId="0" xfId="0" applyAlignment="1" applyFont="1">
      <alignment readingOrder="0" shrinkToFit="0" vertical="center" wrapText="0"/>
    </xf>
    <xf borderId="0" fillId="0" fontId="3" numFmtId="0" xfId="0" applyAlignment="1" applyFont="1">
      <alignment shrinkToFit="0" wrapText="1"/>
    </xf>
    <xf borderId="0" fillId="0" fontId="10" numFmtId="0" xfId="0" applyAlignment="1" applyFont="1">
      <alignment readingOrder="0" shrinkToFit="0" wrapText="1"/>
    </xf>
    <xf borderId="0" fillId="0" fontId="23" numFmtId="0" xfId="0" applyAlignment="1" applyFont="1">
      <alignment readingOrder="0" shrinkToFit="0" vertical="center" wrapText="1"/>
    </xf>
    <xf borderId="0" fillId="0" fontId="12" numFmtId="0" xfId="0" applyAlignment="1" applyFont="1">
      <alignment shrinkToFit="0" vertical="center" wrapText="1"/>
    </xf>
    <xf borderId="0" fillId="2" fontId="23" numFmtId="0" xfId="0" applyAlignment="1" applyFont="1">
      <alignment readingOrder="0" shrinkToFit="0" vertical="center" wrapText="1"/>
    </xf>
    <xf borderId="0" fillId="0" fontId="0" numFmtId="0" xfId="0" applyAlignment="1" applyFont="1">
      <alignment readingOrder="0" shrinkToFit="0" vertical="center" wrapText="1"/>
    </xf>
    <xf borderId="0" fillId="0" fontId="0" numFmtId="0" xfId="0" applyAlignment="1" applyFont="1">
      <alignment readingOrder="0" vertical="center"/>
    </xf>
    <xf borderId="0" fillId="4" fontId="0" numFmtId="0" xfId="0" applyAlignment="1" applyFont="1">
      <alignment horizontal="left" readingOrder="0" vertical="center"/>
    </xf>
    <xf borderId="0" fillId="4" fontId="0" numFmtId="0" xfId="0" applyAlignment="1" applyFont="1">
      <alignment readingOrder="0" vertical="center"/>
    </xf>
    <xf borderId="0" fillId="0" fontId="12" numFmtId="0" xfId="0" applyAlignment="1" applyFont="1">
      <alignment vertical="center"/>
    </xf>
    <xf borderId="0" fillId="0" fontId="12" numFmtId="0" xfId="0" applyAlignment="1" applyFont="1">
      <alignment readingOrder="0" shrinkToFit="0" vertical="center" wrapText="1"/>
    </xf>
    <xf borderId="0" fillId="0" fontId="24" numFmtId="0" xfId="0" applyAlignment="1" applyFont="1">
      <alignment readingOrder="0" shrinkToFit="0" wrapText="1"/>
    </xf>
    <xf borderId="0" fillId="0" fontId="1" numFmtId="0" xfId="0" applyAlignment="1" applyFont="1">
      <alignment readingOrder="0" shrinkToFit="0" wrapText="1"/>
    </xf>
    <xf borderId="0" fillId="0" fontId="2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190500</xdr:rowOff>
    </xdr:from>
    <xdr:ext cx="4305300" cy="2143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xdr:colOff>
      <xdr:row>14</xdr:row>
      <xdr:rowOff>200025</xdr:rowOff>
    </xdr:from>
    <xdr:ext cx="4305300" cy="2143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27</xdr:row>
      <xdr:rowOff>152400</xdr:rowOff>
    </xdr:from>
    <xdr:ext cx="7115175" cy="4286250"/>
    <xdr:sp>
      <xdr:nvSpPr>
        <xdr:cNvPr id="3" name="Shape 3"/>
        <xdr:cNvSpPr txBox="1"/>
      </xdr:nvSpPr>
      <xdr:spPr>
        <a:xfrm>
          <a:off x="126825" y="68275"/>
          <a:ext cx="7092000" cy="4271400"/>
        </a:xfrm>
        <a:prstGeom prst="rect">
          <a:avLst/>
        </a:prstGeom>
        <a:solidFill>
          <a:srgbClr val="FFFFFF"/>
        </a:solidFill>
        <a:ln>
          <a:noFill/>
        </a:ln>
      </xdr:spPr>
      <xdr:txBody>
        <a:bodyPr anchorCtr="0" anchor="t" bIns="91425" lIns="91425" spcFirstLastPara="1" rIns="91425" wrap="square" tIns="91425">
          <a:spAutoFit/>
        </a:bodyPr>
        <a:lstStyle/>
        <a:p>
          <a:pPr indent="-228600" lvl="0" marL="457200" rtl="0" algn="l">
            <a:lnSpc>
              <a:spcPct val="115000"/>
            </a:lnSpc>
            <a:spcBef>
              <a:spcPts val="1200"/>
            </a:spcBef>
            <a:spcAft>
              <a:spcPts val="0"/>
            </a:spcAft>
            <a:buSzPts val="1100"/>
            <a:buNone/>
          </a:pPr>
          <a:r>
            <a:rPr lang="en-US" sz="1400"/>
            <a:t>List the maintenance considerations for a mechanical aeration system.</a:t>
          </a:r>
          <a:br>
            <a:rPr lang="en-US" sz="1400"/>
          </a:br>
          <a:r>
            <a:rPr lang="en-US" sz="1400"/>
            <a:t>A. Consult the O&amp;M manual for the lubrication needs of the motor, gear box, shaft, and others</a:t>
          </a:r>
          <a:br>
            <a:rPr lang="en-US" sz="1400"/>
          </a:br>
          <a:r>
            <a:rPr lang="en-US" sz="1400"/>
            <a:t>B. Inspect aerators</a:t>
          </a:r>
          <a:br>
            <a:rPr lang="en-US" sz="1400"/>
          </a:br>
          <a:r>
            <a:rPr lang="en-US" sz="1400"/>
            <a:t>C. Check for unusual vibration</a:t>
          </a:r>
          <a:br>
            <a:rPr lang="en-US" sz="1400"/>
          </a:br>
          <a:r>
            <a:rPr lang="en-US" sz="1400"/>
            <a:t>All maintenance and repairs should be documented.</a:t>
          </a:r>
          <a:endParaRPr sz="1400"/>
        </a:p>
        <a:p>
          <a:pPr indent="-228600" lvl="0" marL="457200" rtl="0" algn="l">
            <a:lnSpc>
              <a:spcPct val="115000"/>
            </a:lnSpc>
            <a:spcBef>
              <a:spcPts val="0"/>
            </a:spcBef>
            <a:spcAft>
              <a:spcPts val="0"/>
            </a:spcAft>
            <a:buSzPts val="1100"/>
            <a:buNone/>
          </a:pPr>
          <a:r>
            <a:rPr lang="en-US" sz="1400"/>
            <a:t>2.4.3  List the maintenance considerations for diffusers.</a:t>
          </a:r>
          <a:br>
            <a:rPr lang="en-US" sz="1400"/>
          </a:br>
          <a:r>
            <a:rPr lang="en-US" sz="1400"/>
            <a:t>A. Check surface aeration patterns for uneven distribution B. Check air line pressure reading</a:t>
          </a:r>
          <a:br>
            <a:rPr lang="en-US" sz="1400"/>
          </a:br>
          <a:r>
            <a:rPr lang="en-US" sz="1400"/>
            <a:t>C. Check and purge moisture as needed</a:t>
          </a:r>
          <a:br>
            <a:rPr lang="en-US" sz="1400"/>
          </a:br>
          <a:r>
            <a:rPr lang="en-US" sz="1400"/>
            <a:t>D. Drain, inspect, and clean the aeration tanks annually</a:t>
          </a:r>
          <a:br>
            <a:rPr lang="en-US" sz="1400"/>
          </a:br>
          <a:r>
            <a:rPr lang="en-US" sz="1400"/>
            <a:t>All maintenance and repairs should be documented. Consult the O&amp;M manual for additional maintenance needs.</a:t>
          </a:r>
          <a:endParaRPr sz="1400"/>
        </a:p>
        <a:p>
          <a:pPr indent="-228600" lvl="0" marL="457200" rtl="0" algn="l">
            <a:lnSpc>
              <a:spcPct val="115000"/>
            </a:lnSpc>
            <a:spcBef>
              <a:spcPts val="0"/>
            </a:spcBef>
            <a:spcAft>
              <a:spcPts val="0"/>
            </a:spcAft>
            <a:buSzPts val="1100"/>
            <a:buNone/>
          </a:pPr>
          <a:r>
            <a:rPr lang="en-US" sz="1400"/>
            <a:t>2.4.4  Compare the maintenance requirements of fine bubble to coarse bubble diffuser systems.</a:t>
          </a:r>
          <a:endParaRPr sz="1400"/>
        </a:p>
        <a:p>
          <a:pPr indent="0" lvl="0" marL="0" rtl="0" algn="l">
            <a:spcBef>
              <a:spcPts val="1200"/>
            </a:spcBef>
            <a:spcAft>
              <a:spcPts val="0"/>
            </a:spcAft>
            <a:buNone/>
          </a:pPr>
          <a:r>
            <a:t/>
          </a:r>
          <a:endParaRPr sz="1400"/>
        </a:p>
      </xdr:txBody>
    </xdr:sp>
    <xdr:clientData fLocksWithSheet="0"/>
  </xdr:oneCellAnchor>
  <xdr:oneCellAnchor>
    <xdr:from>
      <xdr:col>0</xdr:col>
      <xdr:colOff>7267575</xdr:colOff>
      <xdr:row>21</xdr:row>
      <xdr:rowOff>-9525</xdr:rowOff>
    </xdr:from>
    <xdr:ext cx="8553450" cy="5867400"/>
    <xdr:sp>
      <xdr:nvSpPr>
        <xdr:cNvPr id="4" name="Shape 4"/>
        <xdr:cNvSpPr txBox="1"/>
      </xdr:nvSpPr>
      <xdr:spPr>
        <a:xfrm>
          <a:off x="234125" y="39025"/>
          <a:ext cx="8535900" cy="5852100"/>
        </a:xfrm>
        <a:prstGeom prst="rect">
          <a:avLst/>
        </a:prstGeom>
        <a:solidFill>
          <a:srgbClr val="FFFFFF"/>
        </a:solidFill>
        <a:ln>
          <a:noFill/>
        </a:ln>
      </xdr:spPr>
      <xdr:txBody>
        <a:bodyPr anchorCtr="0" anchor="t" bIns="91425" lIns="91425" spcFirstLastPara="1" rIns="91425" wrap="square" tIns="91425">
          <a:spAutoFit/>
        </a:bodyPr>
        <a:lstStyle/>
        <a:p>
          <a:pPr indent="-228600" lvl="0" marL="457200" rtl="0" algn="l">
            <a:lnSpc>
              <a:spcPct val="115000"/>
            </a:lnSpc>
            <a:spcBef>
              <a:spcPts val="1200"/>
            </a:spcBef>
            <a:spcAft>
              <a:spcPts val="0"/>
            </a:spcAft>
            <a:buSzPts val="1100"/>
            <a:buNone/>
          </a:pPr>
          <a:r>
            <a:rPr lang="en-US" sz="1400"/>
            <a:t>A. Course bubble aeration systems</a:t>
          </a:r>
          <a:br>
            <a:rPr lang="en-US" sz="1400"/>
          </a:br>
          <a:r>
            <a:rPr lang="en-US" sz="1400"/>
            <a:t>1. Aeration basins should be drained annually</a:t>
          </a:r>
          <a:br>
            <a:rPr lang="en-US" sz="1400"/>
          </a:br>
          <a:r>
            <a:rPr lang="en-US" sz="1400"/>
            <a:t>2. Remove excess settled solids that have accumulated 3. Clean diffusers and piping assemblies as needed</a:t>
          </a:r>
          <a:br>
            <a:rPr lang="en-US" sz="1400"/>
          </a:br>
          <a:r>
            <a:rPr lang="en-US" sz="1400"/>
            <a:t>4. Inspect all hardware and components</a:t>
          </a:r>
          <a:br>
            <a:rPr lang="en-US" sz="1400"/>
          </a:br>
          <a:r>
            <a:rPr lang="en-US" sz="1400"/>
            <a:t>5. Repair, replace, and tighten components as needed 6. Refill aeration tank following startup procedures</a:t>
          </a:r>
          <a:br>
            <a:rPr lang="en-US" sz="1400"/>
          </a:br>
          <a:r>
            <a:rPr lang="en-US" sz="1400"/>
            <a:t>B. Fine bubble aeration systems</a:t>
          </a:r>
          <a:br>
            <a:rPr lang="en-US" sz="1400"/>
          </a:br>
          <a:r>
            <a:rPr lang="en-US" sz="1400"/>
            <a:t>1. Aeration basins should be drained annually</a:t>
          </a:r>
          <a:br>
            <a:rPr lang="en-US" sz="1400"/>
          </a:br>
          <a:r>
            <a:rPr lang="en-US" sz="1400"/>
            <a:t>2. Drain aeration basin and leave air on</a:t>
          </a:r>
          <a:br>
            <a:rPr lang="en-US" sz="1400"/>
          </a:br>
          <a:r>
            <a:rPr lang="en-US" sz="1400"/>
            <a:t>3. Remove excess settled solids that have accumulated</a:t>
          </a:r>
          <a:br>
            <a:rPr lang="en-US" sz="1400"/>
          </a:br>
          <a:r>
            <a:rPr lang="en-US" sz="1400"/>
            <a:t>4. With air on, hose off and wash each diffuser with clean water</a:t>
          </a:r>
          <a:br>
            <a:rPr lang="en-US" sz="1400"/>
          </a:br>
          <a:r>
            <a:rPr lang="en-US" sz="1400"/>
            <a:t>5. With air off, if needed scrub each diffuser with either a soft bristle brush or rag 6. Turn air back on and repeat hosing procedure for each diffuser</a:t>
          </a:r>
          <a:br>
            <a:rPr lang="en-US" sz="1400"/>
          </a:br>
          <a:r>
            <a:rPr lang="en-US" sz="1400"/>
            <a:t>7. Inspect all hardware and components</a:t>
          </a:r>
          <a:br>
            <a:rPr lang="en-US" sz="1400"/>
          </a:br>
          <a:r>
            <a:rPr lang="en-US" sz="1400"/>
            <a:t>8. Repair, replace, or tighten components as needed</a:t>
          </a:r>
          <a:br>
            <a:rPr lang="en-US" sz="1400"/>
          </a:br>
          <a:r>
            <a:rPr lang="en-US" sz="1400"/>
            <a:t>9. Refill aeration tank following startup procedures</a:t>
          </a:r>
          <a:endParaRPr sz="1400"/>
        </a:p>
        <a:p>
          <a:pPr indent="-228600" lvl="0" marL="457200" rtl="0" algn="l">
            <a:lnSpc>
              <a:spcPct val="115000"/>
            </a:lnSpc>
            <a:spcBef>
              <a:spcPts val="0"/>
            </a:spcBef>
            <a:spcAft>
              <a:spcPts val="0"/>
            </a:spcAft>
            <a:buSzPts val="1100"/>
            <a:buNone/>
          </a:pPr>
          <a:r>
            <a:rPr lang="en-US" sz="1400"/>
            <a:t>2.4.5  Discuss the importance of routine preventative maintenance of aeration basins and clarifiers.</a:t>
          </a:r>
          <a:br>
            <a:rPr lang="en-US" sz="1400"/>
          </a:br>
          <a:r>
            <a:rPr lang="en-US" sz="1400"/>
            <a:t>Aeration basins and clarifiers should be emptied on a regular basis to:</a:t>
          </a:r>
          <a:br>
            <a:rPr lang="en-US" sz="1400"/>
          </a:br>
          <a:r>
            <a:rPr lang="en-US" sz="1400"/>
            <a:t>A. Perform a detailed inspection of the structure, valves, and control gates B. Clean out grit and settled solids</a:t>
          </a:r>
          <a:br>
            <a:rPr lang="en-US" sz="1400"/>
          </a:br>
          <a:r>
            <a:rPr lang="en-US" sz="1400"/>
            <a:t>C. Maintain equipment and piping</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38100</xdr:rowOff>
    </xdr:from>
    <xdr:ext cx="5619750" cy="2009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topics/engineering/oxygen-requirement" TargetMode="External"/><Relationship Id="rId2" Type="http://schemas.openxmlformats.org/officeDocument/2006/relationships/hyperlink" Target="http://courses.washington.edu/onsite/activated%20sludge%20and%20SBR%20pdf.pdf" TargetMode="External"/><Relationship Id="rId3" Type="http://schemas.openxmlformats.org/officeDocument/2006/relationships/hyperlink" Target="https://www.sciencedirect.com/topics/engineering/oxygen-requirement" TargetMode="External"/><Relationship Id="rId4" Type="http://schemas.openxmlformats.org/officeDocument/2006/relationships/hyperlink" Target="http://courses.washington.edu/onsite/activated%20sludge%20and%20SBR%20pdf.pdf" TargetMode="External"/><Relationship Id="rId5" Type="http://schemas.openxmlformats.org/officeDocument/2006/relationships/hyperlink" Target="https://www.dec.ny.gov/docs/water_pdf/oxcapmech.pdf"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3.epa.gov/ttn/atw/nsps/socww/mulmix5.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63"/>
    <col customWidth="1" min="2" max="2" width="9.13"/>
    <col customWidth="1" min="3" max="3" width="18.88"/>
    <col customWidth="1" min="4" max="4" width="67.38"/>
    <col customWidth="1" min="5" max="5" width="34.88"/>
    <col customWidth="1" min="6" max="6" width="19.0"/>
  </cols>
  <sheetData>
    <row r="1">
      <c r="A1" s="1" t="s">
        <v>0</v>
      </c>
      <c r="C1" s="2"/>
      <c r="D1" s="3" t="s">
        <v>1</v>
      </c>
      <c r="F1" s="2"/>
    </row>
    <row r="2">
      <c r="A2" s="4" t="s">
        <v>2</v>
      </c>
      <c r="C2" s="5"/>
      <c r="D2" s="4" t="s">
        <v>2</v>
      </c>
      <c r="F2" s="5"/>
    </row>
    <row r="3">
      <c r="A3" s="6" t="s">
        <v>3</v>
      </c>
      <c r="B3" s="6">
        <v>10.0</v>
      </c>
      <c r="C3" s="5"/>
      <c r="D3" s="6" t="s">
        <v>3</v>
      </c>
      <c r="E3" s="6">
        <v>0.4</v>
      </c>
      <c r="F3" s="5"/>
    </row>
    <row r="4">
      <c r="A4" s="6" t="s">
        <v>4</v>
      </c>
      <c r="B4" s="6">
        <v>5.0</v>
      </c>
      <c r="C4" s="7" t="s">
        <v>5</v>
      </c>
      <c r="D4" s="6" t="s">
        <v>4</v>
      </c>
      <c r="E4" s="6">
        <v>5.0</v>
      </c>
      <c r="F4" s="7" t="s">
        <v>5</v>
      </c>
    </row>
    <row r="5">
      <c r="A5" s="6" t="s">
        <v>6</v>
      </c>
      <c r="B5" s="6">
        <v>1.0</v>
      </c>
      <c r="C5" s="8" t="s">
        <v>7</v>
      </c>
      <c r="D5" s="6" t="s">
        <v>6</v>
      </c>
      <c r="E5" s="6">
        <v>1.0</v>
      </c>
      <c r="F5" s="8" t="s">
        <v>7</v>
      </c>
    </row>
    <row r="6">
      <c r="A6" s="9" t="s">
        <v>8</v>
      </c>
      <c r="B6" s="6">
        <v>300.0</v>
      </c>
      <c r="C6" s="8" t="s">
        <v>9</v>
      </c>
      <c r="D6" s="9" t="s">
        <v>8</v>
      </c>
      <c r="E6" s="6">
        <v>300.0</v>
      </c>
      <c r="F6" s="8" t="s">
        <v>9</v>
      </c>
    </row>
    <row r="7">
      <c r="A7" s="6" t="s">
        <v>10</v>
      </c>
      <c r="B7" s="6">
        <v>25.0</v>
      </c>
      <c r="C7" s="8" t="s">
        <v>9</v>
      </c>
      <c r="D7" s="6" t="s">
        <v>10</v>
      </c>
      <c r="E7" s="6">
        <v>25.0</v>
      </c>
      <c r="F7" s="8" t="s">
        <v>9</v>
      </c>
    </row>
    <row r="8">
      <c r="A8" s="6" t="s">
        <v>11</v>
      </c>
      <c r="B8" s="6">
        <v>0.2</v>
      </c>
      <c r="C8" s="7" t="s">
        <v>12</v>
      </c>
      <c r="D8" s="6" t="s">
        <v>11</v>
      </c>
      <c r="E8" s="6">
        <v>0.2</v>
      </c>
      <c r="F8" s="7" t="s">
        <v>12</v>
      </c>
    </row>
    <row r="9">
      <c r="A9" s="6" t="s">
        <v>13</v>
      </c>
      <c r="B9" s="6">
        <v>15.0</v>
      </c>
      <c r="C9" s="8" t="s">
        <v>14</v>
      </c>
      <c r="D9" s="6" t="s">
        <v>15</v>
      </c>
      <c r="F9" s="7" t="s">
        <v>16</v>
      </c>
    </row>
    <row r="10">
      <c r="A10" s="6" t="s">
        <v>17</v>
      </c>
      <c r="B10" s="6">
        <v>24.0</v>
      </c>
      <c r="C10" s="7" t="s">
        <v>18</v>
      </c>
      <c r="D10" s="6" t="s">
        <v>19</v>
      </c>
      <c r="E10" s="6" t="s">
        <v>20</v>
      </c>
      <c r="F10" s="5"/>
    </row>
    <row r="11">
      <c r="A11" s="6" t="s">
        <v>21</v>
      </c>
      <c r="B11" s="6">
        <v>3.0</v>
      </c>
      <c r="C11" s="5"/>
      <c r="D11" s="6" t="s">
        <v>22</v>
      </c>
      <c r="E11" s="6">
        <v>200.0</v>
      </c>
      <c r="F11" s="7" t="s">
        <v>23</v>
      </c>
    </row>
    <row r="12">
      <c r="A12" s="4"/>
      <c r="C12" s="5"/>
      <c r="D12" s="6" t="s">
        <v>24</v>
      </c>
      <c r="E12" s="6">
        <v>12.0</v>
      </c>
      <c r="F12" s="7" t="s">
        <v>18</v>
      </c>
    </row>
    <row r="13">
      <c r="A13" s="4" t="s">
        <v>25</v>
      </c>
      <c r="C13" s="10" t="s">
        <v>26</v>
      </c>
      <c r="D13" s="6" t="s">
        <v>27</v>
      </c>
      <c r="E13" s="6">
        <v>1.0</v>
      </c>
      <c r="F13" s="7" t="s">
        <v>28</v>
      </c>
    </row>
    <row r="14">
      <c r="C14" s="11" t="s">
        <v>29</v>
      </c>
      <c r="F14" s="5"/>
    </row>
    <row r="15">
      <c r="C15" s="12" t="s">
        <v>30</v>
      </c>
      <c r="D15" s="4" t="s">
        <v>25</v>
      </c>
      <c r="F15" s="10" t="s">
        <v>26</v>
      </c>
    </row>
    <row r="16">
      <c r="C16" s="7"/>
      <c r="F16" s="11" t="s">
        <v>29</v>
      </c>
    </row>
    <row r="17">
      <c r="C17" s="5"/>
      <c r="F17" s="11" t="s">
        <v>30</v>
      </c>
    </row>
    <row r="18">
      <c r="C18" s="5"/>
      <c r="F18" s="11" t="s">
        <v>31</v>
      </c>
    </row>
    <row r="19">
      <c r="C19" s="5"/>
      <c r="F19" s="5"/>
    </row>
    <row r="20">
      <c r="C20" s="5"/>
      <c r="F20" s="5"/>
    </row>
    <row r="21">
      <c r="C21" s="5"/>
      <c r="F21" s="5"/>
    </row>
    <row r="22">
      <c r="C22" s="5"/>
      <c r="F22" s="5"/>
    </row>
    <row r="23">
      <c r="C23" s="5"/>
      <c r="F23" s="5"/>
    </row>
    <row r="24">
      <c r="C24" s="5"/>
      <c r="F24" s="5"/>
    </row>
    <row r="25">
      <c r="A25" s="6" t="s">
        <v>32</v>
      </c>
      <c r="C25" s="5"/>
      <c r="F25" s="5"/>
    </row>
    <row r="26">
      <c r="A26" s="6" t="s">
        <v>33</v>
      </c>
      <c r="C26" s="5"/>
      <c r="F26" s="5"/>
    </row>
    <row r="27">
      <c r="A27" s="6" t="s">
        <v>34</v>
      </c>
      <c r="C27" s="5"/>
      <c r="D27" s="6" t="s">
        <v>35</v>
      </c>
      <c r="F27" s="5"/>
    </row>
    <row r="28">
      <c r="A28" s="6" t="s">
        <v>36</v>
      </c>
      <c r="C28" s="5"/>
      <c r="D28" s="6" t="s">
        <v>37</v>
      </c>
      <c r="F28" s="5"/>
    </row>
    <row r="29">
      <c r="C29" s="5"/>
      <c r="D29" s="6" t="s">
        <v>34</v>
      </c>
      <c r="F29" s="5"/>
    </row>
    <row r="30">
      <c r="A30" s="4" t="s">
        <v>38</v>
      </c>
      <c r="C30" s="5"/>
      <c r="D30" s="6" t="s">
        <v>39</v>
      </c>
      <c r="F30" s="5"/>
    </row>
    <row r="31">
      <c r="A31" s="6" t="s">
        <v>40</v>
      </c>
      <c r="B31" s="6">
        <f>IF(B3="","",ROUND((5*(B3^2))-0.5*(B3)+1.2,1))</f>
        <v>496.2</v>
      </c>
      <c r="C31" s="8" t="s">
        <v>41</v>
      </c>
      <c r="D31" s="4" t="s">
        <v>42</v>
      </c>
      <c r="F31" s="5"/>
    </row>
    <row r="32">
      <c r="A32" s="6" t="s">
        <v>43</v>
      </c>
      <c r="B32" s="13">
        <f>IF(OR(B3="",B5="",B6="",B8=""),"",ROUND(B6*B5/(B3*B8),0))</f>
        <v>150</v>
      </c>
      <c r="C32" s="8" t="s">
        <v>44</v>
      </c>
      <c r="D32" s="4" t="s">
        <v>45</v>
      </c>
      <c r="F32" s="5"/>
    </row>
    <row r="33">
      <c r="A33" s="6" t="s">
        <v>46</v>
      </c>
      <c r="B33" s="13">
        <f>IF(OR(B5="",B6="",B31=""),"",ROUND(B31*B5*B6*8.34,0))</f>
        <v>1241492</v>
      </c>
      <c r="C33" s="8" t="s">
        <v>47</v>
      </c>
      <c r="D33" s="14" t="s">
        <v>48</v>
      </c>
      <c r="E33" s="15">
        <v>1.15</v>
      </c>
      <c r="F33" s="16">
        <v>2.1</v>
      </c>
    </row>
    <row r="34">
      <c r="A34" s="6" t="s">
        <v>49</v>
      </c>
      <c r="B34" s="13">
        <f>IF(OR(B5="",B6="",B8="",B32=""),"", ROUND((0.75*(B6*B5*3.785)+(0.05*(B32/1000)*(B8*3785)))*2.205*1.5,0))</f>
        <v>2836</v>
      </c>
      <c r="C34" s="8" t="s">
        <v>47</v>
      </c>
      <c r="D34" s="14" t="s">
        <v>20</v>
      </c>
      <c r="E34" s="15">
        <v>1.15</v>
      </c>
      <c r="F34" s="16">
        <v>2.3</v>
      </c>
    </row>
    <row r="35">
      <c r="A35" s="6" t="s">
        <v>50</v>
      </c>
      <c r="B35" s="13">
        <f>IF(B4="","",ROUND(0.183*LN(B4)+0.7559,1))</f>
        <v>1.1</v>
      </c>
      <c r="C35" s="8" t="s">
        <v>41</v>
      </c>
      <c r="D35" s="14" t="s">
        <v>51</v>
      </c>
      <c r="E35" s="15">
        <v>1.15</v>
      </c>
      <c r="F35" s="16">
        <v>2.1</v>
      </c>
    </row>
    <row r="36">
      <c r="A36" s="6" t="s">
        <v>52</v>
      </c>
      <c r="B36" s="13">
        <f>IF(OR(B5="",B6="",B35=""),"",ROUND(B35*B5*B6*8.34,0))</f>
        <v>2752</v>
      </c>
      <c r="C36" s="8" t="s">
        <v>47</v>
      </c>
      <c r="F36" s="5"/>
    </row>
    <row r="37">
      <c r="A37" s="6" t="s">
        <v>53</v>
      </c>
      <c r="B37" s="6">
        <v>4.6</v>
      </c>
      <c r="C37" s="8" t="s">
        <v>54</v>
      </c>
      <c r="D37" s="4" t="s">
        <v>38</v>
      </c>
      <c r="F37" s="5"/>
    </row>
    <row r="38">
      <c r="A38" s="6" t="s">
        <v>55</v>
      </c>
      <c r="B38" s="6">
        <v>4.3</v>
      </c>
      <c r="C38" s="8" t="s">
        <v>54</v>
      </c>
      <c r="D38" s="6" t="s">
        <v>40</v>
      </c>
      <c r="E38" s="6">
        <f>IF(E3="","",ROUND((5*(E3^2))-0.5*(E3)+1.2,1))</f>
        <v>1.8</v>
      </c>
      <c r="F38" s="8" t="s">
        <v>41</v>
      </c>
    </row>
    <row r="39">
      <c r="A39" s="6" t="s">
        <v>56</v>
      </c>
      <c r="B39" s="13">
        <f>IF(OR(B5="",B7="",B37=""),"",ROUND(B5*B7*8.34*B37,0))</f>
        <v>959</v>
      </c>
      <c r="C39" s="8" t="s">
        <v>47</v>
      </c>
      <c r="D39" s="6" t="s">
        <v>43</v>
      </c>
      <c r="E39" s="13">
        <f>IF(OR(E3="",E5="",E6="",E8=""),"",ROUND(E6*E5/(E3*E8),0))</f>
        <v>3750</v>
      </c>
      <c r="F39" s="8" t="s">
        <v>44</v>
      </c>
    </row>
    <row r="40">
      <c r="A40" s="6" t="s">
        <v>57</v>
      </c>
      <c r="B40" s="13">
        <f>IF(OR(B5="",B7="",B38=""),"",ROUND(B5*B7*8.34*B38*1.5,0))</f>
        <v>1345</v>
      </c>
      <c r="C40" s="8" t="s">
        <v>47</v>
      </c>
      <c r="D40" s="6" t="s">
        <v>46</v>
      </c>
      <c r="E40" s="13">
        <f>IF(OR(E5="",E6="",E38=""),"",ROUND(E38*E5*E6*8.34,0))</f>
        <v>4504</v>
      </c>
      <c r="F40" s="8" t="s">
        <v>47</v>
      </c>
    </row>
    <row r="41">
      <c r="A41" s="4" t="s">
        <v>58</v>
      </c>
      <c r="B41" s="17" t="s">
        <v>59</v>
      </c>
      <c r="C41" s="5"/>
      <c r="D41" s="6" t="s">
        <v>49</v>
      </c>
      <c r="E41" s="13">
        <f>IF(OR(E5="",E6="",E8="",E39=""),"", ROUND((0.75*(E6*E5*3.785)+(0.05*(E39/1000)*(E8*3785)))*2.205*1.5,0))</f>
        <v>3286</v>
      </c>
      <c r="F41" s="8" t="s">
        <v>47</v>
      </c>
    </row>
    <row r="42">
      <c r="A42" s="6" t="s">
        <v>60</v>
      </c>
      <c r="B42" s="13">
        <f>IF(B41&lt;&gt;"NO",MAX(B33,B34)+MAX(B39,B40),MAX(B33,B34))</f>
        <v>1242837</v>
      </c>
      <c r="C42" s="8" t="s">
        <v>47</v>
      </c>
      <c r="D42" s="6" t="s">
        <v>50</v>
      </c>
      <c r="E42" s="13">
        <f>IF(E4="","",ROUND(0.183*LN(E4)+0.7559,1))</f>
        <v>1.1</v>
      </c>
      <c r="F42" s="8" t="s">
        <v>41</v>
      </c>
    </row>
    <row r="43">
      <c r="A43" s="6" t="s">
        <v>61</v>
      </c>
      <c r="B43" s="13">
        <f>IF(B41&lt;&gt;"NO",B36+MAX(B39,B40),B36)</f>
        <v>4097</v>
      </c>
      <c r="C43" s="8" t="s">
        <v>47</v>
      </c>
      <c r="D43" s="6" t="s">
        <v>52</v>
      </c>
      <c r="E43" s="13">
        <f>IF(OR(E5="",E6="",E42=""),"",ROUND(E42*E5*E6*8.34,0))</f>
        <v>2752</v>
      </c>
      <c r="F43" s="8" t="s">
        <v>47</v>
      </c>
    </row>
    <row r="44">
      <c r="A44" s="6" t="s">
        <v>62</v>
      </c>
      <c r="B44" s="6">
        <v>0.4</v>
      </c>
      <c r="C44" s="5"/>
      <c r="D44" s="6" t="s">
        <v>53</v>
      </c>
      <c r="E44" s="6">
        <v>4.6</v>
      </c>
      <c r="F44" s="8" t="s">
        <v>63</v>
      </c>
    </row>
    <row r="45">
      <c r="A45" s="6" t="s">
        <v>64</v>
      </c>
      <c r="B45" s="13">
        <f>IF(B42="","",ROUND(B42/B44,0))</f>
        <v>3107093</v>
      </c>
      <c r="C45" s="8" t="s">
        <v>47</v>
      </c>
      <c r="D45" s="6" t="s">
        <v>55</v>
      </c>
      <c r="E45" s="6">
        <v>4.3</v>
      </c>
      <c r="F45" s="8" t="s">
        <v>63</v>
      </c>
    </row>
    <row r="46">
      <c r="A46" s="6" t="s">
        <v>65</v>
      </c>
      <c r="B46" s="13">
        <f>IF(B43="","",ROUND(B43/B44,0))</f>
        <v>10243</v>
      </c>
      <c r="C46" s="8" t="s">
        <v>47</v>
      </c>
      <c r="D46" s="6" t="s">
        <v>56</v>
      </c>
      <c r="E46" s="13">
        <f>IF(OR(E5="",E7="",E44=""),"",ROUND(E5*E7*8.34*E44,0))</f>
        <v>959</v>
      </c>
      <c r="F46" s="8" t="s">
        <v>47</v>
      </c>
    </row>
    <row r="47">
      <c r="A47" s="6" t="s">
        <v>66</v>
      </c>
      <c r="B47" s="18">
        <v>0.015</v>
      </c>
      <c r="C47" s="8" t="s">
        <v>67</v>
      </c>
      <c r="D47" s="6" t="s">
        <v>57</v>
      </c>
      <c r="E47" s="13">
        <f>IF(OR(E5="",E7="",E45=""),"",ROUND(E5*E7*8.34*E45*1.5,0))</f>
        <v>1345</v>
      </c>
      <c r="F47" s="8" t="s">
        <v>47</v>
      </c>
    </row>
    <row r="48">
      <c r="A48" s="6" t="s">
        <v>68</v>
      </c>
      <c r="B48" s="13">
        <f>IF(OR(B45="",B9=""),"",ROUND(B45/(B47*B9),0))</f>
        <v>13809302</v>
      </c>
      <c r="C48" s="8" t="s">
        <v>47</v>
      </c>
      <c r="D48" s="4" t="s">
        <v>58</v>
      </c>
      <c r="E48" s="17" t="s">
        <v>59</v>
      </c>
      <c r="F48" s="5"/>
    </row>
    <row r="49">
      <c r="A49" s="6" t="s">
        <v>69</v>
      </c>
      <c r="B49" s="13">
        <f>IF(OR(B46="",B9=""),"",ROUND(B46/(B47*B9),0))</f>
        <v>45524</v>
      </c>
      <c r="C49" s="8" t="s">
        <v>47</v>
      </c>
      <c r="D49" s="6" t="s">
        <v>60</v>
      </c>
      <c r="E49" s="13">
        <f>IF(E48&lt;&gt;"NO",MAX(E40,E41)+MAX(E46,E47),MAX(E40,E41))</f>
        <v>5849</v>
      </c>
      <c r="F49" s="8" t="s">
        <v>47</v>
      </c>
    </row>
    <row r="50">
      <c r="A50" s="6" t="s">
        <v>70</v>
      </c>
      <c r="B50" s="19">
        <v>0.21</v>
      </c>
      <c r="C50" s="20"/>
      <c r="D50" s="6" t="s">
        <v>61</v>
      </c>
      <c r="E50" s="13">
        <f>IF(E48&lt;&gt;"NO",E43+MAX(E46,E47),E43)</f>
        <v>4097</v>
      </c>
      <c r="F50" s="8" t="s">
        <v>47</v>
      </c>
    </row>
    <row r="51">
      <c r="A51" s="6" t="s">
        <v>71</v>
      </c>
      <c r="B51" s="13">
        <f>IF(B48="","",ROUND(B48/B50,0))</f>
        <v>65758581</v>
      </c>
      <c r="C51" s="8" t="s">
        <v>72</v>
      </c>
      <c r="D51" s="6" t="s">
        <v>73</v>
      </c>
      <c r="E51" s="13">
        <f>IF(E10="Low Speed Surface Aerator",ROUND(Average(E33,F33),2),IF(E10="Low Speed Surface Aerator with Draft Tube",ROUND(Average(E34,F34),2),IF(E10="High Speed Floating Aerator",ROUND(Average(E35,F35),2),ROUND(Average(E33,E34,E35,F33,F34,F35),2))))</f>
        <v>1.73</v>
      </c>
      <c r="F51" s="7" t="s">
        <v>16</v>
      </c>
    </row>
    <row r="52">
      <c r="A52" s="6" t="s">
        <v>74</v>
      </c>
      <c r="B52" s="13">
        <f>IF(B49="","",ROUND(B49/B50,0))</f>
        <v>216781</v>
      </c>
      <c r="C52" s="8" t="s">
        <v>72</v>
      </c>
      <c r="D52" s="21" t="s">
        <v>75</v>
      </c>
      <c r="E52" s="22">
        <f>IF(OR(E49="",E13="",E12=""),"",IF(E9="",IF(E51="","",ROUND(E49/(E51*E12*E13),0)), ROUND(E49/(E9*E12*E13),0)))</f>
        <v>282</v>
      </c>
      <c r="F52" s="23" t="s">
        <v>23</v>
      </c>
    </row>
    <row r="53">
      <c r="A53" s="6" t="s">
        <v>76</v>
      </c>
      <c r="B53" s="6">
        <v>12.39</v>
      </c>
      <c r="C53" s="8" t="s">
        <v>77</v>
      </c>
      <c r="D53" s="24" t="s">
        <v>78</v>
      </c>
      <c r="E53" s="25">
        <f>IF(OR(E50="",E13="",E12=""),"",IF(E9="",IF(E51="","",ROUND(E50/(E51*E12*E13),0)), ROUND(E50/(E9*E12*E13),0)))</f>
        <v>197</v>
      </c>
      <c r="F53" s="26" t="s">
        <v>23</v>
      </c>
    </row>
    <row r="54">
      <c r="A54" s="27" t="s">
        <v>79</v>
      </c>
      <c r="B54" s="22">
        <f>IF(B51="","",ROUND(B51*B53/(B10*60),0))</f>
        <v>565798</v>
      </c>
      <c r="C54" s="28" t="s">
        <v>80</v>
      </c>
      <c r="D54" s="21" t="s">
        <v>81</v>
      </c>
      <c r="E54" s="22">
        <f>IF(OR(E49="",E11="",E13=""),"",IF(E9="",IF(E51="","",ROUND(E49/(E51*E11*E13),0)), ROUND(E49/(E9*E11*E13),0)))</f>
        <v>17</v>
      </c>
      <c r="F54" s="23" t="s">
        <v>18</v>
      </c>
    </row>
    <row r="55">
      <c r="A55" s="29" t="s">
        <v>82</v>
      </c>
      <c r="B55" s="25">
        <f>IF(B52="","",ROUND(B52*B53/(B10*60),0))</f>
        <v>1865</v>
      </c>
      <c r="C55" s="26" t="s">
        <v>80</v>
      </c>
      <c r="D55" s="24" t="s">
        <v>83</v>
      </c>
      <c r="E55" s="25">
        <f>IF(OR(E50="",E11="",E13=""),"",IF(E9="",IF(E51="","",ROUND(E50/(E51*E11*E13),0)), ROUND(E50/(E9*E11*E13),0)))</f>
        <v>12</v>
      </c>
      <c r="F55" s="25" t="s">
        <v>18</v>
      </c>
    </row>
    <row r="56">
      <c r="A56" s="30" t="s">
        <v>84</v>
      </c>
      <c r="B56" s="31">
        <f>IF(B54="","",ROUND(B54/B11,0))</f>
        <v>188599</v>
      </c>
      <c r="C56" s="32" t="s">
        <v>85</v>
      </c>
      <c r="D56" s="21" t="s">
        <v>86</v>
      </c>
      <c r="E56" s="22">
        <f>IF(OR(E49="",E12="",E11=""),"",IF(E9="",IF(E51="","",ROUNDUP(E49/(E51*E12*E11))), ROUNDUP(E49/(E9*E12*E11))))</f>
        <v>2</v>
      </c>
      <c r="F56" s="28" t="s">
        <v>28</v>
      </c>
    </row>
    <row r="57">
      <c r="A57" s="27" t="s">
        <v>87</v>
      </c>
      <c r="B57" s="22">
        <f>IF(B55="","",ROUND(B55/B11,0))</f>
        <v>622</v>
      </c>
      <c r="C57" s="28" t="s">
        <v>85</v>
      </c>
      <c r="D57" s="33" t="s">
        <v>88</v>
      </c>
      <c r="E57" s="22">
        <f>IF(OR(E50="",E12="",E11=""),"",IF(E9="",IF(E51="","",ROUNDUP(E50/(E51*E12*E11))), ROUNDUP(E50/(E9*E12*E11))))</f>
        <v>1</v>
      </c>
      <c r="F57" s="34" t="s">
        <v>28</v>
      </c>
    </row>
    <row r="58">
      <c r="A58" s="35" t="s">
        <v>89</v>
      </c>
      <c r="C58" s="20"/>
      <c r="F58" s="5"/>
    </row>
    <row r="59">
      <c r="A59" s="36" t="s">
        <v>90</v>
      </c>
      <c r="C59" s="20"/>
      <c r="F59" s="5"/>
    </row>
    <row r="60">
      <c r="A60" s="37" t="s">
        <v>91</v>
      </c>
      <c r="C60" s="20"/>
      <c r="F60" s="5"/>
    </row>
    <row r="61">
      <c r="A61" s="6" t="s">
        <v>92</v>
      </c>
      <c r="B61" s="13">
        <f>IF(OR(B6="",B5=""),"",B6*B5*8.34)</f>
        <v>2502</v>
      </c>
      <c r="C61" s="8" t="s">
        <v>93</v>
      </c>
      <c r="F61" s="5"/>
    </row>
    <row r="62">
      <c r="A62" s="38" t="s">
        <v>94</v>
      </c>
      <c r="B62" s="39">
        <f>IF(OR(B51="",B53=""),"",ROUND(B51*B53,0))</f>
        <v>814748819</v>
      </c>
      <c r="C62" s="40" t="s">
        <v>95</v>
      </c>
      <c r="F62" s="5"/>
    </row>
    <row r="63">
      <c r="A63" s="38" t="s">
        <v>96</v>
      </c>
      <c r="B63" s="39">
        <f>IF(OR(B52="",B53=""),"",ROUND(B52*B53,0))</f>
        <v>2685917</v>
      </c>
      <c r="C63" s="40" t="s">
        <v>95</v>
      </c>
      <c r="F63" s="5"/>
    </row>
    <row r="64">
      <c r="A64" s="38" t="s">
        <v>97</v>
      </c>
      <c r="B64" s="39">
        <f>IF(OR(B61="",B62=""),"",ROUND(B62/B61,0))</f>
        <v>325639</v>
      </c>
      <c r="C64" s="40" t="s">
        <v>98</v>
      </c>
      <c r="F64" s="5"/>
    </row>
    <row r="65">
      <c r="A65" s="38" t="s">
        <v>99</v>
      </c>
      <c r="B65" s="39">
        <f>IF(OR(B61="",B63=""),"",ROUND(B63/B61,0))</f>
        <v>1074</v>
      </c>
      <c r="C65" s="40" t="s">
        <v>98</v>
      </c>
      <c r="F65" s="5"/>
    </row>
    <row r="66">
      <c r="C66" s="20"/>
      <c r="F66" s="5"/>
    </row>
    <row r="67">
      <c r="C67" s="20"/>
      <c r="F67" s="5"/>
    </row>
    <row r="68">
      <c r="C68" s="20"/>
      <c r="F68" s="5"/>
    </row>
    <row r="69">
      <c r="C69" s="20"/>
      <c r="F69" s="5"/>
    </row>
    <row r="70">
      <c r="C70" s="20"/>
      <c r="F70" s="5"/>
    </row>
    <row r="71">
      <c r="C71" s="20"/>
      <c r="F71" s="5"/>
    </row>
    <row r="72">
      <c r="C72" s="20"/>
      <c r="F72" s="5"/>
    </row>
    <row r="73">
      <c r="C73" s="20"/>
      <c r="F73" s="5"/>
    </row>
    <row r="74">
      <c r="C74" s="20"/>
      <c r="F74" s="5"/>
    </row>
    <row r="75">
      <c r="C75" s="20"/>
      <c r="F75" s="5"/>
    </row>
    <row r="76">
      <c r="C76" s="20"/>
      <c r="F76" s="5"/>
    </row>
    <row r="77">
      <c r="C77" s="20"/>
      <c r="F77" s="5"/>
    </row>
    <row r="78">
      <c r="C78" s="20"/>
      <c r="F78" s="5"/>
    </row>
    <row r="79">
      <c r="C79" s="20"/>
      <c r="F79" s="5"/>
    </row>
    <row r="80">
      <c r="C80" s="20"/>
      <c r="F80" s="5"/>
    </row>
    <row r="81">
      <c r="C81" s="20"/>
      <c r="F81" s="5"/>
    </row>
    <row r="82">
      <c r="C82" s="20"/>
      <c r="F82" s="5"/>
    </row>
    <row r="83">
      <c r="C83" s="20"/>
      <c r="F83" s="5"/>
    </row>
    <row r="84">
      <c r="C84" s="20"/>
      <c r="F84" s="5"/>
    </row>
    <row r="85">
      <c r="C85" s="20"/>
      <c r="F85" s="5"/>
    </row>
    <row r="86">
      <c r="C86" s="20"/>
      <c r="F86" s="5"/>
    </row>
    <row r="87">
      <c r="C87" s="20"/>
      <c r="F87" s="5"/>
    </row>
    <row r="88">
      <c r="C88" s="20"/>
      <c r="F88" s="5"/>
    </row>
    <row r="89">
      <c r="C89" s="20"/>
      <c r="F89" s="5"/>
    </row>
    <row r="90">
      <c r="C90" s="20"/>
      <c r="F90" s="5"/>
    </row>
    <row r="91">
      <c r="C91" s="20"/>
      <c r="F91" s="5"/>
    </row>
    <row r="92">
      <c r="C92" s="20"/>
      <c r="F92" s="5"/>
    </row>
    <row r="93">
      <c r="C93" s="20"/>
      <c r="F93" s="5"/>
    </row>
    <row r="94">
      <c r="C94" s="20"/>
      <c r="F94" s="5"/>
    </row>
    <row r="95">
      <c r="C95" s="20"/>
      <c r="F95" s="5"/>
    </row>
    <row r="96">
      <c r="C96" s="20"/>
      <c r="F96" s="5"/>
    </row>
    <row r="97">
      <c r="C97" s="20"/>
      <c r="F97" s="5"/>
    </row>
    <row r="98">
      <c r="C98" s="20"/>
      <c r="F98" s="5"/>
    </row>
    <row r="99">
      <c r="C99" s="20"/>
      <c r="F99" s="5"/>
    </row>
    <row r="100">
      <c r="C100" s="20"/>
      <c r="F100" s="5"/>
    </row>
    <row r="101">
      <c r="C101" s="20"/>
      <c r="F101" s="5"/>
    </row>
    <row r="102">
      <c r="C102" s="20"/>
      <c r="F102" s="5"/>
    </row>
    <row r="103">
      <c r="C103" s="20"/>
      <c r="F103" s="5"/>
    </row>
    <row r="104">
      <c r="C104" s="20"/>
      <c r="F104" s="5"/>
    </row>
    <row r="105">
      <c r="C105" s="20"/>
      <c r="F105" s="5"/>
    </row>
    <row r="106">
      <c r="C106" s="20"/>
      <c r="F106" s="5"/>
    </row>
    <row r="107">
      <c r="C107" s="20"/>
      <c r="F107" s="5"/>
    </row>
    <row r="108">
      <c r="C108" s="20"/>
      <c r="F108" s="5"/>
    </row>
    <row r="109">
      <c r="C109" s="20"/>
      <c r="F109" s="5"/>
    </row>
    <row r="110">
      <c r="C110" s="20"/>
      <c r="F110" s="5"/>
    </row>
    <row r="111">
      <c r="C111" s="20"/>
      <c r="F111" s="5"/>
    </row>
    <row r="112">
      <c r="C112" s="20"/>
      <c r="F112" s="5"/>
    </row>
    <row r="113">
      <c r="C113" s="20"/>
      <c r="F113" s="5"/>
    </row>
    <row r="114">
      <c r="C114" s="20"/>
      <c r="F114" s="5"/>
    </row>
    <row r="115">
      <c r="C115" s="20"/>
      <c r="F115" s="5"/>
    </row>
    <row r="116">
      <c r="C116" s="20"/>
      <c r="F116" s="5"/>
    </row>
    <row r="117">
      <c r="C117" s="20"/>
      <c r="F117" s="5"/>
    </row>
    <row r="118">
      <c r="C118" s="20"/>
      <c r="F118" s="5"/>
    </row>
    <row r="119">
      <c r="C119" s="20"/>
      <c r="F119" s="5"/>
    </row>
    <row r="120">
      <c r="C120" s="20"/>
      <c r="F120" s="5"/>
    </row>
    <row r="121">
      <c r="C121" s="20"/>
      <c r="F121" s="5"/>
    </row>
    <row r="122">
      <c r="C122" s="20"/>
      <c r="F122" s="5"/>
    </row>
    <row r="123">
      <c r="C123" s="20"/>
      <c r="F123" s="5"/>
    </row>
    <row r="124">
      <c r="C124" s="20"/>
      <c r="F124" s="5"/>
    </row>
    <row r="125">
      <c r="C125" s="20"/>
      <c r="F125" s="5"/>
    </row>
    <row r="126">
      <c r="C126" s="20"/>
      <c r="F126" s="5"/>
    </row>
    <row r="127">
      <c r="C127" s="20"/>
      <c r="F127" s="5"/>
    </row>
    <row r="128">
      <c r="C128" s="20"/>
      <c r="F128" s="5"/>
    </row>
    <row r="129">
      <c r="C129" s="20"/>
      <c r="F129" s="5"/>
    </row>
    <row r="130">
      <c r="C130" s="20"/>
      <c r="F130" s="5"/>
    </row>
    <row r="131">
      <c r="C131" s="20"/>
      <c r="F131" s="5"/>
    </row>
    <row r="132">
      <c r="C132" s="20"/>
      <c r="F132" s="5"/>
    </row>
    <row r="133">
      <c r="C133" s="20"/>
      <c r="F133" s="5"/>
    </row>
    <row r="134">
      <c r="C134" s="20"/>
      <c r="F134" s="5"/>
    </row>
    <row r="135">
      <c r="C135" s="20"/>
      <c r="F135" s="5"/>
    </row>
    <row r="136">
      <c r="C136" s="20"/>
      <c r="F136" s="5"/>
    </row>
    <row r="137">
      <c r="C137" s="20"/>
      <c r="F137" s="5"/>
    </row>
    <row r="138">
      <c r="C138" s="20"/>
      <c r="F138" s="5"/>
    </row>
    <row r="139">
      <c r="C139" s="20"/>
      <c r="F139" s="5"/>
    </row>
    <row r="140">
      <c r="C140" s="20"/>
      <c r="F140" s="5"/>
    </row>
    <row r="141">
      <c r="C141" s="20"/>
      <c r="F141" s="5"/>
    </row>
    <row r="142">
      <c r="C142" s="20"/>
      <c r="F142" s="5"/>
    </row>
    <row r="143">
      <c r="C143" s="20"/>
      <c r="F143" s="5"/>
    </row>
    <row r="144">
      <c r="C144" s="20"/>
      <c r="F144" s="5"/>
    </row>
    <row r="145">
      <c r="C145" s="20"/>
      <c r="F145" s="5"/>
    </row>
    <row r="146">
      <c r="C146" s="20"/>
      <c r="F146" s="5"/>
    </row>
    <row r="147">
      <c r="C147" s="20"/>
      <c r="F147" s="5"/>
    </row>
    <row r="148">
      <c r="C148" s="20"/>
      <c r="F148" s="5"/>
    </row>
    <row r="149">
      <c r="C149" s="20"/>
      <c r="F149" s="5"/>
    </row>
    <row r="150">
      <c r="C150" s="20"/>
      <c r="F150" s="5"/>
    </row>
    <row r="151">
      <c r="C151" s="20"/>
      <c r="F151" s="5"/>
    </row>
    <row r="152">
      <c r="C152" s="20"/>
      <c r="F152" s="5"/>
    </row>
    <row r="153">
      <c r="C153" s="20"/>
      <c r="F153" s="5"/>
    </row>
    <row r="154">
      <c r="C154" s="20"/>
      <c r="F154" s="5"/>
    </row>
    <row r="155">
      <c r="C155" s="20"/>
      <c r="F155" s="5"/>
    </row>
    <row r="156">
      <c r="C156" s="20"/>
      <c r="F156" s="5"/>
    </row>
    <row r="157">
      <c r="C157" s="20"/>
      <c r="F157" s="5"/>
    </row>
    <row r="158">
      <c r="C158" s="20"/>
      <c r="F158" s="5"/>
    </row>
    <row r="159">
      <c r="C159" s="20"/>
      <c r="F159" s="5"/>
    </row>
    <row r="160">
      <c r="C160" s="20"/>
      <c r="F160" s="5"/>
    </row>
    <row r="161">
      <c r="C161" s="20"/>
      <c r="F161" s="5"/>
    </row>
    <row r="162">
      <c r="C162" s="20"/>
      <c r="F162" s="5"/>
    </row>
    <row r="163">
      <c r="C163" s="20"/>
      <c r="F163" s="5"/>
    </row>
    <row r="164">
      <c r="C164" s="20"/>
      <c r="F164" s="5"/>
    </row>
    <row r="165">
      <c r="C165" s="20"/>
      <c r="F165" s="5"/>
    </row>
    <row r="166">
      <c r="C166" s="20"/>
      <c r="F166" s="5"/>
    </row>
    <row r="167">
      <c r="C167" s="20"/>
      <c r="F167" s="5"/>
    </row>
    <row r="168">
      <c r="C168" s="20"/>
      <c r="F168" s="5"/>
    </row>
    <row r="169">
      <c r="C169" s="20"/>
      <c r="F169" s="5"/>
    </row>
    <row r="170">
      <c r="C170" s="20"/>
      <c r="F170" s="5"/>
    </row>
    <row r="171">
      <c r="C171" s="20"/>
      <c r="F171" s="5"/>
    </row>
    <row r="172">
      <c r="C172" s="20"/>
      <c r="F172" s="5"/>
    </row>
    <row r="173">
      <c r="C173" s="20"/>
      <c r="F173" s="5"/>
    </row>
    <row r="174">
      <c r="C174" s="20"/>
      <c r="F174" s="5"/>
    </row>
    <row r="175">
      <c r="C175" s="20"/>
      <c r="F175" s="5"/>
    </row>
    <row r="176">
      <c r="C176" s="20"/>
      <c r="F176" s="5"/>
    </row>
    <row r="177">
      <c r="C177" s="20"/>
      <c r="F177" s="5"/>
    </row>
    <row r="178">
      <c r="C178" s="20"/>
      <c r="F178" s="5"/>
    </row>
    <row r="179">
      <c r="C179" s="20"/>
      <c r="F179" s="5"/>
    </row>
    <row r="180">
      <c r="C180" s="20"/>
      <c r="F180" s="5"/>
    </row>
    <row r="181">
      <c r="C181" s="20"/>
      <c r="F181" s="5"/>
    </row>
    <row r="182">
      <c r="C182" s="20"/>
      <c r="F182" s="5"/>
    </row>
    <row r="183">
      <c r="C183" s="20"/>
      <c r="F183" s="5"/>
    </row>
    <row r="184">
      <c r="C184" s="20"/>
      <c r="F184" s="5"/>
    </row>
    <row r="185">
      <c r="C185" s="20"/>
      <c r="F185" s="5"/>
    </row>
    <row r="186">
      <c r="C186" s="20"/>
      <c r="F186" s="5"/>
    </row>
    <row r="187">
      <c r="C187" s="20"/>
      <c r="F187" s="5"/>
    </row>
    <row r="188">
      <c r="C188" s="20"/>
      <c r="F188" s="5"/>
    </row>
    <row r="189">
      <c r="C189" s="20"/>
      <c r="F189" s="5"/>
    </row>
    <row r="190">
      <c r="C190" s="20"/>
      <c r="F190" s="5"/>
    </row>
    <row r="191">
      <c r="C191" s="20"/>
      <c r="F191" s="5"/>
    </row>
    <row r="192">
      <c r="C192" s="20"/>
      <c r="F192" s="5"/>
    </row>
    <row r="193">
      <c r="C193" s="20"/>
      <c r="F193" s="5"/>
    </row>
    <row r="194">
      <c r="C194" s="20"/>
      <c r="F194" s="5"/>
    </row>
    <row r="195">
      <c r="C195" s="20"/>
      <c r="F195" s="5"/>
    </row>
    <row r="196">
      <c r="C196" s="20"/>
      <c r="F196" s="5"/>
    </row>
    <row r="197">
      <c r="C197" s="20"/>
      <c r="F197" s="5"/>
    </row>
    <row r="198">
      <c r="C198" s="20"/>
      <c r="F198" s="5"/>
    </row>
    <row r="199">
      <c r="C199" s="20"/>
      <c r="F199" s="5"/>
    </row>
    <row r="200">
      <c r="C200" s="20"/>
      <c r="F200" s="5"/>
    </row>
    <row r="201">
      <c r="C201" s="20"/>
      <c r="F201" s="5"/>
    </row>
    <row r="202">
      <c r="C202" s="20"/>
      <c r="F202" s="5"/>
    </row>
    <row r="203">
      <c r="C203" s="20"/>
      <c r="F203" s="5"/>
    </row>
    <row r="204">
      <c r="C204" s="20"/>
      <c r="F204" s="5"/>
    </row>
    <row r="205">
      <c r="C205" s="20"/>
      <c r="F205" s="5"/>
    </row>
    <row r="206">
      <c r="C206" s="20"/>
      <c r="F206" s="5"/>
    </row>
    <row r="207">
      <c r="C207" s="20"/>
      <c r="F207" s="5"/>
    </row>
    <row r="208">
      <c r="C208" s="20"/>
      <c r="F208" s="5"/>
    </row>
    <row r="209">
      <c r="C209" s="20"/>
      <c r="F209" s="5"/>
    </row>
    <row r="210">
      <c r="C210" s="20"/>
      <c r="F210" s="5"/>
    </row>
    <row r="211">
      <c r="C211" s="20"/>
      <c r="F211" s="5"/>
    </row>
    <row r="212">
      <c r="C212" s="20"/>
      <c r="F212" s="5"/>
    </row>
    <row r="213">
      <c r="C213" s="20"/>
      <c r="F213" s="5"/>
    </row>
    <row r="214">
      <c r="C214" s="20"/>
      <c r="F214" s="5"/>
    </row>
    <row r="215">
      <c r="C215" s="20"/>
      <c r="F215" s="5"/>
    </row>
    <row r="216">
      <c r="C216" s="20"/>
      <c r="F216" s="5"/>
    </row>
    <row r="217">
      <c r="C217" s="20"/>
      <c r="F217" s="5"/>
    </row>
    <row r="218">
      <c r="C218" s="20"/>
      <c r="F218" s="5"/>
    </row>
    <row r="219">
      <c r="C219" s="20"/>
      <c r="F219" s="5"/>
    </row>
    <row r="220">
      <c r="C220" s="20"/>
      <c r="F220" s="5"/>
    </row>
    <row r="221">
      <c r="C221" s="20"/>
      <c r="F221" s="5"/>
    </row>
    <row r="222">
      <c r="C222" s="20"/>
      <c r="F222" s="5"/>
    </row>
    <row r="223">
      <c r="C223" s="20"/>
      <c r="F223" s="5"/>
    </row>
    <row r="224">
      <c r="C224" s="20"/>
      <c r="F224" s="5"/>
    </row>
    <row r="225">
      <c r="C225" s="20"/>
      <c r="F225" s="5"/>
    </row>
    <row r="226">
      <c r="C226" s="20"/>
      <c r="F226" s="5"/>
    </row>
    <row r="227">
      <c r="C227" s="20"/>
      <c r="F227" s="5"/>
    </row>
    <row r="228">
      <c r="C228" s="20"/>
      <c r="F228" s="5"/>
    </row>
    <row r="229">
      <c r="C229" s="20"/>
      <c r="F229" s="5"/>
    </row>
    <row r="230">
      <c r="C230" s="20"/>
      <c r="F230" s="5"/>
    </row>
    <row r="231">
      <c r="C231" s="20"/>
      <c r="F231" s="5"/>
    </row>
    <row r="232">
      <c r="C232" s="20"/>
      <c r="F232" s="5"/>
    </row>
    <row r="233">
      <c r="C233" s="20"/>
      <c r="F233" s="5"/>
    </row>
    <row r="234">
      <c r="C234" s="20"/>
      <c r="F234" s="5"/>
    </row>
    <row r="235">
      <c r="C235" s="20"/>
      <c r="F235" s="5"/>
    </row>
    <row r="236">
      <c r="C236" s="20"/>
      <c r="F236" s="5"/>
    </row>
    <row r="237">
      <c r="C237" s="20"/>
      <c r="F237" s="5"/>
    </row>
    <row r="238">
      <c r="C238" s="20"/>
      <c r="F238" s="5"/>
    </row>
    <row r="239">
      <c r="C239" s="20"/>
      <c r="F239" s="5"/>
    </row>
    <row r="240">
      <c r="C240" s="20"/>
      <c r="F240" s="5"/>
    </row>
    <row r="241">
      <c r="C241" s="20"/>
      <c r="F241" s="5"/>
    </row>
    <row r="242">
      <c r="C242" s="20"/>
      <c r="F242" s="5"/>
    </row>
    <row r="243">
      <c r="C243" s="20"/>
      <c r="F243" s="5"/>
    </row>
    <row r="244">
      <c r="C244" s="20"/>
      <c r="F244" s="5"/>
    </row>
    <row r="245">
      <c r="C245" s="20"/>
      <c r="F245" s="5"/>
    </row>
    <row r="246">
      <c r="C246" s="20"/>
      <c r="F246" s="5"/>
    </row>
    <row r="247">
      <c r="C247" s="20"/>
      <c r="F247" s="5"/>
    </row>
    <row r="248">
      <c r="C248" s="20"/>
      <c r="F248" s="5"/>
    </row>
    <row r="249">
      <c r="C249" s="20"/>
      <c r="F249" s="5"/>
    </row>
    <row r="250">
      <c r="C250" s="20"/>
      <c r="F250" s="5"/>
    </row>
    <row r="251">
      <c r="C251" s="20"/>
      <c r="F251" s="5"/>
    </row>
    <row r="252">
      <c r="C252" s="20"/>
      <c r="F252" s="5"/>
    </row>
    <row r="253">
      <c r="C253" s="20"/>
      <c r="F253" s="5"/>
    </row>
    <row r="254">
      <c r="C254" s="20"/>
      <c r="F254" s="5"/>
    </row>
    <row r="255">
      <c r="C255" s="20"/>
      <c r="F255" s="5"/>
    </row>
    <row r="256">
      <c r="C256" s="20"/>
      <c r="F256" s="5"/>
    </row>
    <row r="257">
      <c r="C257" s="20"/>
      <c r="F257" s="5"/>
    </row>
    <row r="258">
      <c r="C258" s="20"/>
      <c r="F258" s="5"/>
    </row>
    <row r="259">
      <c r="C259" s="20"/>
      <c r="F259" s="5"/>
    </row>
    <row r="260">
      <c r="C260" s="20"/>
      <c r="F260" s="5"/>
    </row>
    <row r="261">
      <c r="C261" s="20"/>
      <c r="F261" s="5"/>
    </row>
    <row r="262">
      <c r="C262" s="20"/>
      <c r="F262" s="5"/>
    </row>
    <row r="263">
      <c r="C263" s="20"/>
      <c r="F263" s="5"/>
    </row>
    <row r="264">
      <c r="C264" s="20"/>
      <c r="F264" s="5"/>
    </row>
    <row r="265">
      <c r="C265" s="20"/>
      <c r="F265" s="5"/>
    </row>
    <row r="266">
      <c r="C266" s="20"/>
      <c r="F266" s="5"/>
    </row>
    <row r="267">
      <c r="C267" s="20"/>
      <c r="F267" s="5"/>
    </row>
    <row r="268">
      <c r="C268" s="20"/>
      <c r="F268" s="5"/>
    </row>
    <row r="269">
      <c r="C269" s="20"/>
      <c r="F269" s="5"/>
    </row>
    <row r="270">
      <c r="C270" s="20"/>
      <c r="F270" s="5"/>
    </row>
    <row r="271">
      <c r="C271" s="20"/>
      <c r="F271" s="5"/>
    </row>
    <row r="272">
      <c r="C272" s="20"/>
      <c r="F272" s="5"/>
    </row>
    <row r="273">
      <c r="C273" s="20"/>
      <c r="F273" s="5"/>
    </row>
    <row r="274">
      <c r="C274" s="20"/>
      <c r="F274" s="5"/>
    </row>
    <row r="275">
      <c r="C275" s="20"/>
      <c r="F275" s="5"/>
    </row>
    <row r="276">
      <c r="C276" s="20"/>
      <c r="F276" s="5"/>
    </row>
    <row r="277">
      <c r="C277" s="20"/>
      <c r="F277" s="5"/>
    </row>
    <row r="278">
      <c r="C278" s="20"/>
      <c r="F278" s="5"/>
    </row>
    <row r="279">
      <c r="C279" s="20"/>
      <c r="F279" s="5"/>
    </row>
    <row r="280">
      <c r="C280" s="20"/>
      <c r="F280" s="5"/>
    </row>
    <row r="281">
      <c r="C281" s="20"/>
      <c r="F281" s="5"/>
    </row>
    <row r="282">
      <c r="C282" s="20"/>
      <c r="F282" s="5"/>
    </row>
    <row r="283">
      <c r="C283" s="20"/>
      <c r="F283" s="5"/>
    </row>
    <row r="284">
      <c r="C284" s="20"/>
      <c r="F284" s="5"/>
    </row>
    <row r="285">
      <c r="C285" s="20"/>
      <c r="F285" s="5"/>
    </row>
    <row r="286">
      <c r="C286" s="20"/>
      <c r="F286" s="5"/>
    </row>
    <row r="287">
      <c r="C287" s="20"/>
      <c r="F287" s="5"/>
    </row>
    <row r="288">
      <c r="C288" s="20"/>
      <c r="F288" s="5"/>
    </row>
    <row r="289">
      <c r="C289" s="20"/>
      <c r="F289" s="5"/>
    </row>
    <row r="290">
      <c r="C290" s="20"/>
      <c r="F290" s="5"/>
    </row>
    <row r="291">
      <c r="C291" s="20"/>
      <c r="F291" s="5"/>
    </row>
    <row r="292">
      <c r="C292" s="20"/>
      <c r="F292" s="5"/>
    </row>
    <row r="293">
      <c r="C293" s="20"/>
      <c r="F293" s="5"/>
    </row>
    <row r="294">
      <c r="C294" s="20"/>
      <c r="F294" s="5"/>
    </row>
    <row r="295">
      <c r="C295" s="20"/>
      <c r="F295" s="5"/>
    </row>
    <row r="296">
      <c r="C296" s="20"/>
      <c r="F296" s="5"/>
    </row>
    <row r="297">
      <c r="C297" s="20"/>
      <c r="F297" s="5"/>
    </row>
    <row r="298">
      <c r="C298" s="20"/>
      <c r="F298" s="5"/>
    </row>
    <row r="299">
      <c r="C299" s="20"/>
      <c r="F299" s="5"/>
    </row>
    <row r="300">
      <c r="C300" s="20"/>
      <c r="F300" s="5"/>
    </row>
    <row r="301">
      <c r="C301" s="20"/>
      <c r="F301" s="5"/>
    </row>
    <row r="302">
      <c r="C302" s="20"/>
      <c r="F302" s="5"/>
    </row>
    <row r="303">
      <c r="C303" s="20"/>
      <c r="F303" s="5"/>
    </row>
    <row r="304">
      <c r="C304" s="20"/>
      <c r="F304" s="5"/>
    </row>
    <row r="305">
      <c r="C305" s="20"/>
      <c r="F305" s="5"/>
    </row>
    <row r="306">
      <c r="C306" s="20"/>
      <c r="F306" s="5"/>
    </row>
    <row r="307">
      <c r="C307" s="20"/>
      <c r="F307" s="5"/>
    </row>
    <row r="308">
      <c r="C308" s="20"/>
      <c r="F308" s="5"/>
    </row>
    <row r="309">
      <c r="C309" s="20"/>
      <c r="F309" s="5"/>
    </row>
    <row r="310">
      <c r="C310" s="20"/>
      <c r="F310" s="5"/>
    </row>
    <row r="311">
      <c r="C311" s="20"/>
      <c r="F311" s="5"/>
    </row>
    <row r="312">
      <c r="C312" s="20"/>
      <c r="F312" s="5"/>
    </row>
    <row r="313">
      <c r="C313" s="20"/>
      <c r="F313" s="5"/>
    </row>
    <row r="314">
      <c r="C314" s="20"/>
      <c r="F314" s="5"/>
    </row>
    <row r="315">
      <c r="C315" s="20"/>
      <c r="F315" s="5"/>
    </row>
    <row r="316">
      <c r="C316" s="20"/>
      <c r="F316" s="5"/>
    </row>
    <row r="317">
      <c r="C317" s="20"/>
      <c r="F317" s="5"/>
    </row>
    <row r="318">
      <c r="C318" s="20"/>
      <c r="F318" s="5"/>
    </row>
    <row r="319">
      <c r="C319" s="20"/>
      <c r="F319" s="5"/>
    </row>
    <row r="320">
      <c r="C320" s="20"/>
      <c r="F320" s="5"/>
    </row>
    <row r="321">
      <c r="C321" s="20"/>
      <c r="F321" s="5"/>
    </row>
    <row r="322">
      <c r="C322" s="20"/>
      <c r="F322" s="5"/>
    </row>
    <row r="323">
      <c r="C323" s="20"/>
      <c r="F323" s="5"/>
    </row>
    <row r="324">
      <c r="C324" s="20"/>
      <c r="F324" s="5"/>
    </row>
    <row r="325">
      <c r="C325" s="20"/>
      <c r="F325" s="5"/>
    </row>
    <row r="326">
      <c r="C326" s="20"/>
      <c r="F326" s="5"/>
    </row>
    <row r="327">
      <c r="C327" s="20"/>
      <c r="F327" s="5"/>
    </row>
    <row r="328">
      <c r="C328" s="20"/>
      <c r="F328" s="5"/>
    </row>
    <row r="329">
      <c r="C329" s="20"/>
      <c r="F329" s="5"/>
    </row>
    <row r="330">
      <c r="C330" s="20"/>
      <c r="F330" s="5"/>
    </row>
    <row r="331">
      <c r="C331" s="20"/>
      <c r="F331" s="5"/>
    </row>
    <row r="332">
      <c r="C332" s="20"/>
      <c r="F332" s="5"/>
    </row>
    <row r="333">
      <c r="C333" s="20"/>
      <c r="F333" s="5"/>
    </row>
    <row r="334">
      <c r="C334" s="20"/>
      <c r="F334" s="5"/>
    </row>
    <row r="335">
      <c r="C335" s="20"/>
      <c r="F335" s="5"/>
    </row>
    <row r="336">
      <c r="C336" s="20"/>
      <c r="F336" s="5"/>
    </row>
    <row r="337">
      <c r="C337" s="20"/>
      <c r="F337" s="5"/>
    </row>
    <row r="338">
      <c r="C338" s="20"/>
      <c r="F338" s="5"/>
    </row>
    <row r="339">
      <c r="C339" s="20"/>
      <c r="F339" s="5"/>
    </row>
    <row r="340">
      <c r="C340" s="20"/>
      <c r="F340" s="5"/>
    </row>
    <row r="341">
      <c r="C341" s="20"/>
      <c r="F341" s="5"/>
    </row>
    <row r="342">
      <c r="C342" s="20"/>
      <c r="F342" s="5"/>
    </row>
    <row r="343">
      <c r="C343" s="20"/>
      <c r="F343" s="5"/>
    </row>
    <row r="344">
      <c r="C344" s="20"/>
      <c r="F344" s="5"/>
    </row>
    <row r="345">
      <c r="C345" s="20"/>
      <c r="F345" s="5"/>
    </row>
    <row r="346">
      <c r="C346" s="20"/>
      <c r="F346" s="5"/>
    </row>
    <row r="347">
      <c r="C347" s="20"/>
      <c r="F347" s="5"/>
    </row>
    <row r="348">
      <c r="C348" s="20"/>
      <c r="F348" s="5"/>
    </row>
    <row r="349">
      <c r="C349" s="20"/>
      <c r="F349" s="5"/>
    </row>
    <row r="350">
      <c r="C350" s="20"/>
      <c r="F350" s="5"/>
    </row>
    <row r="351">
      <c r="C351" s="20"/>
      <c r="F351" s="5"/>
    </row>
    <row r="352">
      <c r="C352" s="20"/>
      <c r="F352" s="5"/>
    </row>
    <row r="353">
      <c r="C353" s="20"/>
      <c r="F353" s="5"/>
    </row>
    <row r="354">
      <c r="C354" s="20"/>
      <c r="F354" s="5"/>
    </row>
    <row r="355">
      <c r="C355" s="20"/>
      <c r="F355" s="5"/>
    </row>
    <row r="356">
      <c r="C356" s="20"/>
      <c r="F356" s="5"/>
    </row>
    <row r="357">
      <c r="C357" s="20"/>
      <c r="F357" s="5"/>
    </row>
    <row r="358">
      <c r="C358" s="20"/>
      <c r="F358" s="5"/>
    </row>
    <row r="359">
      <c r="C359" s="20"/>
      <c r="F359" s="5"/>
    </row>
    <row r="360">
      <c r="C360" s="20"/>
      <c r="F360" s="5"/>
    </row>
    <row r="361">
      <c r="C361" s="20"/>
      <c r="F361" s="5"/>
    </row>
    <row r="362">
      <c r="C362" s="20"/>
      <c r="F362" s="5"/>
    </row>
    <row r="363">
      <c r="C363" s="20"/>
      <c r="F363" s="5"/>
    </row>
    <row r="364">
      <c r="C364" s="20"/>
      <c r="F364" s="5"/>
    </row>
    <row r="365">
      <c r="C365" s="20"/>
      <c r="F365" s="5"/>
    </row>
    <row r="366">
      <c r="C366" s="20"/>
      <c r="F366" s="5"/>
    </row>
    <row r="367">
      <c r="C367" s="20"/>
      <c r="F367" s="5"/>
    </row>
    <row r="368">
      <c r="C368" s="20"/>
      <c r="F368" s="5"/>
    </row>
    <row r="369">
      <c r="C369" s="20"/>
      <c r="F369" s="5"/>
    </row>
    <row r="370">
      <c r="C370" s="20"/>
      <c r="F370" s="5"/>
    </row>
    <row r="371">
      <c r="C371" s="20"/>
      <c r="F371" s="5"/>
    </row>
    <row r="372">
      <c r="C372" s="20"/>
      <c r="F372" s="5"/>
    </row>
    <row r="373">
      <c r="C373" s="20"/>
      <c r="F373" s="5"/>
    </row>
    <row r="374">
      <c r="C374" s="20"/>
      <c r="F374" s="5"/>
    </row>
    <row r="375">
      <c r="C375" s="20"/>
      <c r="F375" s="5"/>
    </row>
    <row r="376">
      <c r="C376" s="20"/>
      <c r="F376" s="5"/>
    </row>
    <row r="377">
      <c r="C377" s="20"/>
      <c r="F377" s="5"/>
    </row>
    <row r="378">
      <c r="C378" s="20"/>
      <c r="F378" s="5"/>
    </row>
    <row r="379">
      <c r="C379" s="20"/>
      <c r="F379" s="5"/>
    </row>
    <row r="380">
      <c r="C380" s="20"/>
      <c r="F380" s="5"/>
    </row>
    <row r="381">
      <c r="C381" s="20"/>
      <c r="F381" s="5"/>
    </row>
    <row r="382">
      <c r="C382" s="20"/>
      <c r="F382" s="5"/>
    </row>
    <row r="383">
      <c r="C383" s="20"/>
      <c r="F383" s="5"/>
    </row>
    <row r="384">
      <c r="C384" s="20"/>
      <c r="F384" s="5"/>
    </row>
    <row r="385">
      <c r="C385" s="20"/>
      <c r="F385" s="5"/>
    </row>
    <row r="386">
      <c r="C386" s="20"/>
      <c r="F386" s="5"/>
    </row>
    <row r="387">
      <c r="C387" s="20"/>
      <c r="F387" s="5"/>
    </row>
    <row r="388">
      <c r="C388" s="20"/>
      <c r="F388" s="5"/>
    </row>
    <row r="389">
      <c r="C389" s="20"/>
      <c r="F389" s="5"/>
    </row>
    <row r="390">
      <c r="C390" s="20"/>
      <c r="F390" s="5"/>
    </row>
    <row r="391">
      <c r="C391" s="20"/>
      <c r="F391" s="5"/>
    </row>
    <row r="392">
      <c r="C392" s="20"/>
      <c r="F392" s="5"/>
    </row>
    <row r="393">
      <c r="C393" s="20"/>
      <c r="F393" s="5"/>
    </row>
    <row r="394">
      <c r="C394" s="20"/>
      <c r="F394" s="5"/>
    </row>
    <row r="395">
      <c r="C395" s="20"/>
      <c r="F395" s="5"/>
    </row>
    <row r="396">
      <c r="C396" s="20"/>
      <c r="F396" s="5"/>
    </row>
    <row r="397">
      <c r="C397" s="20"/>
      <c r="F397" s="5"/>
    </row>
    <row r="398">
      <c r="C398" s="20"/>
      <c r="F398" s="5"/>
    </row>
    <row r="399">
      <c r="C399" s="20"/>
      <c r="F399" s="5"/>
    </row>
    <row r="400">
      <c r="C400" s="20"/>
      <c r="F400" s="5"/>
    </row>
    <row r="401">
      <c r="C401" s="20"/>
      <c r="F401" s="5"/>
    </row>
    <row r="402">
      <c r="C402" s="20"/>
      <c r="F402" s="5"/>
    </row>
    <row r="403">
      <c r="C403" s="20"/>
      <c r="F403" s="5"/>
    </row>
    <row r="404">
      <c r="C404" s="20"/>
      <c r="F404" s="5"/>
    </row>
    <row r="405">
      <c r="C405" s="20"/>
      <c r="F405" s="5"/>
    </row>
    <row r="406">
      <c r="C406" s="20"/>
      <c r="F406" s="5"/>
    </row>
    <row r="407">
      <c r="C407" s="20"/>
      <c r="F407" s="5"/>
    </row>
    <row r="408">
      <c r="C408" s="20"/>
      <c r="F408" s="5"/>
    </row>
    <row r="409">
      <c r="C409" s="20"/>
      <c r="F409" s="5"/>
    </row>
    <row r="410">
      <c r="C410" s="20"/>
      <c r="F410" s="5"/>
    </row>
    <row r="411">
      <c r="C411" s="20"/>
      <c r="F411" s="5"/>
    </row>
    <row r="412">
      <c r="C412" s="20"/>
      <c r="F412" s="5"/>
    </row>
    <row r="413">
      <c r="C413" s="20"/>
      <c r="F413" s="5"/>
    </row>
    <row r="414">
      <c r="C414" s="20"/>
      <c r="F414" s="5"/>
    </row>
    <row r="415">
      <c r="C415" s="20"/>
      <c r="F415" s="5"/>
    </row>
    <row r="416">
      <c r="C416" s="20"/>
      <c r="F416" s="5"/>
    </row>
    <row r="417">
      <c r="C417" s="20"/>
      <c r="F417" s="5"/>
    </row>
    <row r="418">
      <c r="C418" s="20"/>
      <c r="F418" s="5"/>
    </row>
    <row r="419">
      <c r="C419" s="20"/>
      <c r="F419" s="5"/>
    </row>
    <row r="420">
      <c r="C420" s="20"/>
      <c r="F420" s="5"/>
    </row>
    <row r="421">
      <c r="C421" s="20"/>
      <c r="F421" s="5"/>
    </row>
    <row r="422">
      <c r="C422" s="20"/>
      <c r="F422" s="5"/>
    </row>
    <row r="423">
      <c r="C423" s="20"/>
      <c r="F423" s="5"/>
    </row>
    <row r="424">
      <c r="C424" s="20"/>
      <c r="F424" s="5"/>
    </row>
    <row r="425">
      <c r="C425" s="20"/>
      <c r="F425" s="5"/>
    </row>
    <row r="426">
      <c r="C426" s="20"/>
      <c r="F426" s="5"/>
    </row>
    <row r="427">
      <c r="C427" s="20"/>
      <c r="F427" s="5"/>
    </row>
    <row r="428">
      <c r="C428" s="20"/>
      <c r="F428" s="5"/>
    </row>
    <row r="429">
      <c r="C429" s="20"/>
      <c r="F429" s="5"/>
    </row>
    <row r="430">
      <c r="C430" s="20"/>
      <c r="F430" s="5"/>
    </row>
    <row r="431">
      <c r="C431" s="20"/>
      <c r="F431" s="5"/>
    </row>
    <row r="432">
      <c r="C432" s="20"/>
      <c r="F432" s="5"/>
    </row>
    <row r="433">
      <c r="C433" s="20"/>
      <c r="F433" s="5"/>
    </row>
    <row r="434">
      <c r="C434" s="20"/>
      <c r="F434" s="5"/>
    </row>
    <row r="435">
      <c r="C435" s="20"/>
      <c r="F435" s="5"/>
    </row>
    <row r="436">
      <c r="C436" s="20"/>
      <c r="F436" s="5"/>
    </row>
    <row r="437">
      <c r="C437" s="20"/>
      <c r="F437" s="5"/>
    </row>
    <row r="438">
      <c r="C438" s="20"/>
      <c r="F438" s="5"/>
    </row>
    <row r="439">
      <c r="C439" s="20"/>
      <c r="F439" s="5"/>
    </row>
    <row r="440">
      <c r="C440" s="20"/>
      <c r="F440" s="5"/>
    </row>
    <row r="441">
      <c r="C441" s="20"/>
      <c r="F441" s="5"/>
    </row>
    <row r="442">
      <c r="C442" s="20"/>
      <c r="F442" s="5"/>
    </row>
    <row r="443">
      <c r="C443" s="20"/>
      <c r="F443" s="5"/>
    </row>
    <row r="444">
      <c r="C444" s="20"/>
      <c r="F444" s="5"/>
    </row>
    <row r="445">
      <c r="C445" s="20"/>
      <c r="F445" s="5"/>
    </row>
    <row r="446">
      <c r="C446" s="20"/>
      <c r="F446" s="5"/>
    </row>
    <row r="447">
      <c r="C447" s="20"/>
      <c r="F447" s="5"/>
    </row>
    <row r="448">
      <c r="C448" s="20"/>
      <c r="F448" s="5"/>
    </row>
    <row r="449">
      <c r="C449" s="20"/>
      <c r="F449" s="5"/>
    </row>
    <row r="450">
      <c r="C450" s="20"/>
      <c r="F450" s="5"/>
    </row>
    <row r="451">
      <c r="C451" s="20"/>
      <c r="F451" s="5"/>
    </row>
    <row r="452">
      <c r="C452" s="20"/>
      <c r="F452" s="5"/>
    </row>
    <row r="453">
      <c r="C453" s="20"/>
      <c r="F453" s="5"/>
    </row>
    <row r="454">
      <c r="C454" s="20"/>
      <c r="F454" s="5"/>
    </row>
    <row r="455">
      <c r="C455" s="20"/>
      <c r="F455" s="5"/>
    </row>
    <row r="456">
      <c r="C456" s="20"/>
      <c r="F456" s="5"/>
    </row>
    <row r="457">
      <c r="C457" s="20"/>
      <c r="F457" s="5"/>
    </row>
    <row r="458">
      <c r="C458" s="20"/>
      <c r="F458" s="5"/>
    </row>
    <row r="459">
      <c r="C459" s="20"/>
      <c r="F459" s="5"/>
    </row>
    <row r="460">
      <c r="C460" s="20"/>
      <c r="F460" s="5"/>
    </row>
    <row r="461">
      <c r="C461" s="20"/>
      <c r="F461" s="5"/>
    </row>
    <row r="462">
      <c r="C462" s="20"/>
      <c r="F462" s="5"/>
    </row>
    <row r="463">
      <c r="C463" s="20"/>
      <c r="F463" s="5"/>
    </row>
    <row r="464">
      <c r="C464" s="20"/>
      <c r="F464" s="5"/>
    </row>
    <row r="465">
      <c r="C465" s="20"/>
      <c r="F465" s="5"/>
    </row>
    <row r="466">
      <c r="C466" s="20"/>
      <c r="F466" s="5"/>
    </row>
    <row r="467">
      <c r="C467" s="20"/>
      <c r="F467" s="5"/>
    </row>
    <row r="468">
      <c r="C468" s="20"/>
      <c r="F468" s="5"/>
    </row>
    <row r="469">
      <c r="C469" s="20"/>
      <c r="F469" s="5"/>
    </row>
    <row r="470">
      <c r="C470" s="20"/>
      <c r="F470" s="5"/>
    </row>
    <row r="471">
      <c r="C471" s="20"/>
      <c r="F471" s="5"/>
    </row>
    <row r="472">
      <c r="C472" s="20"/>
      <c r="F472" s="5"/>
    </row>
    <row r="473">
      <c r="C473" s="20"/>
      <c r="F473" s="5"/>
    </row>
    <row r="474">
      <c r="C474" s="20"/>
      <c r="F474" s="5"/>
    </row>
    <row r="475">
      <c r="C475" s="20"/>
      <c r="F475" s="5"/>
    </row>
    <row r="476">
      <c r="C476" s="20"/>
      <c r="F476" s="5"/>
    </row>
    <row r="477">
      <c r="C477" s="20"/>
      <c r="F477" s="5"/>
    </row>
    <row r="478">
      <c r="C478" s="20"/>
      <c r="F478" s="5"/>
    </row>
    <row r="479">
      <c r="C479" s="20"/>
      <c r="F479" s="5"/>
    </row>
    <row r="480">
      <c r="C480" s="20"/>
      <c r="F480" s="5"/>
    </row>
    <row r="481">
      <c r="C481" s="20"/>
      <c r="F481" s="5"/>
    </row>
    <row r="482">
      <c r="C482" s="20"/>
      <c r="F482" s="5"/>
    </row>
    <row r="483">
      <c r="C483" s="20"/>
      <c r="F483" s="5"/>
    </row>
    <row r="484">
      <c r="C484" s="20"/>
      <c r="F484" s="5"/>
    </row>
    <row r="485">
      <c r="C485" s="20"/>
      <c r="F485" s="5"/>
    </row>
    <row r="486">
      <c r="C486" s="20"/>
      <c r="F486" s="5"/>
    </row>
    <row r="487">
      <c r="C487" s="20"/>
      <c r="F487" s="5"/>
    </row>
    <row r="488">
      <c r="C488" s="20"/>
      <c r="F488" s="5"/>
    </row>
    <row r="489">
      <c r="C489" s="20"/>
      <c r="F489" s="5"/>
    </row>
    <row r="490">
      <c r="C490" s="20"/>
      <c r="F490" s="5"/>
    </row>
    <row r="491">
      <c r="C491" s="20"/>
      <c r="F491" s="5"/>
    </row>
    <row r="492">
      <c r="C492" s="20"/>
      <c r="F492" s="5"/>
    </row>
    <row r="493">
      <c r="C493" s="20"/>
      <c r="F493" s="5"/>
    </row>
    <row r="494">
      <c r="C494" s="20"/>
      <c r="F494" s="5"/>
    </row>
    <row r="495">
      <c r="C495" s="20"/>
      <c r="F495" s="5"/>
    </row>
    <row r="496">
      <c r="C496" s="20"/>
      <c r="F496" s="5"/>
    </row>
    <row r="497">
      <c r="C497" s="20"/>
      <c r="F497" s="5"/>
    </row>
    <row r="498">
      <c r="C498" s="20"/>
      <c r="F498" s="5"/>
    </row>
    <row r="499">
      <c r="C499" s="20"/>
      <c r="F499" s="5"/>
    </row>
    <row r="500">
      <c r="C500" s="20"/>
      <c r="F500" s="5"/>
    </row>
    <row r="501">
      <c r="C501" s="20"/>
      <c r="F501" s="5"/>
    </row>
    <row r="502">
      <c r="C502" s="20"/>
      <c r="F502" s="5"/>
    </row>
    <row r="503">
      <c r="C503" s="20"/>
      <c r="F503" s="5"/>
    </row>
    <row r="504">
      <c r="C504" s="20"/>
      <c r="F504" s="5"/>
    </row>
    <row r="505">
      <c r="C505" s="20"/>
      <c r="F505" s="5"/>
    </row>
    <row r="506">
      <c r="C506" s="20"/>
      <c r="F506" s="5"/>
    </row>
    <row r="507">
      <c r="C507" s="20"/>
      <c r="F507" s="5"/>
    </row>
    <row r="508">
      <c r="C508" s="20"/>
      <c r="F508" s="5"/>
    </row>
    <row r="509">
      <c r="C509" s="20"/>
      <c r="F509" s="5"/>
    </row>
    <row r="510">
      <c r="C510" s="20"/>
      <c r="F510" s="5"/>
    </row>
    <row r="511">
      <c r="C511" s="20"/>
      <c r="F511" s="5"/>
    </row>
    <row r="512">
      <c r="C512" s="20"/>
      <c r="F512" s="5"/>
    </row>
    <row r="513">
      <c r="C513" s="20"/>
      <c r="F513" s="5"/>
    </row>
    <row r="514">
      <c r="C514" s="20"/>
      <c r="F514" s="5"/>
    </row>
    <row r="515">
      <c r="C515" s="20"/>
      <c r="F515" s="5"/>
    </row>
    <row r="516">
      <c r="C516" s="20"/>
      <c r="F516" s="5"/>
    </row>
    <row r="517">
      <c r="C517" s="20"/>
      <c r="F517" s="5"/>
    </row>
    <row r="518">
      <c r="C518" s="20"/>
      <c r="F518" s="5"/>
    </row>
    <row r="519">
      <c r="C519" s="20"/>
      <c r="F519" s="5"/>
    </row>
    <row r="520">
      <c r="C520" s="20"/>
      <c r="F520" s="5"/>
    </row>
    <row r="521">
      <c r="C521" s="20"/>
      <c r="F521" s="5"/>
    </row>
    <row r="522">
      <c r="C522" s="20"/>
      <c r="F522" s="5"/>
    </row>
    <row r="523">
      <c r="C523" s="20"/>
      <c r="F523" s="5"/>
    </row>
    <row r="524">
      <c r="C524" s="20"/>
      <c r="F524" s="5"/>
    </row>
    <row r="525">
      <c r="C525" s="20"/>
      <c r="F525" s="5"/>
    </row>
    <row r="526">
      <c r="C526" s="20"/>
      <c r="F526" s="5"/>
    </row>
    <row r="527">
      <c r="C527" s="20"/>
      <c r="F527" s="5"/>
    </row>
    <row r="528">
      <c r="C528" s="20"/>
      <c r="F528" s="5"/>
    </row>
    <row r="529">
      <c r="C529" s="20"/>
      <c r="F529" s="5"/>
    </row>
    <row r="530">
      <c r="C530" s="20"/>
      <c r="F530" s="5"/>
    </row>
    <row r="531">
      <c r="C531" s="20"/>
      <c r="F531" s="5"/>
    </row>
    <row r="532">
      <c r="C532" s="20"/>
      <c r="F532" s="5"/>
    </row>
    <row r="533">
      <c r="C533" s="20"/>
      <c r="F533" s="5"/>
    </row>
    <row r="534">
      <c r="C534" s="20"/>
      <c r="F534" s="5"/>
    </row>
    <row r="535">
      <c r="C535" s="20"/>
      <c r="F535" s="5"/>
    </row>
    <row r="536">
      <c r="C536" s="20"/>
      <c r="F536" s="5"/>
    </row>
    <row r="537">
      <c r="C537" s="20"/>
      <c r="F537" s="5"/>
    </row>
    <row r="538">
      <c r="C538" s="20"/>
      <c r="F538" s="5"/>
    </row>
    <row r="539">
      <c r="C539" s="20"/>
      <c r="F539" s="5"/>
    </row>
    <row r="540">
      <c r="C540" s="20"/>
      <c r="F540" s="5"/>
    </row>
    <row r="541">
      <c r="C541" s="20"/>
      <c r="F541" s="5"/>
    </row>
    <row r="542">
      <c r="C542" s="20"/>
      <c r="F542" s="5"/>
    </row>
    <row r="543">
      <c r="C543" s="20"/>
      <c r="F543" s="5"/>
    </row>
    <row r="544">
      <c r="C544" s="20"/>
      <c r="F544" s="5"/>
    </row>
    <row r="545">
      <c r="C545" s="20"/>
      <c r="F545" s="5"/>
    </row>
    <row r="546">
      <c r="C546" s="20"/>
      <c r="F546" s="5"/>
    </row>
    <row r="547">
      <c r="C547" s="20"/>
      <c r="F547" s="5"/>
    </row>
    <row r="548">
      <c r="C548" s="20"/>
      <c r="F548" s="5"/>
    </row>
    <row r="549">
      <c r="C549" s="20"/>
      <c r="F549" s="5"/>
    </row>
    <row r="550">
      <c r="C550" s="20"/>
      <c r="F550" s="5"/>
    </row>
    <row r="551">
      <c r="C551" s="20"/>
      <c r="F551" s="5"/>
    </row>
    <row r="552">
      <c r="C552" s="20"/>
      <c r="F552" s="5"/>
    </row>
    <row r="553">
      <c r="C553" s="20"/>
      <c r="F553" s="5"/>
    </row>
    <row r="554">
      <c r="C554" s="20"/>
      <c r="F554" s="5"/>
    </row>
    <row r="555">
      <c r="C555" s="20"/>
      <c r="F555" s="5"/>
    </row>
    <row r="556">
      <c r="C556" s="20"/>
      <c r="F556" s="5"/>
    </row>
    <row r="557">
      <c r="C557" s="20"/>
      <c r="F557" s="5"/>
    </row>
    <row r="558">
      <c r="C558" s="20"/>
      <c r="F558" s="5"/>
    </row>
    <row r="559">
      <c r="C559" s="20"/>
      <c r="F559" s="5"/>
    </row>
    <row r="560">
      <c r="C560" s="20"/>
      <c r="F560" s="5"/>
    </row>
    <row r="561">
      <c r="C561" s="20"/>
      <c r="F561" s="5"/>
    </row>
    <row r="562">
      <c r="C562" s="20"/>
      <c r="F562" s="5"/>
    </row>
    <row r="563">
      <c r="C563" s="20"/>
      <c r="F563" s="5"/>
    </row>
    <row r="564">
      <c r="C564" s="20"/>
      <c r="F564" s="5"/>
    </row>
    <row r="565">
      <c r="C565" s="20"/>
      <c r="F565" s="5"/>
    </row>
    <row r="566">
      <c r="C566" s="20"/>
      <c r="F566" s="5"/>
    </row>
    <row r="567">
      <c r="C567" s="20"/>
      <c r="F567" s="5"/>
    </row>
    <row r="568">
      <c r="C568" s="20"/>
      <c r="F568" s="5"/>
    </row>
    <row r="569">
      <c r="C569" s="20"/>
      <c r="F569" s="5"/>
    </row>
    <row r="570">
      <c r="C570" s="20"/>
      <c r="F570" s="5"/>
    </row>
    <row r="571">
      <c r="C571" s="20"/>
      <c r="F571" s="5"/>
    </row>
    <row r="572">
      <c r="C572" s="20"/>
      <c r="F572" s="5"/>
    </row>
    <row r="573">
      <c r="C573" s="20"/>
      <c r="F573" s="5"/>
    </row>
    <row r="574">
      <c r="C574" s="20"/>
      <c r="F574" s="5"/>
    </row>
    <row r="575">
      <c r="C575" s="20"/>
      <c r="F575" s="5"/>
    </row>
    <row r="576">
      <c r="C576" s="20"/>
      <c r="F576" s="5"/>
    </row>
    <row r="577">
      <c r="C577" s="20"/>
      <c r="F577" s="5"/>
    </row>
    <row r="578">
      <c r="C578" s="20"/>
      <c r="F578" s="5"/>
    </row>
    <row r="579">
      <c r="C579" s="20"/>
      <c r="F579" s="5"/>
    </row>
    <row r="580">
      <c r="C580" s="20"/>
      <c r="F580" s="5"/>
    </row>
    <row r="581">
      <c r="C581" s="20"/>
      <c r="F581" s="5"/>
    </row>
    <row r="582">
      <c r="C582" s="20"/>
      <c r="F582" s="5"/>
    </row>
    <row r="583">
      <c r="C583" s="20"/>
      <c r="F583" s="5"/>
    </row>
    <row r="584">
      <c r="C584" s="20"/>
      <c r="F584" s="5"/>
    </row>
    <row r="585">
      <c r="C585" s="20"/>
      <c r="F585" s="5"/>
    </row>
    <row r="586">
      <c r="C586" s="20"/>
      <c r="F586" s="5"/>
    </row>
    <row r="587">
      <c r="C587" s="20"/>
      <c r="F587" s="5"/>
    </row>
    <row r="588">
      <c r="C588" s="20"/>
      <c r="F588" s="5"/>
    </row>
    <row r="589">
      <c r="C589" s="20"/>
      <c r="F589" s="5"/>
    </row>
    <row r="590">
      <c r="C590" s="20"/>
      <c r="F590" s="5"/>
    </row>
    <row r="591">
      <c r="C591" s="20"/>
      <c r="F591" s="5"/>
    </row>
    <row r="592">
      <c r="C592" s="20"/>
      <c r="F592" s="5"/>
    </row>
    <row r="593">
      <c r="C593" s="20"/>
      <c r="F593" s="5"/>
    </row>
    <row r="594">
      <c r="C594" s="20"/>
      <c r="F594" s="5"/>
    </row>
    <row r="595">
      <c r="C595" s="20"/>
      <c r="F595" s="5"/>
    </row>
    <row r="596">
      <c r="C596" s="20"/>
      <c r="F596" s="5"/>
    </row>
    <row r="597">
      <c r="C597" s="20"/>
      <c r="F597" s="5"/>
    </row>
    <row r="598">
      <c r="C598" s="20"/>
      <c r="F598" s="5"/>
    </row>
    <row r="599">
      <c r="C599" s="20"/>
      <c r="F599" s="5"/>
    </row>
    <row r="600">
      <c r="C600" s="20"/>
      <c r="F600" s="5"/>
    </row>
    <row r="601">
      <c r="C601" s="20"/>
      <c r="F601" s="5"/>
    </row>
    <row r="602">
      <c r="C602" s="20"/>
      <c r="F602" s="5"/>
    </row>
    <row r="603">
      <c r="C603" s="20"/>
      <c r="F603" s="5"/>
    </row>
    <row r="604">
      <c r="C604" s="20"/>
      <c r="F604" s="5"/>
    </row>
    <row r="605">
      <c r="C605" s="20"/>
      <c r="F605" s="5"/>
    </row>
    <row r="606">
      <c r="C606" s="20"/>
      <c r="F606" s="5"/>
    </row>
    <row r="607">
      <c r="C607" s="20"/>
      <c r="F607" s="5"/>
    </row>
    <row r="608">
      <c r="C608" s="20"/>
      <c r="F608" s="5"/>
    </row>
    <row r="609">
      <c r="C609" s="20"/>
      <c r="F609" s="5"/>
    </row>
    <row r="610">
      <c r="C610" s="20"/>
      <c r="F610" s="5"/>
    </row>
    <row r="611">
      <c r="C611" s="20"/>
      <c r="F611" s="5"/>
    </row>
    <row r="612">
      <c r="C612" s="20"/>
      <c r="F612" s="5"/>
    </row>
    <row r="613">
      <c r="C613" s="20"/>
      <c r="F613" s="5"/>
    </row>
    <row r="614">
      <c r="C614" s="20"/>
      <c r="F614" s="5"/>
    </row>
    <row r="615">
      <c r="C615" s="20"/>
      <c r="F615" s="5"/>
    </row>
    <row r="616">
      <c r="C616" s="20"/>
      <c r="F616" s="5"/>
    </row>
    <row r="617">
      <c r="C617" s="20"/>
      <c r="F617" s="5"/>
    </row>
    <row r="618">
      <c r="C618" s="20"/>
      <c r="F618" s="5"/>
    </row>
    <row r="619">
      <c r="C619" s="20"/>
      <c r="F619" s="5"/>
    </row>
    <row r="620">
      <c r="C620" s="20"/>
      <c r="F620" s="5"/>
    </row>
    <row r="621">
      <c r="C621" s="20"/>
      <c r="F621" s="5"/>
    </row>
    <row r="622">
      <c r="C622" s="20"/>
      <c r="F622" s="5"/>
    </row>
    <row r="623">
      <c r="C623" s="20"/>
      <c r="F623" s="5"/>
    </row>
    <row r="624">
      <c r="C624" s="20"/>
      <c r="F624" s="5"/>
    </row>
    <row r="625">
      <c r="C625" s="20"/>
      <c r="F625" s="5"/>
    </row>
    <row r="626">
      <c r="C626" s="20"/>
      <c r="F626" s="5"/>
    </row>
    <row r="627">
      <c r="C627" s="20"/>
      <c r="F627" s="5"/>
    </row>
    <row r="628">
      <c r="C628" s="20"/>
      <c r="F628" s="5"/>
    </row>
    <row r="629">
      <c r="C629" s="20"/>
      <c r="F629" s="5"/>
    </row>
    <row r="630">
      <c r="C630" s="20"/>
      <c r="F630" s="5"/>
    </row>
    <row r="631">
      <c r="C631" s="20"/>
      <c r="F631" s="5"/>
    </row>
    <row r="632">
      <c r="C632" s="20"/>
      <c r="F632" s="5"/>
    </row>
    <row r="633">
      <c r="C633" s="20"/>
      <c r="F633" s="5"/>
    </row>
    <row r="634">
      <c r="C634" s="20"/>
      <c r="F634" s="5"/>
    </row>
    <row r="635">
      <c r="C635" s="20"/>
      <c r="F635" s="5"/>
    </row>
    <row r="636">
      <c r="C636" s="20"/>
      <c r="F636" s="5"/>
    </row>
    <row r="637">
      <c r="C637" s="20"/>
      <c r="F637" s="5"/>
    </row>
    <row r="638">
      <c r="C638" s="20"/>
      <c r="F638" s="5"/>
    </row>
    <row r="639">
      <c r="C639" s="20"/>
      <c r="F639" s="5"/>
    </row>
    <row r="640">
      <c r="C640" s="20"/>
      <c r="F640" s="5"/>
    </row>
    <row r="641">
      <c r="C641" s="20"/>
      <c r="F641" s="5"/>
    </row>
    <row r="642">
      <c r="C642" s="20"/>
      <c r="F642" s="5"/>
    </row>
    <row r="643">
      <c r="C643" s="20"/>
      <c r="F643" s="5"/>
    </row>
    <row r="644">
      <c r="C644" s="20"/>
      <c r="F644" s="5"/>
    </row>
    <row r="645">
      <c r="C645" s="20"/>
      <c r="F645" s="5"/>
    </row>
    <row r="646">
      <c r="C646" s="20"/>
      <c r="F646" s="5"/>
    </row>
    <row r="647">
      <c r="C647" s="20"/>
      <c r="F647" s="5"/>
    </row>
    <row r="648">
      <c r="C648" s="20"/>
      <c r="F648" s="5"/>
    </row>
    <row r="649">
      <c r="C649" s="20"/>
      <c r="F649" s="5"/>
    </row>
    <row r="650">
      <c r="C650" s="20"/>
      <c r="F650" s="5"/>
    </row>
    <row r="651">
      <c r="C651" s="20"/>
      <c r="F651" s="5"/>
    </row>
    <row r="652">
      <c r="C652" s="20"/>
      <c r="F652" s="5"/>
    </row>
    <row r="653">
      <c r="C653" s="20"/>
      <c r="F653" s="5"/>
    </row>
    <row r="654">
      <c r="C654" s="20"/>
      <c r="F654" s="5"/>
    </row>
    <row r="655">
      <c r="C655" s="20"/>
      <c r="F655" s="5"/>
    </row>
    <row r="656">
      <c r="C656" s="20"/>
      <c r="F656" s="5"/>
    </row>
    <row r="657">
      <c r="C657" s="20"/>
      <c r="F657" s="5"/>
    </row>
    <row r="658">
      <c r="C658" s="20"/>
      <c r="F658" s="5"/>
    </row>
    <row r="659">
      <c r="C659" s="20"/>
      <c r="F659" s="5"/>
    </row>
    <row r="660">
      <c r="C660" s="20"/>
      <c r="F660" s="5"/>
    </row>
    <row r="661">
      <c r="C661" s="20"/>
      <c r="F661" s="5"/>
    </row>
    <row r="662">
      <c r="C662" s="20"/>
      <c r="F662" s="5"/>
    </row>
    <row r="663">
      <c r="C663" s="20"/>
      <c r="F663" s="5"/>
    </row>
    <row r="664">
      <c r="C664" s="20"/>
      <c r="F664" s="5"/>
    </row>
    <row r="665">
      <c r="C665" s="20"/>
      <c r="F665" s="5"/>
    </row>
    <row r="666">
      <c r="C666" s="20"/>
      <c r="F666" s="5"/>
    </row>
    <row r="667">
      <c r="C667" s="20"/>
      <c r="F667" s="5"/>
    </row>
    <row r="668">
      <c r="C668" s="20"/>
      <c r="F668" s="5"/>
    </row>
    <row r="669">
      <c r="C669" s="20"/>
      <c r="F669" s="5"/>
    </row>
    <row r="670">
      <c r="C670" s="20"/>
      <c r="F670" s="5"/>
    </row>
    <row r="671">
      <c r="C671" s="20"/>
      <c r="F671" s="5"/>
    </row>
    <row r="672">
      <c r="C672" s="20"/>
      <c r="F672" s="5"/>
    </row>
    <row r="673">
      <c r="C673" s="20"/>
      <c r="F673" s="5"/>
    </row>
    <row r="674">
      <c r="C674" s="20"/>
      <c r="F674" s="5"/>
    </row>
    <row r="675">
      <c r="C675" s="20"/>
      <c r="F675" s="5"/>
    </row>
    <row r="676">
      <c r="C676" s="20"/>
      <c r="F676" s="5"/>
    </row>
    <row r="677">
      <c r="C677" s="20"/>
      <c r="F677" s="5"/>
    </row>
    <row r="678">
      <c r="C678" s="20"/>
      <c r="F678" s="5"/>
    </row>
    <row r="679">
      <c r="C679" s="20"/>
      <c r="F679" s="5"/>
    </row>
    <row r="680">
      <c r="C680" s="20"/>
      <c r="F680" s="5"/>
    </row>
    <row r="681">
      <c r="C681" s="20"/>
      <c r="F681" s="5"/>
    </row>
    <row r="682">
      <c r="C682" s="20"/>
      <c r="F682" s="5"/>
    </row>
    <row r="683">
      <c r="C683" s="20"/>
      <c r="F683" s="5"/>
    </row>
    <row r="684">
      <c r="C684" s="20"/>
      <c r="F684" s="5"/>
    </row>
    <row r="685">
      <c r="C685" s="20"/>
      <c r="F685" s="5"/>
    </row>
    <row r="686">
      <c r="C686" s="20"/>
      <c r="F686" s="5"/>
    </row>
    <row r="687">
      <c r="C687" s="20"/>
      <c r="F687" s="5"/>
    </row>
    <row r="688">
      <c r="C688" s="20"/>
      <c r="F688" s="5"/>
    </row>
    <row r="689">
      <c r="C689" s="20"/>
      <c r="F689" s="5"/>
    </row>
    <row r="690">
      <c r="C690" s="20"/>
      <c r="F690" s="5"/>
    </row>
    <row r="691">
      <c r="C691" s="20"/>
      <c r="F691" s="5"/>
    </row>
    <row r="692">
      <c r="C692" s="20"/>
      <c r="F692" s="5"/>
    </row>
    <row r="693">
      <c r="C693" s="20"/>
      <c r="F693" s="5"/>
    </row>
    <row r="694">
      <c r="C694" s="20"/>
      <c r="F694" s="5"/>
    </row>
    <row r="695">
      <c r="C695" s="20"/>
      <c r="F695" s="5"/>
    </row>
    <row r="696">
      <c r="C696" s="20"/>
      <c r="F696" s="5"/>
    </row>
    <row r="697">
      <c r="C697" s="20"/>
      <c r="F697" s="5"/>
    </row>
    <row r="698">
      <c r="C698" s="20"/>
      <c r="F698" s="5"/>
    </row>
    <row r="699">
      <c r="C699" s="20"/>
      <c r="F699" s="5"/>
    </row>
    <row r="700">
      <c r="C700" s="20"/>
      <c r="F700" s="5"/>
    </row>
    <row r="701">
      <c r="C701" s="20"/>
      <c r="F701" s="5"/>
    </row>
    <row r="702">
      <c r="C702" s="20"/>
      <c r="F702" s="5"/>
    </row>
    <row r="703">
      <c r="C703" s="20"/>
      <c r="F703" s="5"/>
    </row>
    <row r="704">
      <c r="C704" s="20"/>
      <c r="F704" s="5"/>
    </row>
    <row r="705">
      <c r="C705" s="20"/>
      <c r="F705" s="5"/>
    </row>
    <row r="706">
      <c r="C706" s="20"/>
      <c r="F706" s="5"/>
    </row>
    <row r="707">
      <c r="C707" s="20"/>
      <c r="F707" s="5"/>
    </row>
    <row r="708">
      <c r="C708" s="20"/>
      <c r="F708" s="5"/>
    </row>
    <row r="709">
      <c r="C709" s="20"/>
      <c r="F709" s="5"/>
    </row>
    <row r="710">
      <c r="C710" s="20"/>
      <c r="F710" s="5"/>
    </row>
    <row r="711">
      <c r="C711" s="20"/>
      <c r="F711" s="5"/>
    </row>
    <row r="712">
      <c r="C712" s="20"/>
      <c r="F712" s="5"/>
    </row>
    <row r="713">
      <c r="C713" s="20"/>
      <c r="F713" s="5"/>
    </row>
    <row r="714">
      <c r="C714" s="20"/>
      <c r="F714" s="5"/>
    </row>
    <row r="715">
      <c r="C715" s="20"/>
      <c r="F715" s="5"/>
    </row>
    <row r="716">
      <c r="C716" s="20"/>
      <c r="F716" s="5"/>
    </row>
    <row r="717">
      <c r="C717" s="20"/>
      <c r="F717" s="5"/>
    </row>
    <row r="718">
      <c r="C718" s="20"/>
      <c r="F718" s="5"/>
    </row>
    <row r="719">
      <c r="C719" s="20"/>
      <c r="F719" s="5"/>
    </row>
    <row r="720">
      <c r="C720" s="20"/>
      <c r="F720" s="5"/>
    </row>
    <row r="721">
      <c r="C721" s="20"/>
      <c r="F721" s="5"/>
    </row>
    <row r="722">
      <c r="C722" s="20"/>
      <c r="F722" s="5"/>
    </row>
    <row r="723">
      <c r="C723" s="20"/>
      <c r="F723" s="5"/>
    </row>
    <row r="724">
      <c r="C724" s="20"/>
      <c r="F724" s="5"/>
    </row>
    <row r="725">
      <c r="C725" s="20"/>
      <c r="F725" s="5"/>
    </row>
    <row r="726">
      <c r="C726" s="20"/>
      <c r="F726" s="5"/>
    </row>
    <row r="727">
      <c r="C727" s="20"/>
      <c r="F727" s="5"/>
    </row>
    <row r="728">
      <c r="C728" s="20"/>
      <c r="F728" s="5"/>
    </row>
    <row r="729">
      <c r="C729" s="20"/>
      <c r="F729" s="5"/>
    </row>
    <row r="730">
      <c r="C730" s="20"/>
      <c r="F730" s="5"/>
    </row>
    <row r="731">
      <c r="C731" s="20"/>
      <c r="F731" s="5"/>
    </row>
    <row r="732">
      <c r="C732" s="20"/>
      <c r="F732" s="5"/>
    </row>
    <row r="733">
      <c r="C733" s="20"/>
      <c r="F733" s="5"/>
    </row>
    <row r="734">
      <c r="C734" s="20"/>
      <c r="F734" s="5"/>
    </row>
    <row r="735">
      <c r="C735" s="20"/>
      <c r="F735" s="5"/>
    </row>
    <row r="736">
      <c r="C736" s="20"/>
      <c r="F736" s="5"/>
    </row>
    <row r="737">
      <c r="C737" s="20"/>
      <c r="F737" s="5"/>
    </row>
    <row r="738">
      <c r="C738" s="20"/>
      <c r="F738" s="5"/>
    </row>
    <row r="739">
      <c r="C739" s="20"/>
      <c r="F739" s="5"/>
    </row>
    <row r="740">
      <c r="C740" s="20"/>
      <c r="F740" s="5"/>
    </row>
    <row r="741">
      <c r="C741" s="20"/>
      <c r="F741" s="5"/>
    </row>
    <row r="742">
      <c r="C742" s="20"/>
      <c r="F742" s="5"/>
    </row>
    <row r="743">
      <c r="C743" s="20"/>
      <c r="F743" s="5"/>
    </row>
    <row r="744">
      <c r="C744" s="20"/>
      <c r="F744" s="5"/>
    </row>
    <row r="745">
      <c r="C745" s="20"/>
      <c r="F745" s="5"/>
    </row>
    <row r="746">
      <c r="C746" s="20"/>
      <c r="F746" s="5"/>
    </row>
    <row r="747">
      <c r="C747" s="20"/>
      <c r="F747" s="5"/>
    </row>
    <row r="748">
      <c r="C748" s="20"/>
      <c r="F748" s="5"/>
    </row>
    <row r="749">
      <c r="C749" s="20"/>
      <c r="F749" s="5"/>
    </row>
    <row r="750">
      <c r="C750" s="20"/>
      <c r="F750" s="5"/>
    </row>
    <row r="751">
      <c r="C751" s="20"/>
      <c r="F751" s="5"/>
    </row>
    <row r="752">
      <c r="C752" s="20"/>
      <c r="F752" s="5"/>
    </row>
    <row r="753">
      <c r="C753" s="20"/>
      <c r="F753" s="5"/>
    </row>
    <row r="754">
      <c r="C754" s="20"/>
      <c r="F754" s="5"/>
    </row>
    <row r="755">
      <c r="C755" s="20"/>
      <c r="F755" s="5"/>
    </row>
    <row r="756">
      <c r="C756" s="20"/>
      <c r="F756" s="5"/>
    </row>
    <row r="757">
      <c r="C757" s="20"/>
      <c r="F757" s="5"/>
    </row>
    <row r="758">
      <c r="C758" s="20"/>
      <c r="F758" s="5"/>
    </row>
    <row r="759">
      <c r="C759" s="20"/>
      <c r="F759" s="5"/>
    </row>
    <row r="760">
      <c r="C760" s="20"/>
      <c r="F760" s="5"/>
    </row>
    <row r="761">
      <c r="C761" s="20"/>
      <c r="F761" s="5"/>
    </row>
    <row r="762">
      <c r="C762" s="20"/>
      <c r="F762" s="5"/>
    </row>
    <row r="763">
      <c r="C763" s="20"/>
      <c r="F763" s="5"/>
    </row>
    <row r="764">
      <c r="C764" s="20"/>
      <c r="F764" s="5"/>
    </row>
    <row r="765">
      <c r="C765" s="20"/>
      <c r="F765" s="5"/>
    </row>
    <row r="766">
      <c r="C766" s="20"/>
      <c r="F766" s="5"/>
    </row>
    <row r="767">
      <c r="C767" s="20"/>
      <c r="F767" s="5"/>
    </row>
    <row r="768">
      <c r="C768" s="20"/>
      <c r="F768" s="5"/>
    </row>
    <row r="769">
      <c r="C769" s="20"/>
      <c r="F769" s="5"/>
    </row>
    <row r="770">
      <c r="C770" s="20"/>
      <c r="F770" s="5"/>
    </row>
    <row r="771">
      <c r="C771" s="20"/>
      <c r="F771" s="5"/>
    </row>
    <row r="772">
      <c r="C772" s="20"/>
      <c r="F772" s="5"/>
    </row>
    <row r="773">
      <c r="C773" s="20"/>
      <c r="F773" s="5"/>
    </row>
    <row r="774">
      <c r="C774" s="20"/>
      <c r="F774" s="5"/>
    </row>
    <row r="775">
      <c r="C775" s="20"/>
      <c r="F775" s="5"/>
    </row>
    <row r="776">
      <c r="C776" s="20"/>
      <c r="F776" s="5"/>
    </row>
    <row r="777">
      <c r="C777" s="20"/>
      <c r="F777" s="5"/>
    </row>
    <row r="778">
      <c r="C778" s="20"/>
      <c r="F778" s="5"/>
    </row>
    <row r="779">
      <c r="C779" s="20"/>
      <c r="F779" s="5"/>
    </row>
    <row r="780">
      <c r="C780" s="20"/>
      <c r="F780" s="5"/>
    </row>
    <row r="781">
      <c r="C781" s="20"/>
      <c r="F781" s="5"/>
    </row>
    <row r="782">
      <c r="C782" s="20"/>
      <c r="F782" s="5"/>
    </row>
    <row r="783">
      <c r="C783" s="20"/>
      <c r="F783" s="5"/>
    </row>
    <row r="784">
      <c r="C784" s="20"/>
      <c r="F784" s="5"/>
    </row>
    <row r="785">
      <c r="C785" s="20"/>
      <c r="F785" s="5"/>
    </row>
    <row r="786">
      <c r="C786" s="20"/>
      <c r="F786" s="5"/>
    </row>
    <row r="787">
      <c r="C787" s="20"/>
      <c r="F787" s="5"/>
    </row>
    <row r="788">
      <c r="C788" s="20"/>
      <c r="F788" s="5"/>
    </row>
    <row r="789">
      <c r="C789" s="20"/>
      <c r="F789" s="5"/>
    </row>
    <row r="790">
      <c r="C790" s="20"/>
      <c r="F790" s="5"/>
    </row>
    <row r="791">
      <c r="C791" s="20"/>
      <c r="F791" s="5"/>
    </row>
    <row r="792">
      <c r="C792" s="20"/>
      <c r="F792" s="5"/>
    </row>
    <row r="793">
      <c r="C793" s="20"/>
      <c r="F793" s="5"/>
    </row>
    <row r="794">
      <c r="C794" s="20"/>
      <c r="F794" s="5"/>
    </row>
    <row r="795">
      <c r="C795" s="20"/>
      <c r="F795" s="5"/>
    </row>
    <row r="796">
      <c r="C796" s="20"/>
      <c r="F796" s="5"/>
    </row>
    <row r="797">
      <c r="C797" s="20"/>
      <c r="F797" s="5"/>
    </row>
    <row r="798">
      <c r="C798" s="20"/>
      <c r="F798" s="5"/>
    </row>
    <row r="799">
      <c r="C799" s="20"/>
      <c r="F799" s="5"/>
    </row>
    <row r="800">
      <c r="C800" s="20"/>
      <c r="F800" s="5"/>
    </row>
    <row r="801">
      <c r="C801" s="20"/>
      <c r="F801" s="5"/>
    </row>
    <row r="802">
      <c r="C802" s="20"/>
      <c r="F802" s="5"/>
    </row>
    <row r="803">
      <c r="C803" s="20"/>
      <c r="F803" s="5"/>
    </row>
    <row r="804">
      <c r="C804" s="20"/>
      <c r="F804" s="5"/>
    </row>
    <row r="805">
      <c r="C805" s="20"/>
      <c r="F805" s="5"/>
    </row>
    <row r="806">
      <c r="C806" s="20"/>
      <c r="F806" s="5"/>
    </row>
    <row r="807">
      <c r="C807" s="20"/>
      <c r="F807" s="5"/>
    </row>
    <row r="808">
      <c r="C808" s="20"/>
      <c r="F808" s="5"/>
    </row>
    <row r="809">
      <c r="C809" s="20"/>
      <c r="F809" s="5"/>
    </row>
    <row r="810">
      <c r="C810" s="20"/>
      <c r="F810" s="5"/>
    </row>
    <row r="811">
      <c r="C811" s="20"/>
      <c r="F811" s="5"/>
    </row>
    <row r="812">
      <c r="C812" s="20"/>
      <c r="F812" s="5"/>
    </row>
    <row r="813">
      <c r="C813" s="20"/>
      <c r="F813" s="5"/>
    </row>
    <row r="814">
      <c r="C814" s="20"/>
      <c r="F814" s="5"/>
    </row>
    <row r="815">
      <c r="C815" s="20"/>
      <c r="F815" s="5"/>
    </row>
    <row r="816">
      <c r="C816" s="20"/>
      <c r="F816" s="5"/>
    </row>
    <row r="817">
      <c r="C817" s="20"/>
      <c r="F817" s="5"/>
    </row>
    <row r="818">
      <c r="C818" s="20"/>
      <c r="F818" s="5"/>
    </row>
    <row r="819">
      <c r="C819" s="20"/>
      <c r="F819" s="5"/>
    </row>
    <row r="820">
      <c r="C820" s="20"/>
      <c r="F820" s="5"/>
    </row>
    <row r="821">
      <c r="C821" s="20"/>
      <c r="F821" s="5"/>
    </row>
    <row r="822">
      <c r="C822" s="20"/>
      <c r="F822" s="5"/>
    </row>
    <row r="823">
      <c r="C823" s="20"/>
      <c r="F823" s="5"/>
    </row>
    <row r="824">
      <c r="C824" s="20"/>
      <c r="F824" s="5"/>
    </row>
    <row r="825">
      <c r="C825" s="20"/>
      <c r="F825" s="5"/>
    </row>
    <row r="826">
      <c r="C826" s="20"/>
      <c r="F826" s="5"/>
    </row>
    <row r="827">
      <c r="C827" s="20"/>
      <c r="F827" s="5"/>
    </row>
    <row r="828">
      <c r="C828" s="20"/>
      <c r="F828" s="5"/>
    </row>
    <row r="829">
      <c r="C829" s="20"/>
      <c r="F829" s="5"/>
    </row>
    <row r="830">
      <c r="C830" s="20"/>
      <c r="F830" s="5"/>
    </row>
    <row r="831">
      <c r="C831" s="20"/>
      <c r="F831" s="5"/>
    </row>
    <row r="832">
      <c r="C832" s="20"/>
      <c r="F832" s="5"/>
    </row>
    <row r="833">
      <c r="C833" s="20"/>
      <c r="F833" s="5"/>
    </row>
    <row r="834">
      <c r="C834" s="20"/>
      <c r="F834" s="5"/>
    </row>
    <row r="835">
      <c r="C835" s="20"/>
      <c r="F835" s="5"/>
    </row>
    <row r="836">
      <c r="C836" s="20"/>
      <c r="F836" s="5"/>
    </row>
    <row r="837">
      <c r="C837" s="20"/>
      <c r="F837" s="5"/>
    </row>
    <row r="838">
      <c r="C838" s="20"/>
      <c r="F838" s="5"/>
    </row>
    <row r="839">
      <c r="C839" s="20"/>
      <c r="F839" s="5"/>
    </row>
    <row r="840">
      <c r="C840" s="20"/>
      <c r="F840" s="5"/>
    </row>
    <row r="841">
      <c r="C841" s="20"/>
      <c r="F841" s="5"/>
    </row>
    <row r="842">
      <c r="C842" s="20"/>
      <c r="F842" s="5"/>
    </row>
    <row r="843">
      <c r="C843" s="20"/>
      <c r="F843" s="5"/>
    </row>
    <row r="844">
      <c r="C844" s="20"/>
      <c r="F844" s="5"/>
    </row>
    <row r="845">
      <c r="C845" s="20"/>
      <c r="F845" s="5"/>
    </row>
    <row r="846">
      <c r="C846" s="20"/>
      <c r="F846" s="5"/>
    </row>
    <row r="847">
      <c r="C847" s="20"/>
      <c r="F847" s="5"/>
    </row>
    <row r="848">
      <c r="C848" s="20"/>
      <c r="F848" s="5"/>
    </row>
    <row r="849">
      <c r="C849" s="20"/>
      <c r="F849" s="5"/>
    </row>
    <row r="850">
      <c r="C850" s="20"/>
      <c r="F850" s="5"/>
    </row>
    <row r="851">
      <c r="C851" s="20"/>
      <c r="F851" s="5"/>
    </row>
    <row r="852">
      <c r="C852" s="20"/>
      <c r="F852" s="5"/>
    </row>
    <row r="853">
      <c r="C853" s="20"/>
      <c r="F853" s="5"/>
    </row>
    <row r="854">
      <c r="C854" s="20"/>
      <c r="F854" s="5"/>
    </row>
    <row r="855">
      <c r="C855" s="20"/>
      <c r="F855" s="5"/>
    </row>
    <row r="856">
      <c r="C856" s="20"/>
      <c r="F856" s="5"/>
    </row>
    <row r="857">
      <c r="C857" s="20"/>
      <c r="F857" s="5"/>
    </row>
    <row r="858">
      <c r="C858" s="20"/>
      <c r="F858" s="5"/>
    </row>
    <row r="859">
      <c r="C859" s="20"/>
      <c r="F859" s="5"/>
    </row>
    <row r="860">
      <c r="C860" s="20"/>
      <c r="F860" s="5"/>
    </row>
    <row r="861">
      <c r="C861" s="20"/>
      <c r="F861" s="5"/>
    </row>
    <row r="862">
      <c r="C862" s="20"/>
      <c r="F862" s="5"/>
    </row>
    <row r="863">
      <c r="C863" s="20"/>
      <c r="F863" s="5"/>
    </row>
    <row r="864">
      <c r="C864" s="20"/>
      <c r="F864" s="5"/>
    </row>
    <row r="865">
      <c r="C865" s="20"/>
      <c r="F865" s="5"/>
    </row>
    <row r="866">
      <c r="C866" s="20"/>
      <c r="F866" s="5"/>
    </row>
    <row r="867">
      <c r="C867" s="20"/>
      <c r="F867" s="5"/>
    </row>
    <row r="868">
      <c r="C868" s="20"/>
      <c r="F868" s="5"/>
    </row>
    <row r="869">
      <c r="C869" s="20"/>
      <c r="F869" s="5"/>
    </row>
    <row r="870">
      <c r="C870" s="20"/>
      <c r="F870" s="5"/>
    </row>
    <row r="871">
      <c r="C871" s="20"/>
      <c r="F871" s="5"/>
    </row>
    <row r="872">
      <c r="C872" s="20"/>
      <c r="F872" s="5"/>
    </row>
    <row r="873">
      <c r="C873" s="20"/>
      <c r="F873" s="5"/>
    </row>
    <row r="874">
      <c r="C874" s="20"/>
      <c r="F874" s="5"/>
    </row>
    <row r="875">
      <c r="C875" s="20"/>
      <c r="F875" s="5"/>
    </row>
    <row r="876">
      <c r="C876" s="20"/>
      <c r="F876" s="5"/>
    </row>
    <row r="877">
      <c r="C877" s="20"/>
      <c r="F877" s="5"/>
    </row>
    <row r="878">
      <c r="C878" s="20"/>
      <c r="F878" s="5"/>
    </row>
    <row r="879">
      <c r="C879" s="20"/>
      <c r="F879" s="5"/>
    </row>
    <row r="880">
      <c r="C880" s="20"/>
      <c r="F880" s="5"/>
    </row>
    <row r="881">
      <c r="C881" s="20"/>
      <c r="F881" s="5"/>
    </row>
    <row r="882">
      <c r="C882" s="20"/>
      <c r="F882" s="5"/>
    </row>
    <row r="883">
      <c r="C883" s="20"/>
      <c r="F883" s="5"/>
    </row>
    <row r="884">
      <c r="C884" s="20"/>
      <c r="F884" s="5"/>
    </row>
    <row r="885">
      <c r="C885" s="20"/>
      <c r="F885" s="5"/>
    </row>
    <row r="886">
      <c r="C886" s="20"/>
      <c r="F886" s="5"/>
    </row>
    <row r="887">
      <c r="C887" s="20"/>
      <c r="F887" s="5"/>
    </row>
    <row r="888">
      <c r="C888" s="20"/>
      <c r="F888" s="5"/>
    </row>
    <row r="889">
      <c r="C889" s="20"/>
      <c r="F889" s="5"/>
    </row>
    <row r="890">
      <c r="C890" s="20"/>
      <c r="F890" s="5"/>
    </row>
    <row r="891">
      <c r="C891" s="20"/>
      <c r="F891" s="5"/>
    </row>
    <row r="892">
      <c r="C892" s="20"/>
      <c r="F892" s="5"/>
    </row>
    <row r="893">
      <c r="C893" s="20"/>
      <c r="F893" s="5"/>
    </row>
    <row r="894">
      <c r="C894" s="20"/>
      <c r="F894" s="5"/>
    </row>
    <row r="895">
      <c r="C895" s="20"/>
      <c r="F895" s="5"/>
    </row>
    <row r="896">
      <c r="C896" s="20"/>
      <c r="F896" s="5"/>
    </row>
    <row r="897">
      <c r="C897" s="20"/>
      <c r="F897" s="5"/>
    </row>
    <row r="898">
      <c r="C898" s="20"/>
      <c r="F898" s="5"/>
    </row>
    <row r="899">
      <c r="C899" s="20"/>
      <c r="F899" s="5"/>
    </row>
    <row r="900">
      <c r="C900" s="20"/>
      <c r="F900" s="5"/>
    </row>
    <row r="901">
      <c r="C901" s="20"/>
      <c r="F901" s="5"/>
    </row>
    <row r="902">
      <c r="C902" s="20"/>
      <c r="F902" s="5"/>
    </row>
    <row r="903">
      <c r="C903" s="20"/>
      <c r="F903" s="5"/>
    </row>
    <row r="904">
      <c r="C904" s="20"/>
      <c r="F904" s="5"/>
    </row>
    <row r="905">
      <c r="C905" s="20"/>
      <c r="F905" s="5"/>
    </row>
    <row r="906">
      <c r="C906" s="20"/>
      <c r="F906" s="5"/>
    </row>
    <row r="907">
      <c r="C907" s="20"/>
      <c r="F907" s="5"/>
    </row>
    <row r="908">
      <c r="C908" s="20"/>
      <c r="F908" s="5"/>
    </row>
    <row r="909">
      <c r="C909" s="20"/>
      <c r="F909" s="5"/>
    </row>
    <row r="910">
      <c r="C910" s="20"/>
      <c r="F910" s="5"/>
    </row>
    <row r="911">
      <c r="C911" s="20"/>
      <c r="F911" s="5"/>
    </row>
    <row r="912">
      <c r="C912" s="20"/>
      <c r="F912" s="5"/>
    </row>
    <row r="913">
      <c r="C913" s="20"/>
      <c r="F913" s="5"/>
    </row>
    <row r="914">
      <c r="C914" s="20"/>
      <c r="F914" s="5"/>
    </row>
    <row r="915">
      <c r="C915" s="20"/>
      <c r="F915" s="5"/>
    </row>
    <row r="916">
      <c r="C916" s="20"/>
      <c r="F916" s="5"/>
    </row>
    <row r="917">
      <c r="C917" s="20"/>
      <c r="F917" s="5"/>
    </row>
    <row r="918">
      <c r="C918" s="20"/>
      <c r="F918" s="5"/>
    </row>
    <row r="919">
      <c r="C919" s="20"/>
      <c r="F919" s="5"/>
    </row>
    <row r="920">
      <c r="C920" s="20"/>
      <c r="F920" s="5"/>
    </row>
    <row r="921">
      <c r="C921" s="20"/>
      <c r="F921" s="5"/>
    </row>
    <row r="922">
      <c r="C922" s="20"/>
      <c r="F922" s="5"/>
    </row>
    <row r="923">
      <c r="C923" s="20"/>
      <c r="F923" s="5"/>
    </row>
    <row r="924">
      <c r="C924" s="20"/>
      <c r="F924" s="5"/>
    </row>
    <row r="925">
      <c r="C925" s="20"/>
      <c r="F925" s="5"/>
    </row>
    <row r="926">
      <c r="C926" s="20"/>
      <c r="F926" s="5"/>
    </row>
    <row r="927">
      <c r="C927" s="20"/>
      <c r="F927" s="5"/>
    </row>
    <row r="928">
      <c r="C928" s="20"/>
      <c r="F928" s="5"/>
    </row>
    <row r="929">
      <c r="C929" s="20"/>
      <c r="F929" s="5"/>
    </row>
    <row r="930">
      <c r="C930" s="20"/>
      <c r="F930" s="5"/>
    </row>
    <row r="931">
      <c r="C931" s="20"/>
      <c r="F931" s="5"/>
    </row>
    <row r="932">
      <c r="C932" s="20"/>
      <c r="F932" s="5"/>
    </row>
    <row r="933">
      <c r="C933" s="20"/>
      <c r="F933" s="5"/>
    </row>
    <row r="934">
      <c r="C934" s="20"/>
      <c r="F934" s="5"/>
    </row>
    <row r="935">
      <c r="C935" s="20"/>
      <c r="F935" s="5"/>
    </row>
    <row r="936">
      <c r="C936" s="20"/>
      <c r="F936" s="5"/>
    </row>
    <row r="937">
      <c r="C937" s="20"/>
      <c r="F937" s="5"/>
    </row>
    <row r="938">
      <c r="C938" s="20"/>
      <c r="F938" s="5"/>
    </row>
    <row r="939">
      <c r="C939" s="20"/>
      <c r="F939" s="5"/>
    </row>
    <row r="940">
      <c r="C940" s="20"/>
      <c r="F940" s="5"/>
    </row>
    <row r="941">
      <c r="C941" s="20"/>
      <c r="F941" s="5"/>
    </row>
    <row r="942">
      <c r="C942" s="20"/>
      <c r="F942" s="5"/>
    </row>
    <row r="943">
      <c r="C943" s="20"/>
      <c r="F943" s="5"/>
    </row>
    <row r="944">
      <c r="C944" s="20"/>
      <c r="F944" s="5"/>
    </row>
    <row r="945">
      <c r="C945" s="20"/>
      <c r="F945" s="5"/>
    </row>
    <row r="946">
      <c r="C946" s="20"/>
      <c r="F946" s="5"/>
    </row>
    <row r="947">
      <c r="C947" s="20"/>
      <c r="F947" s="5"/>
    </row>
    <row r="948">
      <c r="C948" s="20"/>
      <c r="F948" s="5"/>
    </row>
    <row r="949">
      <c r="C949" s="20"/>
      <c r="F949" s="5"/>
    </row>
    <row r="950">
      <c r="C950" s="20"/>
      <c r="F950" s="5"/>
    </row>
    <row r="951">
      <c r="C951" s="20"/>
      <c r="F951" s="5"/>
    </row>
    <row r="952">
      <c r="C952" s="20"/>
      <c r="F952" s="5"/>
    </row>
    <row r="953">
      <c r="C953" s="20"/>
      <c r="F953" s="5"/>
    </row>
    <row r="954">
      <c r="C954" s="20"/>
      <c r="F954" s="5"/>
    </row>
    <row r="955">
      <c r="C955" s="20"/>
      <c r="F955" s="5"/>
    </row>
    <row r="956">
      <c r="C956" s="20"/>
      <c r="F956" s="5"/>
    </row>
    <row r="957">
      <c r="C957" s="20"/>
      <c r="F957" s="5"/>
    </row>
    <row r="958">
      <c r="C958" s="20"/>
      <c r="F958" s="5"/>
    </row>
    <row r="959">
      <c r="C959" s="20"/>
      <c r="F959" s="5"/>
    </row>
    <row r="960">
      <c r="C960" s="20"/>
      <c r="F960" s="5"/>
    </row>
    <row r="961">
      <c r="C961" s="20"/>
      <c r="F961" s="5"/>
    </row>
    <row r="962">
      <c r="C962" s="20"/>
      <c r="F962" s="5"/>
    </row>
    <row r="963">
      <c r="C963" s="20"/>
      <c r="F963" s="5"/>
    </row>
    <row r="964">
      <c r="C964" s="20"/>
      <c r="F964" s="5"/>
    </row>
    <row r="965">
      <c r="C965" s="20"/>
      <c r="F965" s="5"/>
    </row>
    <row r="966">
      <c r="C966" s="20"/>
      <c r="F966" s="5"/>
    </row>
    <row r="967">
      <c r="C967" s="20"/>
      <c r="F967" s="5"/>
    </row>
    <row r="968">
      <c r="C968" s="20"/>
      <c r="F968" s="5"/>
    </row>
    <row r="969">
      <c r="C969" s="20"/>
      <c r="F969" s="5"/>
    </row>
    <row r="970">
      <c r="C970" s="20"/>
      <c r="F970" s="5"/>
    </row>
    <row r="971">
      <c r="C971" s="20"/>
      <c r="F971" s="5"/>
    </row>
    <row r="972">
      <c r="C972" s="20"/>
      <c r="F972" s="5"/>
    </row>
    <row r="973">
      <c r="C973" s="20"/>
      <c r="F973" s="5"/>
    </row>
    <row r="974">
      <c r="C974" s="20"/>
      <c r="F974" s="5"/>
    </row>
    <row r="975">
      <c r="C975" s="20"/>
      <c r="F975" s="5"/>
    </row>
    <row r="976">
      <c r="C976" s="20"/>
      <c r="F976" s="5"/>
    </row>
    <row r="977">
      <c r="C977" s="20"/>
      <c r="F977" s="5"/>
    </row>
    <row r="978">
      <c r="C978" s="20"/>
      <c r="F978" s="5"/>
    </row>
    <row r="979">
      <c r="C979" s="20"/>
      <c r="F979" s="5"/>
    </row>
    <row r="980">
      <c r="C980" s="20"/>
      <c r="F980" s="5"/>
    </row>
    <row r="981">
      <c r="C981" s="20"/>
      <c r="F981" s="5"/>
    </row>
    <row r="982">
      <c r="C982" s="20"/>
      <c r="F982" s="5"/>
    </row>
    <row r="983">
      <c r="C983" s="20"/>
      <c r="F983" s="5"/>
    </row>
    <row r="984">
      <c r="C984" s="20"/>
      <c r="F984" s="5"/>
    </row>
    <row r="985">
      <c r="C985" s="20"/>
      <c r="F985" s="5"/>
    </row>
    <row r="986">
      <c r="C986" s="20"/>
      <c r="F986" s="5"/>
    </row>
    <row r="987">
      <c r="C987" s="20"/>
      <c r="F987" s="5"/>
    </row>
    <row r="988">
      <c r="C988" s="20"/>
      <c r="F988" s="5"/>
    </row>
    <row r="989">
      <c r="C989" s="20"/>
      <c r="F989" s="5"/>
    </row>
    <row r="990">
      <c r="C990" s="20"/>
      <c r="F990" s="5"/>
    </row>
    <row r="991">
      <c r="C991" s="20"/>
      <c r="F991" s="5"/>
    </row>
    <row r="992">
      <c r="C992" s="20"/>
      <c r="F992" s="5"/>
    </row>
    <row r="993">
      <c r="C993" s="20"/>
      <c r="F993" s="5"/>
    </row>
    <row r="994">
      <c r="C994" s="20"/>
      <c r="F994" s="5"/>
    </row>
    <row r="995">
      <c r="C995" s="20"/>
      <c r="F995" s="5"/>
    </row>
    <row r="996">
      <c r="C996" s="20"/>
      <c r="F996" s="5"/>
    </row>
    <row r="997">
      <c r="C997" s="20"/>
      <c r="F997" s="5"/>
    </row>
    <row r="998">
      <c r="C998" s="20"/>
      <c r="F998" s="5"/>
    </row>
    <row r="999">
      <c r="C999" s="20"/>
      <c r="F999" s="5"/>
    </row>
    <row r="1000">
      <c r="C1000" s="20"/>
      <c r="F1000" s="5"/>
    </row>
    <row r="1001">
      <c r="C1001" s="20"/>
      <c r="F1001" s="5"/>
    </row>
    <row r="1002">
      <c r="C1002" s="20"/>
      <c r="F1002" s="5"/>
    </row>
    <row r="1003">
      <c r="C1003" s="20"/>
      <c r="F1003" s="5"/>
    </row>
    <row r="1004">
      <c r="C1004" s="20"/>
      <c r="F1004" s="5"/>
    </row>
    <row r="1005">
      <c r="C1005" s="20"/>
      <c r="F1005" s="5"/>
    </row>
    <row r="1006">
      <c r="C1006" s="20"/>
      <c r="F1006" s="5"/>
    </row>
    <row r="1007">
      <c r="C1007" s="20"/>
      <c r="F1007" s="5"/>
    </row>
    <row r="1008">
      <c r="C1008" s="20"/>
      <c r="F1008" s="5"/>
    </row>
  </sheetData>
  <mergeCells count="2">
    <mergeCell ref="A1:C1"/>
    <mergeCell ref="D1:F1"/>
  </mergeCells>
  <dataValidations>
    <dataValidation type="list" allowBlank="1" sqref="E10">
      <formula1>"Low Speed Surface Aerator,Low Speed Surface Aerator with Draft Tube,High Speed Floating Aerator"</formula1>
    </dataValidation>
    <dataValidation type="list" allowBlank="1" sqref="B41 E48">
      <formula1>"YES,NO"</formula1>
    </dataValidation>
  </dataValidations>
  <hyperlinks>
    <hyperlink r:id="rId1" ref="C14"/>
    <hyperlink r:id="rId2" ref="C15"/>
    <hyperlink r:id="rId3" ref="F16"/>
    <hyperlink r:id="rId4" ref="F17"/>
    <hyperlink r:id="rId5" ref="F18"/>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25"/>
    <col customWidth="1" min="3" max="3" width="27.63"/>
    <col customWidth="1" min="4" max="4" width="51.5"/>
    <col customWidth="1" min="5" max="5" width="76.38"/>
    <col customWidth="1" min="6" max="6" width="2.88"/>
    <col customWidth="1" min="7" max="7" width="3.63"/>
    <col customWidth="1" min="8" max="8" width="24.88"/>
    <col customWidth="1" min="9" max="9" width="45.0"/>
    <col customWidth="1" min="10" max="10" width="116.63"/>
  </cols>
  <sheetData>
    <row r="1">
      <c r="A1" s="41" t="s">
        <v>100</v>
      </c>
      <c r="B1" s="42"/>
      <c r="C1" s="42"/>
      <c r="D1" s="42"/>
      <c r="E1" s="43"/>
      <c r="F1" s="44" t="s">
        <v>101</v>
      </c>
      <c r="G1" s="45"/>
      <c r="H1" s="45"/>
      <c r="I1" s="45"/>
      <c r="J1" s="45"/>
    </row>
    <row r="2">
      <c r="A2" s="46"/>
      <c r="B2" s="47" t="s">
        <v>102</v>
      </c>
      <c r="C2" s="48" t="s">
        <v>103</v>
      </c>
      <c r="D2" s="48" t="s">
        <v>104</v>
      </c>
      <c r="E2" s="49" t="s">
        <v>105</v>
      </c>
      <c r="F2" s="50"/>
      <c r="G2" s="50" t="s">
        <v>102</v>
      </c>
      <c r="H2" s="50" t="s">
        <v>103</v>
      </c>
      <c r="I2" s="50" t="s">
        <v>106</v>
      </c>
      <c r="J2" s="51" t="s">
        <v>105</v>
      </c>
    </row>
    <row r="3">
      <c r="A3" s="52" t="s">
        <v>107</v>
      </c>
      <c r="B3" s="53">
        <v>1.0</v>
      </c>
      <c r="C3" s="54" t="s">
        <v>108</v>
      </c>
      <c r="D3" s="54" t="s">
        <v>109</v>
      </c>
      <c r="E3" s="55" t="s">
        <v>110</v>
      </c>
      <c r="F3" s="56" t="s">
        <v>107</v>
      </c>
      <c r="G3" s="57">
        <v>1.0</v>
      </c>
      <c r="H3" s="54" t="s">
        <v>111</v>
      </c>
      <c r="I3" s="54" t="s">
        <v>112</v>
      </c>
      <c r="J3" s="58" t="s">
        <v>113</v>
      </c>
    </row>
    <row r="4">
      <c r="A4" s="52"/>
      <c r="B4" s="53">
        <v>2.0</v>
      </c>
      <c r="C4" s="54" t="s">
        <v>114</v>
      </c>
      <c r="D4" s="54" t="s">
        <v>115</v>
      </c>
      <c r="E4" s="55" t="s">
        <v>116</v>
      </c>
      <c r="F4" s="56"/>
      <c r="G4" s="57">
        <v>2.0</v>
      </c>
      <c r="H4" s="54" t="s">
        <v>117</v>
      </c>
      <c r="I4" s="54" t="s">
        <v>118</v>
      </c>
      <c r="J4" s="58" t="s">
        <v>119</v>
      </c>
    </row>
    <row r="5">
      <c r="A5" s="52"/>
      <c r="B5" s="57">
        <v>3.0</v>
      </c>
      <c r="C5" s="54" t="s">
        <v>120</v>
      </c>
      <c r="D5" s="54" t="s">
        <v>121</v>
      </c>
      <c r="E5" s="55" t="s">
        <v>122</v>
      </c>
      <c r="F5" s="56"/>
      <c r="G5" s="57">
        <v>3.0</v>
      </c>
      <c r="H5" s="54" t="s">
        <v>123</v>
      </c>
      <c r="I5" s="54" t="s">
        <v>124</v>
      </c>
      <c r="J5" s="58" t="s">
        <v>125</v>
      </c>
    </row>
    <row r="6">
      <c r="A6" s="52"/>
      <c r="B6" s="57">
        <v>4.0</v>
      </c>
      <c r="C6" s="54" t="s">
        <v>126</v>
      </c>
      <c r="D6" s="54" t="s">
        <v>127</v>
      </c>
      <c r="E6" s="55" t="s">
        <v>128</v>
      </c>
      <c r="F6" s="56"/>
      <c r="G6" s="57">
        <v>4.0</v>
      </c>
      <c r="H6" s="54" t="s">
        <v>129</v>
      </c>
      <c r="I6" s="54" t="s">
        <v>130</v>
      </c>
      <c r="J6" s="58" t="s">
        <v>131</v>
      </c>
    </row>
    <row r="7">
      <c r="A7" s="52"/>
      <c r="B7" s="57">
        <v>5.0</v>
      </c>
      <c r="C7" s="54" t="s">
        <v>132</v>
      </c>
      <c r="D7" s="54" t="s">
        <v>133</v>
      </c>
      <c r="E7" s="55" t="s">
        <v>134</v>
      </c>
      <c r="F7" s="56"/>
      <c r="G7" s="57">
        <v>5.0</v>
      </c>
      <c r="H7" s="54" t="s">
        <v>135</v>
      </c>
      <c r="I7" s="54" t="s">
        <v>136</v>
      </c>
      <c r="J7" s="58" t="s">
        <v>137</v>
      </c>
    </row>
    <row r="8">
      <c r="A8" s="52"/>
      <c r="B8" s="57">
        <v>6.0</v>
      </c>
      <c r="C8" s="54" t="s">
        <v>138</v>
      </c>
      <c r="D8" s="54" t="s">
        <v>139</v>
      </c>
      <c r="E8" s="55" t="s">
        <v>140</v>
      </c>
      <c r="F8" s="56"/>
      <c r="G8" s="57">
        <v>6.0</v>
      </c>
      <c r="H8" s="54" t="s">
        <v>141</v>
      </c>
      <c r="I8" s="54" t="s">
        <v>142</v>
      </c>
      <c r="J8" s="58" t="s">
        <v>143</v>
      </c>
    </row>
    <row r="9">
      <c r="A9" s="52"/>
      <c r="B9" s="57">
        <v>7.0</v>
      </c>
      <c r="C9" s="54" t="s">
        <v>144</v>
      </c>
      <c r="D9" s="54" t="s">
        <v>145</v>
      </c>
      <c r="E9" s="55" t="s">
        <v>146</v>
      </c>
      <c r="F9" s="56"/>
      <c r="G9" s="57">
        <v>7.0</v>
      </c>
      <c r="H9" s="54" t="s">
        <v>147</v>
      </c>
      <c r="I9" s="59" t="s">
        <v>148</v>
      </c>
      <c r="J9" s="60" t="s">
        <v>149</v>
      </c>
    </row>
    <row r="10">
      <c r="A10" s="52"/>
      <c r="B10" s="57">
        <v>8.0</v>
      </c>
      <c r="C10" s="54" t="s">
        <v>150</v>
      </c>
      <c r="D10" s="54" t="s">
        <v>151</v>
      </c>
      <c r="E10" s="55" t="s">
        <v>152</v>
      </c>
      <c r="F10" s="61" t="s">
        <v>153</v>
      </c>
      <c r="G10" s="57">
        <v>8.0</v>
      </c>
      <c r="H10" s="54" t="s">
        <v>154</v>
      </c>
      <c r="I10" s="54" t="s">
        <v>155</v>
      </c>
      <c r="J10" s="58" t="s">
        <v>156</v>
      </c>
    </row>
    <row r="11">
      <c r="A11" s="52"/>
      <c r="B11" s="57">
        <v>9.0</v>
      </c>
      <c r="C11" s="54" t="s">
        <v>157</v>
      </c>
      <c r="D11" s="54" t="s">
        <v>158</v>
      </c>
      <c r="E11" s="55" t="s">
        <v>159</v>
      </c>
      <c r="F11" s="61"/>
      <c r="G11" s="57">
        <v>9.0</v>
      </c>
      <c r="H11" s="54" t="s">
        <v>160</v>
      </c>
      <c r="I11" s="54" t="s">
        <v>161</v>
      </c>
      <c r="J11" s="55" t="s">
        <v>162</v>
      </c>
    </row>
    <row r="12">
      <c r="A12" s="52"/>
      <c r="B12" s="53">
        <v>10.0</v>
      </c>
      <c r="C12" s="62" t="s">
        <v>163</v>
      </c>
      <c r="D12" s="62" t="s">
        <v>163</v>
      </c>
      <c r="E12" s="63" t="s">
        <v>164</v>
      </c>
      <c r="F12" s="61"/>
      <c r="G12" s="57">
        <v>10.0</v>
      </c>
      <c r="H12" s="54" t="s">
        <v>165</v>
      </c>
      <c r="I12" s="54" t="s">
        <v>166</v>
      </c>
      <c r="J12" s="55" t="s">
        <v>167</v>
      </c>
    </row>
    <row r="13">
      <c r="A13" s="52"/>
      <c r="B13" s="57">
        <v>11.0</v>
      </c>
      <c r="C13" s="54" t="s">
        <v>168</v>
      </c>
      <c r="D13" s="59" t="s">
        <v>169</v>
      </c>
      <c r="E13" s="55" t="s">
        <v>170</v>
      </c>
      <c r="F13" s="61"/>
      <c r="G13" s="57">
        <v>11.0</v>
      </c>
      <c r="H13" s="54" t="s">
        <v>171</v>
      </c>
      <c r="I13" s="54" t="s">
        <v>172</v>
      </c>
      <c r="J13" s="54" t="s">
        <v>173</v>
      </c>
    </row>
    <row r="14">
      <c r="A14" s="52"/>
      <c r="B14" s="64">
        <v>12.0</v>
      </c>
      <c r="C14" s="54" t="s">
        <v>174</v>
      </c>
      <c r="D14" s="54" t="s">
        <v>175</v>
      </c>
      <c r="E14" s="55" t="s">
        <v>176</v>
      </c>
      <c r="F14" s="65"/>
      <c r="G14" s="66"/>
      <c r="H14" s="67"/>
      <c r="I14" s="67"/>
      <c r="J14" s="67"/>
    </row>
    <row r="15">
      <c r="A15" s="52"/>
      <c r="B15" s="57">
        <v>13.0</v>
      </c>
      <c r="C15" s="54" t="s">
        <v>177</v>
      </c>
      <c r="D15" s="54" t="s">
        <v>178</v>
      </c>
      <c r="E15" s="55" t="s">
        <v>179</v>
      </c>
      <c r="F15" s="68"/>
      <c r="G15" s="69" t="s">
        <v>180</v>
      </c>
      <c r="H15" s="45"/>
      <c r="I15" s="45"/>
      <c r="J15" s="70"/>
    </row>
    <row r="16">
      <c r="A16" s="52"/>
      <c r="B16" s="53">
        <v>14.0</v>
      </c>
      <c r="C16" s="54" t="s">
        <v>147</v>
      </c>
      <c r="D16" s="59" t="s">
        <v>148</v>
      </c>
      <c r="E16" s="71" t="s">
        <v>149</v>
      </c>
      <c r="F16" s="72"/>
      <c r="G16" s="73" t="s">
        <v>102</v>
      </c>
      <c r="H16" s="73" t="s">
        <v>181</v>
      </c>
      <c r="I16" s="73"/>
      <c r="J16" s="73" t="s">
        <v>182</v>
      </c>
    </row>
    <row r="17">
      <c r="A17" s="52"/>
      <c r="B17" s="53">
        <v>15.0</v>
      </c>
      <c r="C17" s="54" t="s">
        <v>183</v>
      </c>
      <c r="D17" s="59" t="s">
        <v>184</v>
      </c>
      <c r="E17" s="71" t="s">
        <v>185</v>
      </c>
      <c r="F17" s="57"/>
      <c r="G17" s="57">
        <v>1.0</v>
      </c>
      <c r="H17" s="59" t="s">
        <v>186</v>
      </c>
      <c r="I17" s="54" t="s">
        <v>187</v>
      </c>
      <c r="J17" s="74" t="s">
        <v>188</v>
      </c>
    </row>
    <row r="18">
      <c r="A18" s="61" t="s">
        <v>153</v>
      </c>
      <c r="B18" s="57">
        <v>16.0</v>
      </c>
      <c r="C18" s="54" t="s">
        <v>154</v>
      </c>
      <c r="D18" s="54" t="s">
        <v>155</v>
      </c>
      <c r="E18" s="55" t="s">
        <v>189</v>
      </c>
      <c r="F18" s="57"/>
      <c r="G18" s="57">
        <v>2.0</v>
      </c>
      <c r="H18" s="54" t="s">
        <v>190</v>
      </c>
      <c r="I18" s="67"/>
      <c r="J18" s="58" t="s">
        <v>191</v>
      </c>
    </row>
    <row r="19">
      <c r="A19" s="61"/>
      <c r="B19" s="57">
        <v>17.0</v>
      </c>
      <c r="C19" s="54" t="s">
        <v>192</v>
      </c>
      <c r="D19" s="54" t="s">
        <v>193</v>
      </c>
      <c r="E19" s="55" t="s">
        <v>189</v>
      </c>
      <c r="F19" s="57"/>
      <c r="G19" s="57">
        <v>3.0</v>
      </c>
      <c r="H19" s="54" t="s">
        <v>194</v>
      </c>
      <c r="I19" s="67"/>
      <c r="J19" s="58" t="s">
        <v>195</v>
      </c>
    </row>
    <row r="20">
      <c r="A20" s="61"/>
      <c r="B20" s="57">
        <v>18.0</v>
      </c>
      <c r="C20" s="75" t="s">
        <v>196</v>
      </c>
      <c r="D20" s="54" t="s">
        <v>155</v>
      </c>
      <c r="E20" s="55" t="s">
        <v>189</v>
      </c>
      <c r="F20" s="65"/>
      <c r="G20" s="76"/>
      <c r="H20" s="54" t="s">
        <v>197</v>
      </c>
      <c r="I20" s="67"/>
      <c r="J20" s="58" t="s">
        <v>198</v>
      </c>
    </row>
    <row r="21">
      <c r="A21" s="61"/>
      <c r="B21" s="57">
        <v>19.0</v>
      </c>
      <c r="C21" s="54" t="s">
        <v>132</v>
      </c>
      <c r="D21" s="54" t="s">
        <v>199</v>
      </c>
      <c r="E21" s="55" t="s">
        <v>200</v>
      </c>
      <c r="F21" s="65"/>
      <c r="G21" s="76"/>
      <c r="H21" s="54" t="s">
        <v>201</v>
      </c>
      <c r="I21" s="67"/>
      <c r="J21" s="58" t="s">
        <v>202</v>
      </c>
    </row>
    <row r="22">
      <c r="A22" s="61"/>
      <c r="B22" s="57">
        <v>20.0</v>
      </c>
      <c r="C22" s="54" t="s">
        <v>160</v>
      </c>
      <c r="D22" s="54" t="s">
        <v>161</v>
      </c>
      <c r="E22" s="55" t="s">
        <v>162</v>
      </c>
      <c r="F22" s="65"/>
      <c r="G22" s="76"/>
      <c r="H22" s="54" t="s">
        <v>203</v>
      </c>
      <c r="I22" s="67"/>
      <c r="J22" s="58" t="s">
        <v>204</v>
      </c>
    </row>
    <row r="23">
      <c r="A23" s="61"/>
      <c r="B23" s="57">
        <v>21.0</v>
      </c>
      <c r="C23" s="54" t="s">
        <v>165</v>
      </c>
      <c r="D23" s="54" t="s">
        <v>166</v>
      </c>
      <c r="E23" s="55" t="s">
        <v>167</v>
      </c>
      <c r="F23" s="57"/>
      <c r="G23" s="57">
        <v>4.0</v>
      </c>
      <c r="H23" s="54" t="s">
        <v>205</v>
      </c>
      <c r="I23" s="54"/>
      <c r="J23" s="58" t="s">
        <v>206</v>
      </c>
    </row>
    <row r="24">
      <c r="A24" s="65"/>
      <c r="B24" s="66"/>
      <c r="C24" s="67"/>
      <c r="D24" s="67"/>
      <c r="E24" s="77"/>
      <c r="F24" s="57"/>
      <c r="G24" s="57">
        <v>5.0</v>
      </c>
      <c r="H24" s="54" t="s">
        <v>207</v>
      </c>
      <c r="I24" s="65"/>
      <c r="J24" s="58" t="s">
        <v>208</v>
      </c>
    </row>
    <row r="25">
      <c r="A25" s="78"/>
      <c r="B25" s="79" t="s">
        <v>180</v>
      </c>
      <c r="C25" s="45"/>
      <c r="D25" s="45"/>
      <c r="E25" s="70"/>
      <c r="F25" s="57"/>
      <c r="G25" s="57">
        <v>6.0</v>
      </c>
      <c r="H25" s="54" t="s">
        <v>209</v>
      </c>
      <c r="I25" s="65"/>
      <c r="J25" s="58" t="s">
        <v>210</v>
      </c>
    </row>
    <row r="26">
      <c r="A26" s="80"/>
      <c r="B26" s="80" t="s">
        <v>102</v>
      </c>
      <c r="C26" s="80" t="s">
        <v>181</v>
      </c>
      <c r="D26" s="80"/>
      <c r="E26" s="81" t="s">
        <v>182</v>
      </c>
      <c r="F26" s="57"/>
      <c r="G26" s="57">
        <v>7.0</v>
      </c>
      <c r="H26" s="54" t="s">
        <v>211</v>
      </c>
      <c r="I26" s="54"/>
      <c r="J26" s="58" t="s">
        <v>212</v>
      </c>
    </row>
    <row r="27">
      <c r="A27" s="53"/>
      <c r="B27" s="53">
        <v>1.0</v>
      </c>
      <c r="C27" s="54" t="s">
        <v>190</v>
      </c>
      <c r="D27" s="54"/>
      <c r="E27" s="55" t="s">
        <v>213</v>
      </c>
      <c r="F27" s="57"/>
      <c r="G27" s="57">
        <v>8.0</v>
      </c>
      <c r="H27" s="54" t="s">
        <v>214</v>
      </c>
      <c r="I27" s="65"/>
      <c r="J27" s="58" t="s">
        <v>215</v>
      </c>
    </row>
    <row r="28">
      <c r="A28" s="53"/>
      <c r="B28" s="53">
        <v>2.0</v>
      </c>
      <c r="C28" s="54" t="s">
        <v>216</v>
      </c>
      <c r="D28" s="67"/>
      <c r="E28" s="55" t="s">
        <v>217</v>
      </c>
      <c r="F28" s="65"/>
      <c r="G28" s="66"/>
      <c r="H28" s="67"/>
      <c r="I28" s="67"/>
      <c r="J28" s="67"/>
    </row>
    <row r="29">
      <c r="A29" s="53"/>
      <c r="B29" s="53">
        <v>3.0</v>
      </c>
      <c r="C29" s="54" t="s">
        <v>218</v>
      </c>
      <c r="D29" s="67"/>
      <c r="E29" s="55" t="s">
        <v>219</v>
      </c>
      <c r="F29" s="65"/>
      <c r="G29" s="66"/>
      <c r="H29" s="67"/>
      <c r="I29" s="67"/>
      <c r="J29" s="67"/>
    </row>
    <row r="30">
      <c r="A30" s="53"/>
      <c r="B30" s="53">
        <v>4.0</v>
      </c>
      <c r="C30" s="54" t="s">
        <v>220</v>
      </c>
      <c r="D30" s="67"/>
      <c r="E30" s="55" t="s">
        <v>221</v>
      </c>
      <c r="F30" s="65"/>
      <c r="G30" s="66"/>
      <c r="H30" s="67"/>
      <c r="I30" s="67"/>
      <c r="J30" s="67"/>
    </row>
    <row r="31">
      <c r="A31" s="53"/>
      <c r="B31" s="53">
        <v>5.0</v>
      </c>
      <c r="C31" s="54" t="s">
        <v>222</v>
      </c>
      <c r="D31" s="67"/>
      <c r="E31" s="55" t="s">
        <v>223</v>
      </c>
      <c r="F31" s="57"/>
      <c r="G31" s="57"/>
      <c r="H31" s="54"/>
      <c r="I31" s="67"/>
      <c r="J31" s="82"/>
    </row>
  </sheetData>
  <mergeCells count="4">
    <mergeCell ref="A1:E1"/>
    <mergeCell ref="F1:J1"/>
    <mergeCell ref="G15:J15"/>
    <mergeCell ref="B25:E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15.63"/>
    <col customWidth="1" min="3" max="3" width="51.63"/>
    <col customWidth="1" min="4" max="4" width="65.5"/>
  </cols>
  <sheetData>
    <row r="1">
      <c r="A1" s="46" t="s">
        <v>102</v>
      </c>
      <c r="B1" s="83" t="s">
        <v>224</v>
      </c>
      <c r="C1" s="84" t="s">
        <v>225</v>
      </c>
      <c r="D1" s="85" t="s">
        <v>226</v>
      </c>
    </row>
    <row r="2">
      <c r="A2" s="86">
        <v>1.0</v>
      </c>
      <c r="B2" s="87" t="s">
        <v>227</v>
      </c>
      <c r="C2" s="88" t="s">
        <v>228</v>
      </c>
      <c r="D2" s="89" t="s">
        <v>229</v>
      </c>
    </row>
    <row r="3">
      <c r="A3" s="90"/>
      <c r="B3" s="91"/>
      <c r="C3" s="92" t="s">
        <v>230</v>
      </c>
      <c r="D3" s="93" t="s">
        <v>231</v>
      </c>
    </row>
    <row r="4">
      <c r="A4" s="86">
        <v>2.0</v>
      </c>
      <c r="B4" s="87" t="s">
        <v>232</v>
      </c>
      <c r="C4" s="88" t="s">
        <v>233</v>
      </c>
      <c r="D4" s="89" t="s">
        <v>234</v>
      </c>
    </row>
    <row r="5">
      <c r="A5" s="94"/>
      <c r="B5" s="95"/>
      <c r="C5" s="88" t="s">
        <v>235</v>
      </c>
      <c r="D5" s="89" t="s">
        <v>236</v>
      </c>
    </row>
    <row r="6">
      <c r="A6" s="94"/>
      <c r="B6" s="95"/>
      <c r="C6" s="88" t="s">
        <v>237</v>
      </c>
      <c r="D6" s="89" t="s">
        <v>238</v>
      </c>
    </row>
    <row r="7">
      <c r="A7" s="96"/>
      <c r="B7" s="97"/>
      <c r="C7" s="89" t="s">
        <v>239</v>
      </c>
      <c r="D7" s="98"/>
    </row>
    <row r="8">
      <c r="A8" s="99"/>
      <c r="B8" s="100"/>
      <c r="C8" s="93" t="s">
        <v>240</v>
      </c>
      <c r="D8" s="101"/>
    </row>
    <row r="9">
      <c r="A9" s="86">
        <v>3.0</v>
      </c>
      <c r="B9" s="87" t="s">
        <v>241</v>
      </c>
      <c r="C9" s="89" t="s">
        <v>242</v>
      </c>
      <c r="D9" s="89" t="s">
        <v>243</v>
      </c>
    </row>
    <row r="10">
      <c r="A10" s="96"/>
      <c r="B10" s="97"/>
      <c r="C10" s="89" t="s">
        <v>244</v>
      </c>
      <c r="D10" s="89" t="s">
        <v>245</v>
      </c>
    </row>
    <row r="11">
      <c r="A11" s="99"/>
      <c r="B11" s="100"/>
      <c r="C11" s="93" t="s">
        <v>246</v>
      </c>
      <c r="D11" s="101"/>
    </row>
    <row r="12">
      <c r="A12" s="86">
        <v>4.0</v>
      </c>
      <c r="B12" s="87" t="s">
        <v>247</v>
      </c>
      <c r="C12" s="89" t="s">
        <v>248</v>
      </c>
      <c r="D12" s="89" t="s">
        <v>249</v>
      </c>
    </row>
    <row r="13">
      <c r="A13" s="96"/>
      <c r="B13" s="97"/>
      <c r="C13" s="89" t="s">
        <v>250</v>
      </c>
      <c r="D13" s="89" t="s">
        <v>251</v>
      </c>
    </row>
    <row r="14">
      <c r="A14" s="99"/>
      <c r="B14" s="100"/>
      <c r="C14" s="93" t="s">
        <v>252</v>
      </c>
      <c r="D14" s="101"/>
    </row>
    <row r="15">
      <c r="A15" s="99">
        <v>5.0</v>
      </c>
      <c r="B15" s="102" t="s">
        <v>253</v>
      </c>
      <c r="C15" s="93" t="s">
        <v>254</v>
      </c>
      <c r="D15" s="101" t="s">
        <v>255</v>
      </c>
    </row>
    <row r="16">
      <c r="A16" s="103"/>
      <c r="B16" s="104"/>
      <c r="C16" s="104"/>
      <c r="D16" s="104"/>
    </row>
    <row r="17">
      <c r="A17" s="105"/>
      <c r="B17" s="106" t="s">
        <v>256</v>
      </c>
      <c r="C17" s="107" t="s">
        <v>257</v>
      </c>
      <c r="D17" s="104"/>
    </row>
    <row r="18">
      <c r="A18" s="103"/>
      <c r="B18" s="104"/>
      <c r="C18" s="108" t="s">
        <v>258</v>
      </c>
      <c r="D18" s="104"/>
    </row>
    <row r="19">
      <c r="A19" s="103"/>
      <c r="B19" s="104"/>
      <c r="C19" s="104"/>
      <c r="D19" s="104"/>
    </row>
    <row r="20">
      <c r="A20" s="109"/>
      <c r="B20" s="110" t="s">
        <v>259</v>
      </c>
      <c r="C20" s="104"/>
      <c r="D20" s="104"/>
    </row>
    <row r="21">
      <c r="A21" s="111"/>
      <c r="B21" s="112" t="s">
        <v>260</v>
      </c>
      <c r="C21" s="104"/>
      <c r="D21" s="104"/>
    </row>
    <row r="22">
      <c r="A22" s="111"/>
      <c r="B22" s="112" t="s">
        <v>261</v>
      </c>
      <c r="C22" s="104"/>
      <c r="D22" s="104"/>
    </row>
    <row r="23">
      <c r="A23" s="111"/>
      <c r="B23" s="112" t="s">
        <v>262</v>
      </c>
      <c r="C23" s="104"/>
      <c r="D23" s="104"/>
    </row>
    <row r="24">
      <c r="A24" s="113"/>
      <c r="B24" s="6" t="s">
        <v>263</v>
      </c>
      <c r="C24" s="104"/>
      <c r="D24" s="104"/>
    </row>
    <row r="25">
      <c r="A25" s="114"/>
      <c r="B25" s="115" t="s">
        <v>264</v>
      </c>
      <c r="C25" s="104"/>
      <c r="D25" s="104"/>
    </row>
  </sheetData>
  <hyperlinks>
    <hyperlink r:id="rId1" ref="C1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15.75"/>
    <col customWidth="1" min="3" max="3" width="29.75"/>
    <col customWidth="1" min="4" max="4" width="14.63"/>
    <col customWidth="1" min="5" max="5" width="17.0"/>
    <col customWidth="1" min="6" max="6" width="18.63"/>
    <col customWidth="1" min="7" max="7" width="13.0"/>
  </cols>
  <sheetData>
    <row r="1">
      <c r="A1" s="116" t="s">
        <v>265</v>
      </c>
      <c r="B1" s="116" t="s">
        <v>266</v>
      </c>
      <c r="C1" s="116" t="s">
        <v>267</v>
      </c>
      <c r="D1" s="116" t="s">
        <v>268</v>
      </c>
      <c r="E1" s="116" t="s">
        <v>269</v>
      </c>
      <c r="F1" s="116" t="s">
        <v>270</v>
      </c>
      <c r="G1" s="116" t="s">
        <v>271</v>
      </c>
      <c r="H1" s="116" t="s">
        <v>272</v>
      </c>
      <c r="I1" s="67"/>
      <c r="J1" s="67"/>
      <c r="K1" s="67"/>
      <c r="L1" s="67"/>
      <c r="M1" s="67"/>
      <c r="N1" s="67"/>
      <c r="O1" s="67"/>
      <c r="P1" s="67"/>
      <c r="Q1" s="67"/>
      <c r="R1" s="67"/>
      <c r="S1" s="67"/>
      <c r="T1" s="67"/>
      <c r="U1" s="67"/>
      <c r="V1" s="67"/>
      <c r="W1" s="67"/>
      <c r="X1" s="67"/>
      <c r="Y1" s="67"/>
      <c r="Z1" s="67"/>
    </row>
    <row r="2">
      <c r="A2" s="117" t="s">
        <v>273</v>
      </c>
      <c r="B2" s="116" t="s">
        <v>274</v>
      </c>
      <c r="C2" s="54" t="s">
        <v>275</v>
      </c>
      <c r="D2" s="54" t="s">
        <v>276</v>
      </c>
      <c r="E2" s="67"/>
      <c r="F2" s="54" t="s">
        <v>277</v>
      </c>
      <c r="G2" s="54"/>
      <c r="H2" s="54" t="s">
        <v>278</v>
      </c>
      <c r="I2" s="54" t="s">
        <v>279</v>
      </c>
      <c r="J2" s="67"/>
      <c r="K2" s="67"/>
      <c r="L2" s="67"/>
      <c r="M2" s="67"/>
      <c r="N2" s="67"/>
      <c r="O2" s="67"/>
      <c r="P2" s="67"/>
      <c r="Q2" s="67"/>
      <c r="R2" s="67"/>
      <c r="S2" s="67"/>
      <c r="T2" s="67"/>
      <c r="U2" s="67"/>
      <c r="V2" s="67"/>
      <c r="W2" s="67"/>
      <c r="X2" s="67"/>
      <c r="Y2" s="67"/>
      <c r="Z2" s="67"/>
    </row>
    <row r="3">
      <c r="A3" s="117" t="s">
        <v>280</v>
      </c>
      <c r="F3" s="6" t="s">
        <v>281</v>
      </c>
      <c r="J3" s="67"/>
      <c r="K3" s="67"/>
      <c r="L3" s="67"/>
      <c r="M3" s="67"/>
      <c r="N3" s="67"/>
      <c r="O3" s="67"/>
      <c r="P3" s="67"/>
      <c r="Q3" s="67"/>
      <c r="R3" s="67"/>
      <c r="S3" s="67"/>
      <c r="T3" s="67"/>
      <c r="U3" s="67"/>
      <c r="V3" s="67"/>
      <c r="W3" s="67"/>
      <c r="X3" s="67"/>
      <c r="Y3" s="67"/>
      <c r="Z3" s="67"/>
    </row>
    <row r="4">
      <c r="A4" s="117" t="s">
        <v>282</v>
      </c>
      <c r="B4" s="67"/>
      <c r="C4" s="67"/>
      <c r="D4" s="67"/>
      <c r="E4" s="67"/>
      <c r="F4" s="54" t="s">
        <v>283</v>
      </c>
      <c r="G4" s="67"/>
      <c r="H4" s="67"/>
      <c r="I4" s="67"/>
      <c r="J4" s="67"/>
      <c r="K4" s="67"/>
      <c r="L4" s="67"/>
      <c r="M4" s="67"/>
      <c r="N4" s="67"/>
      <c r="O4" s="67"/>
      <c r="P4" s="67"/>
      <c r="Q4" s="67"/>
      <c r="R4" s="67"/>
      <c r="S4" s="67"/>
      <c r="T4" s="67"/>
      <c r="U4" s="67"/>
      <c r="V4" s="67"/>
      <c r="W4" s="67"/>
      <c r="X4" s="67"/>
      <c r="Y4" s="67"/>
      <c r="Z4" s="67"/>
    </row>
    <row r="5">
      <c r="A5" s="117" t="s">
        <v>284</v>
      </c>
      <c r="B5" s="67"/>
      <c r="C5" s="67"/>
      <c r="D5" s="67"/>
      <c r="E5" s="67"/>
      <c r="F5" s="54" t="s">
        <v>285</v>
      </c>
      <c r="G5" s="67"/>
      <c r="H5" s="67"/>
      <c r="I5" s="67"/>
      <c r="J5" s="67"/>
      <c r="K5" s="67"/>
      <c r="L5" s="67"/>
      <c r="M5" s="67"/>
      <c r="N5" s="67"/>
      <c r="O5" s="67"/>
      <c r="P5" s="67"/>
      <c r="Q5" s="67"/>
      <c r="R5" s="67"/>
      <c r="S5" s="67"/>
      <c r="T5" s="67"/>
      <c r="U5" s="67"/>
      <c r="V5" s="67"/>
      <c r="W5" s="67"/>
      <c r="X5" s="67"/>
      <c r="Y5" s="67"/>
      <c r="Z5" s="67"/>
    </row>
    <row r="6">
      <c r="A6" s="117" t="s">
        <v>286</v>
      </c>
      <c r="B6" s="116" t="s">
        <v>287</v>
      </c>
      <c r="D6" s="67"/>
      <c r="E6" s="54" t="s">
        <v>288</v>
      </c>
      <c r="F6" s="67"/>
      <c r="G6" s="67"/>
      <c r="H6" s="54" t="s">
        <v>289</v>
      </c>
      <c r="I6" s="67"/>
      <c r="J6" s="67"/>
      <c r="K6" s="67"/>
      <c r="L6" s="67"/>
      <c r="M6" s="67"/>
      <c r="N6" s="67"/>
      <c r="O6" s="67"/>
      <c r="P6" s="67"/>
      <c r="Q6" s="67"/>
      <c r="R6" s="67"/>
      <c r="S6" s="67"/>
      <c r="T6" s="67"/>
      <c r="U6" s="67"/>
      <c r="V6" s="67"/>
      <c r="W6" s="67"/>
      <c r="X6" s="67"/>
      <c r="Y6" s="67"/>
      <c r="Z6" s="67"/>
    </row>
    <row r="7">
      <c r="A7" s="117" t="s">
        <v>290</v>
      </c>
      <c r="B7" s="67"/>
      <c r="C7" s="67"/>
      <c r="D7" s="67"/>
      <c r="E7" s="67"/>
      <c r="F7" s="67"/>
      <c r="G7" s="67"/>
      <c r="H7" s="67"/>
      <c r="I7" s="67"/>
      <c r="J7" s="67"/>
      <c r="K7" s="67"/>
      <c r="L7" s="67"/>
      <c r="M7" s="67"/>
      <c r="N7" s="67"/>
      <c r="O7" s="67"/>
      <c r="P7" s="67"/>
      <c r="Q7" s="67"/>
      <c r="R7" s="67"/>
      <c r="S7" s="67"/>
      <c r="T7" s="67"/>
      <c r="U7" s="67"/>
      <c r="V7" s="67"/>
      <c r="W7" s="67"/>
      <c r="X7" s="67"/>
      <c r="Y7" s="67"/>
      <c r="Z7" s="67"/>
    </row>
    <row r="8">
      <c r="A8" s="117" t="s">
        <v>291</v>
      </c>
      <c r="B8" s="67"/>
      <c r="C8" s="67"/>
      <c r="D8" s="67"/>
      <c r="E8" s="67"/>
      <c r="F8" s="67"/>
      <c r="G8" s="67"/>
      <c r="H8" s="67"/>
      <c r="I8" s="67"/>
      <c r="J8" s="67"/>
      <c r="K8" s="67"/>
      <c r="L8" s="67"/>
      <c r="M8" s="67"/>
      <c r="N8" s="67"/>
      <c r="O8" s="67"/>
      <c r="P8" s="67"/>
      <c r="Q8" s="67"/>
      <c r="R8" s="67"/>
      <c r="S8" s="67"/>
      <c r="T8" s="67"/>
      <c r="U8" s="67"/>
      <c r="V8" s="67"/>
      <c r="W8" s="67"/>
      <c r="X8" s="67"/>
      <c r="Y8" s="67"/>
      <c r="Z8" s="67"/>
    </row>
    <row r="9">
      <c r="A9" s="117" t="s">
        <v>292</v>
      </c>
      <c r="B9" s="67"/>
      <c r="C9" s="67"/>
      <c r="D9" s="67"/>
      <c r="E9" s="67"/>
      <c r="F9" s="67"/>
      <c r="G9" s="67"/>
      <c r="H9" s="67"/>
      <c r="I9" s="67"/>
      <c r="J9" s="67"/>
      <c r="K9" s="67"/>
      <c r="L9" s="67"/>
      <c r="M9" s="67"/>
      <c r="N9" s="67"/>
      <c r="O9" s="67"/>
      <c r="P9" s="67"/>
      <c r="Q9" s="67"/>
      <c r="R9" s="67"/>
      <c r="S9" s="67"/>
      <c r="T9" s="67"/>
      <c r="U9" s="67"/>
      <c r="V9" s="67"/>
      <c r="W9" s="67"/>
      <c r="X9" s="67"/>
      <c r="Y9" s="67"/>
      <c r="Z9" s="67"/>
    </row>
    <row r="10">
      <c r="A10" s="117" t="s">
        <v>293</v>
      </c>
      <c r="B10" s="67"/>
      <c r="C10" s="67"/>
      <c r="D10" s="67"/>
      <c r="E10" s="67"/>
      <c r="F10" s="67"/>
      <c r="G10" s="67"/>
      <c r="H10" s="67"/>
      <c r="I10" s="67"/>
      <c r="J10" s="67"/>
      <c r="K10" s="67"/>
      <c r="L10" s="67"/>
      <c r="M10" s="67"/>
      <c r="N10" s="67"/>
      <c r="O10" s="67"/>
      <c r="P10" s="67"/>
      <c r="Q10" s="67"/>
      <c r="R10" s="67"/>
      <c r="S10" s="67"/>
      <c r="T10" s="67"/>
      <c r="U10" s="67"/>
      <c r="V10" s="67"/>
      <c r="W10" s="67"/>
      <c r="X10" s="67"/>
      <c r="Y10" s="67"/>
      <c r="Z10" s="67"/>
    </row>
    <row r="11">
      <c r="A11" s="67"/>
      <c r="B11" s="67"/>
      <c r="C11" s="67"/>
      <c r="D11" s="67"/>
      <c r="E11" s="67"/>
      <c r="F11" s="67"/>
      <c r="G11" s="67"/>
      <c r="H11" s="67"/>
      <c r="I11" s="67"/>
      <c r="J11" s="67"/>
      <c r="K11" s="67"/>
      <c r="L11" s="67"/>
      <c r="M11" s="67"/>
      <c r="N11" s="67"/>
      <c r="O11" s="67"/>
      <c r="P11" s="67"/>
      <c r="Q11" s="67"/>
      <c r="R11" s="67"/>
      <c r="S11" s="67"/>
      <c r="T11" s="67"/>
      <c r="U11" s="67"/>
      <c r="V11" s="67"/>
      <c r="W11" s="67"/>
      <c r="X11" s="67"/>
      <c r="Y11" s="67"/>
      <c r="Z11" s="67"/>
    </row>
    <row r="12">
      <c r="A12" s="116" t="s">
        <v>294</v>
      </c>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row>
    <row r="14">
      <c r="A14" s="116" t="s">
        <v>295</v>
      </c>
      <c r="B14" s="67"/>
      <c r="C14" s="67"/>
      <c r="D14" s="67"/>
      <c r="E14" s="67"/>
      <c r="F14" s="67"/>
      <c r="G14" s="67"/>
      <c r="H14" s="67"/>
      <c r="I14" s="67"/>
      <c r="J14" s="67"/>
      <c r="K14" s="67"/>
      <c r="L14" s="67"/>
      <c r="M14" s="67"/>
      <c r="N14" s="67"/>
      <c r="O14" s="67"/>
      <c r="P14" s="67"/>
      <c r="Q14" s="67"/>
      <c r="R14" s="67"/>
      <c r="S14" s="67"/>
      <c r="T14" s="67"/>
      <c r="U14" s="67"/>
      <c r="V14" s="67"/>
      <c r="W14" s="67"/>
      <c r="X14" s="67"/>
      <c r="Y14" s="67"/>
      <c r="Z14" s="67"/>
    </row>
    <row r="15">
      <c r="A15" s="54" t="s">
        <v>296</v>
      </c>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c r="A16" s="54" t="s">
        <v>297</v>
      </c>
      <c r="B16" s="67"/>
      <c r="C16" s="67"/>
      <c r="D16" s="67"/>
      <c r="E16" s="67"/>
      <c r="F16" s="67"/>
      <c r="G16" s="67"/>
      <c r="H16" s="67"/>
      <c r="I16" s="67"/>
      <c r="J16" s="67"/>
      <c r="K16" s="67"/>
      <c r="L16" s="67"/>
      <c r="M16" s="67"/>
      <c r="N16" s="67"/>
      <c r="O16" s="67"/>
      <c r="P16" s="67"/>
      <c r="Q16" s="67"/>
      <c r="R16" s="67"/>
      <c r="S16" s="67"/>
      <c r="T16" s="67"/>
      <c r="U16" s="67"/>
      <c r="V16" s="67"/>
      <c r="W16" s="67"/>
      <c r="X16" s="67"/>
      <c r="Y16" s="67"/>
      <c r="Z16" s="67"/>
    </row>
    <row r="17">
      <c r="A17" s="6" t="s">
        <v>298</v>
      </c>
      <c r="B17" s="67"/>
      <c r="C17" s="67"/>
      <c r="D17" s="67"/>
      <c r="E17" s="67"/>
      <c r="F17" s="67"/>
      <c r="G17" s="67"/>
      <c r="H17" s="67"/>
      <c r="I17" s="67"/>
      <c r="J17" s="67"/>
      <c r="K17" s="67"/>
      <c r="L17" s="67"/>
      <c r="M17" s="67"/>
      <c r="N17" s="67"/>
      <c r="O17" s="67"/>
      <c r="P17" s="67"/>
      <c r="Q17" s="67"/>
      <c r="R17" s="67"/>
      <c r="S17" s="67"/>
      <c r="T17" s="67"/>
      <c r="U17" s="67"/>
      <c r="V17" s="67"/>
      <c r="W17" s="67"/>
      <c r="X17" s="67"/>
      <c r="Y17" s="67"/>
      <c r="Z17" s="67"/>
    </row>
    <row r="18">
      <c r="A18" s="118" t="s">
        <v>299</v>
      </c>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c r="A19" s="118" t="s">
        <v>300</v>
      </c>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c r="A20" s="118" t="s">
        <v>301</v>
      </c>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c r="A21" s="118" t="s">
        <v>302</v>
      </c>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118" t="s">
        <v>303</v>
      </c>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119" t="s">
        <v>304</v>
      </c>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120" t="s">
        <v>305</v>
      </c>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4.13"/>
  </cols>
  <sheetData>
    <row r="1">
      <c r="A1" s="35" t="s">
        <v>306</v>
      </c>
      <c r="B1" s="121"/>
      <c r="C1" s="121"/>
      <c r="D1" s="121"/>
      <c r="E1" s="121"/>
      <c r="F1" s="121"/>
      <c r="G1" s="121"/>
      <c r="H1" s="121"/>
      <c r="I1" s="121"/>
      <c r="J1" s="121"/>
      <c r="K1" s="121"/>
      <c r="L1" s="121"/>
      <c r="M1" s="121"/>
      <c r="N1" s="121"/>
      <c r="O1" s="121"/>
      <c r="P1" s="121"/>
      <c r="Q1" s="121"/>
      <c r="R1" s="121"/>
      <c r="S1" s="121"/>
      <c r="T1" s="121"/>
      <c r="U1" s="121"/>
      <c r="V1" s="121"/>
      <c r="W1" s="121"/>
      <c r="X1" s="121"/>
      <c r="Y1" s="121"/>
      <c r="Z1" s="121"/>
    </row>
    <row r="2">
      <c r="A2" s="35" t="s">
        <v>307</v>
      </c>
      <c r="B2" s="121"/>
      <c r="C2" s="121"/>
      <c r="D2" s="121"/>
      <c r="E2" s="121"/>
      <c r="F2" s="121"/>
      <c r="G2" s="121"/>
      <c r="H2" s="121"/>
      <c r="I2" s="121"/>
      <c r="J2" s="121"/>
      <c r="K2" s="121"/>
      <c r="L2" s="121"/>
      <c r="M2" s="121"/>
      <c r="N2" s="121"/>
      <c r="O2" s="121"/>
      <c r="P2" s="121"/>
      <c r="Q2" s="121"/>
      <c r="R2" s="121"/>
      <c r="S2" s="121"/>
      <c r="T2" s="121"/>
      <c r="U2" s="121"/>
      <c r="V2" s="121"/>
      <c r="W2" s="121"/>
      <c r="X2" s="121"/>
      <c r="Y2" s="121"/>
      <c r="Z2" s="121"/>
    </row>
    <row r="3">
      <c r="A3" s="121"/>
      <c r="B3" s="121"/>
      <c r="C3" s="121"/>
      <c r="D3" s="121"/>
      <c r="E3" s="121"/>
      <c r="F3" s="121"/>
      <c r="G3" s="121"/>
      <c r="H3" s="121"/>
      <c r="I3" s="121"/>
      <c r="J3" s="121"/>
      <c r="K3" s="121"/>
      <c r="L3" s="121"/>
      <c r="M3" s="121"/>
      <c r="N3" s="121"/>
      <c r="O3" s="121"/>
      <c r="P3" s="121"/>
      <c r="Q3" s="121"/>
      <c r="R3" s="121"/>
      <c r="S3" s="121"/>
      <c r="T3" s="121"/>
      <c r="U3" s="121"/>
      <c r="V3" s="121"/>
      <c r="W3" s="121"/>
      <c r="X3" s="121"/>
      <c r="Y3" s="121"/>
      <c r="Z3" s="121"/>
    </row>
    <row r="4">
      <c r="A4" s="35" t="s">
        <v>308</v>
      </c>
      <c r="B4" s="121"/>
      <c r="C4" s="121"/>
      <c r="D4" s="121"/>
      <c r="E4" s="121"/>
      <c r="F4" s="121"/>
      <c r="G4" s="121"/>
      <c r="H4" s="121"/>
      <c r="I4" s="121"/>
      <c r="J4" s="121"/>
      <c r="K4" s="121"/>
      <c r="L4" s="121"/>
      <c r="M4" s="121"/>
      <c r="N4" s="121"/>
      <c r="O4" s="121"/>
      <c r="P4" s="121"/>
      <c r="Q4" s="121"/>
      <c r="R4" s="121"/>
      <c r="S4" s="121"/>
      <c r="T4" s="121"/>
      <c r="U4" s="121"/>
      <c r="V4" s="121"/>
      <c r="W4" s="121"/>
      <c r="X4" s="121"/>
      <c r="Y4" s="121"/>
      <c r="Z4" s="121"/>
    </row>
    <row r="5">
      <c r="A5" s="35" t="s">
        <v>309</v>
      </c>
      <c r="B5" s="121"/>
      <c r="C5" s="121"/>
      <c r="D5" s="121"/>
      <c r="E5" s="121"/>
      <c r="F5" s="121"/>
      <c r="G5" s="121"/>
      <c r="H5" s="121"/>
      <c r="I5" s="121"/>
      <c r="J5" s="121"/>
      <c r="K5" s="121"/>
      <c r="L5" s="121"/>
      <c r="M5" s="121"/>
      <c r="N5" s="121"/>
      <c r="O5" s="121"/>
      <c r="P5" s="121"/>
      <c r="Q5" s="121"/>
      <c r="R5" s="121"/>
      <c r="S5" s="121"/>
      <c r="T5" s="121"/>
      <c r="U5" s="121"/>
      <c r="V5" s="121"/>
      <c r="W5" s="121"/>
      <c r="X5" s="121"/>
      <c r="Y5" s="121"/>
      <c r="Z5" s="121"/>
    </row>
    <row r="6">
      <c r="A6" s="35" t="s">
        <v>310</v>
      </c>
      <c r="B6" s="121"/>
      <c r="C6" s="121"/>
      <c r="D6" s="121"/>
      <c r="E6" s="121"/>
      <c r="F6" s="121"/>
      <c r="G6" s="121"/>
      <c r="H6" s="121"/>
      <c r="I6" s="121"/>
      <c r="J6" s="121"/>
      <c r="K6" s="121"/>
      <c r="L6" s="121"/>
      <c r="M6" s="121"/>
      <c r="N6" s="121"/>
      <c r="O6" s="121"/>
      <c r="P6" s="121"/>
      <c r="Q6" s="121"/>
      <c r="R6" s="121"/>
      <c r="S6" s="121"/>
      <c r="T6" s="121"/>
      <c r="U6" s="121"/>
      <c r="V6" s="121"/>
      <c r="W6" s="121"/>
      <c r="X6" s="121"/>
      <c r="Y6" s="121"/>
      <c r="Z6" s="121"/>
    </row>
    <row r="7">
      <c r="A7" s="122" t="s">
        <v>311</v>
      </c>
      <c r="B7" s="121"/>
      <c r="C7" s="121"/>
      <c r="D7" s="121"/>
      <c r="E7" s="121"/>
      <c r="F7" s="121"/>
      <c r="G7" s="121"/>
      <c r="H7" s="121"/>
      <c r="I7" s="121"/>
      <c r="J7" s="121"/>
      <c r="K7" s="121"/>
      <c r="L7" s="121"/>
      <c r="M7" s="121"/>
      <c r="N7" s="121"/>
      <c r="O7" s="121"/>
      <c r="P7" s="121"/>
      <c r="Q7" s="121"/>
      <c r="R7" s="121"/>
      <c r="S7" s="121"/>
      <c r="T7" s="121"/>
      <c r="U7" s="121"/>
      <c r="V7" s="121"/>
      <c r="W7" s="121"/>
      <c r="X7" s="121"/>
      <c r="Y7" s="121"/>
      <c r="Z7" s="121"/>
    </row>
    <row r="8">
      <c r="A8" s="121"/>
      <c r="B8" s="121"/>
      <c r="C8" s="121"/>
      <c r="D8" s="121"/>
      <c r="E8" s="121"/>
      <c r="F8" s="121"/>
      <c r="G8" s="121"/>
      <c r="H8" s="121"/>
      <c r="I8" s="121"/>
      <c r="J8" s="121"/>
      <c r="K8" s="121"/>
      <c r="L8" s="121"/>
      <c r="M8" s="121"/>
      <c r="N8" s="121"/>
      <c r="O8" s="121"/>
      <c r="P8" s="121"/>
      <c r="Q8" s="121"/>
      <c r="R8" s="121"/>
      <c r="S8" s="121"/>
      <c r="T8" s="121"/>
      <c r="U8" s="121"/>
      <c r="V8" s="121"/>
      <c r="W8" s="121"/>
      <c r="X8" s="121"/>
      <c r="Y8" s="121"/>
      <c r="Z8" s="121"/>
    </row>
    <row r="9">
      <c r="A9" s="35" t="s">
        <v>312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row>
    <row r="10">
      <c r="A10" s="121"/>
      <c r="B10" s="121"/>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row>
    <row r="11">
      <c r="E11" s="121"/>
      <c r="F11" s="121"/>
      <c r="G11" s="121"/>
      <c r="H11" s="121"/>
      <c r="I11" s="121"/>
      <c r="J11" s="121"/>
      <c r="K11" s="121"/>
      <c r="L11" s="121"/>
      <c r="M11" s="121"/>
      <c r="N11" s="121"/>
      <c r="O11" s="121"/>
      <c r="P11" s="121"/>
      <c r="Q11" s="121"/>
      <c r="R11" s="121"/>
      <c r="S11" s="121"/>
      <c r="T11" s="121"/>
      <c r="U11" s="121"/>
      <c r="V11" s="121"/>
      <c r="W11" s="121"/>
      <c r="X11" s="121"/>
      <c r="Y11" s="121"/>
      <c r="Z11" s="121"/>
    </row>
    <row r="12">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row>
    <row r="13">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row>
    <row r="14">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row>
    <row r="15">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row>
    <row r="16">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row>
    <row r="17">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row>
    <row r="18">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row>
    <row r="19">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row>
    <row r="20">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row>
    <row r="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row>
    <row r="22">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row>
    <row r="23">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row>
    <row r="24">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row>
    <row r="25">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row>
    <row r="27">
      <c r="A27" s="35" t="s">
        <v>313</v>
      </c>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row>
    <row r="33">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row>
    <row r="52">
      <c r="A52" s="35" t="s">
        <v>314</v>
      </c>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 customWidth="1" min="2" max="2" width="63.5"/>
  </cols>
  <sheetData>
    <row r="1">
      <c r="A1" s="123" t="s">
        <v>315</v>
      </c>
      <c r="B1" s="124"/>
    </row>
    <row r="2">
      <c r="A2" s="125" t="s">
        <v>316</v>
      </c>
      <c r="B2" s="125" t="s">
        <v>317</v>
      </c>
    </row>
    <row r="3">
      <c r="A3" s="126" t="s">
        <v>318</v>
      </c>
      <c r="B3" s="127" t="s">
        <v>319</v>
      </c>
    </row>
    <row r="4">
      <c r="A4" s="126" t="s">
        <v>320</v>
      </c>
      <c r="B4" s="127" t="s">
        <v>321</v>
      </c>
    </row>
    <row r="5">
      <c r="A5" s="128" t="s">
        <v>322</v>
      </c>
      <c r="B5" s="129" t="s">
        <v>323</v>
      </c>
    </row>
    <row r="6">
      <c r="A6" s="126" t="s">
        <v>324</v>
      </c>
      <c r="B6" s="127" t="s">
        <v>325</v>
      </c>
    </row>
    <row r="7">
      <c r="A7" s="126" t="s">
        <v>326</v>
      </c>
      <c r="B7" s="130"/>
    </row>
    <row r="8">
      <c r="A8" s="126" t="s">
        <v>325</v>
      </c>
    </row>
    <row r="9">
      <c r="A9" s="131" t="s">
        <v>327</v>
      </c>
      <c r="B9" s="1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0"/>
  </cols>
  <sheetData>
    <row r="1">
      <c r="A1" s="121"/>
    </row>
    <row r="2">
      <c r="A2" s="35" t="s">
        <v>328</v>
      </c>
    </row>
    <row r="3">
      <c r="A3" s="121"/>
    </row>
    <row r="4">
      <c r="A4" s="132" t="s">
        <v>329</v>
      </c>
    </row>
    <row r="5">
      <c r="A5" s="132" t="s">
        <v>330</v>
      </c>
    </row>
    <row r="6">
      <c r="A6" s="121"/>
    </row>
    <row r="7">
      <c r="A7" s="121"/>
    </row>
    <row r="8">
      <c r="A8" s="133" t="s">
        <v>331</v>
      </c>
    </row>
    <row r="9">
      <c r="A9" s="134" t="s">
        <v>332</v>
      </c>
    </row>
    <row r="10">
      <c r="A10" s="134" t="s">
        <v>333</v>
      </c>
    </row>
    <row r="11">
      <c r="A11" s="134" t="s">
        <v>334</v>
      </c>
    </row>
    <row r="12">
      <c r="A12" s="121"/>
    </row>
    <row r="13">
      <c r="A13" s="121"/>
    </row>
    <row r="14">
      <c r="A14" s="121"/>
    </row>
    <row r="15">
      <c r="A15" s="121"/>
    </row>
    <row r="16">
      <c r="A16" s="121"/>
    </row>
    <row r="17">
      <c r="A17" s="121"/>
    </row>
    <row r="18">
      <c r="A18" s="121"/>
    </row>
    <row r="19">
      <c r="A19" s="121"/>
    </row>
    <row r="20">
      <c r="A20" s="121"/>
    </row>
    <row r="21">
      <c r="A21" s="121"/>
    </row>
    <row r="22">
      <c r="A22" s="121"/>
    </row>
    <row r="23">
      <c r="A23" s="134" t="s">
        <v>335</v>
      </c>
    </row>
  </sheetData>
  <drawing r:id="rId1"/>
</worksheet>
</file>