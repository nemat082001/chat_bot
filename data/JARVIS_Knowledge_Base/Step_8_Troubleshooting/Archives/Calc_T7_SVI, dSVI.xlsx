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c. Curves" sheetId="1" r:id="rId4"/>
  </sheets>
  <definedNames/>
  <calcPr/>
</workbook>
</file>

<file path=xl/sharedStrings.xml><?xml version="1.0" encoding="utf-8"?>
<sst xmlns="http://schemas.openxmlformats.org/spreadsheetml/2006/main" count="20" uniqueCount="20">
  <si>
    <t>SVI, dSVI</t>
  </si>
  <si>
    <r>
      <rPr>
        <rFont val="Arial"/>
        <b/>
        <color theme="1"/>
        <u/>
      </rPr>
      <t xml:space="preserve">Graph of Settled Sludge Conc. (mg/L) vs Time (mins)
</t>
    </r>
    <r>
      <rPr>
        <rFont val="Arial"/>
        <color theme="1"/>
      </rPr>
      <t>This is what your graph would look like, depending on how fast your sludge settles.</t>
    </r>
  </si>
  <si>
    <t>where,</t>
  </si>
  <si>
    <t>SSC = Settled Sludge Concentration (mg/L)</t>
  </si>
  <si>
    <t>MLSS = Mixed Liquor Suspended Solids (mg/L)</t>
  </si>
  <si>
    <t>Vol(s) = Volume of Settleometer (L)</t>
  </si>
  <si>
    <t>SSV = Settled Sludge Volume (mL) -
This is the sludge volume measured after sufficient settling time in the settleometer</t>
  </si>
  <si>
    <t>INPUTS - Enter values for the following where missing :</t>
  </si>
  <si>
    <t>Influent Flow to Aeration Basin (Qi)</t>
  </si>
  <si>
    <t>MGD (million gallons per day)</t>
  </si>
  <si>
    <t>Mixed Liquor Suspended Solids (MLSS)</t>
  </si>
  <si>
    <t>mg/L (milligrams per Liter)</t>
  </si>
  <si>
    <t>Volume of Settleometer (Vol(s))</t>
  </si>
  <si>
    <t>L (Liters)</t>
  </si>
  <si>
    <t>Now, only enter the SSV values in the table below after each of the settling time durations. 
The SSC values will be computed automatically.</t>
  </si>
  <si>
    <t>Your Settled Sludge Concentration Curve below:</t>
  </si>
  <si>
    <t>Settling Time Duration (mins)</t>
  </si>
  <si>
    <t>SSV (mL)</t>
  </si>
  <si>
    <t>SSC (mg/L)</t>
  </si>
  <si>
    <t>Comments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</si>
</sst>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rgb="FFEA4335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/>
    <font>
      <color rgb="FFEA4335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</fills>
  <borders count="6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EA4335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1" fillId="0" fontId="4" numFmtId="0" xfId="0" applyBorder="1" applyFont="1"/>
    <xf borderId="0" fillId="2" fontId="2" numFmtId="0" xfId="0" applyAlignment="1" applyFill="1" applyFont="1">
      <alignment readingOrder="0" vertical="center"/>
    </xf>
    <xf borderId="1" fillId="0" fontId="2" numFmtId="0" xfId="0" applyBorder="1" applyFont="1"/>
    <xf borderId="0" fillId="0" fontId="5" numFmtId="0" xfId="0" applyAlignment="1" applyFont="1">
      <alignment readingOrder="0" shrinkToFit="0" vertical="center" wrapText="1"/>
    </xf>
    <xf borderId="2" fillId="3" fontId="6" numFmtId="0" xfId="0" applyAlignment="1" applyBorder="1" applyFill="1" applyFont="1">
      <alignment readingOrder="0" vertical="center"/>
    </xf>
    <xf borderId="2" fillId="3" fontId="6" numFmtId="3" xfId="0" applyAlignment="1" applyBorder="1" applyFont="1" applyNumberFormat="1">
      <alignment horizontal="center" readingOrder="0" vertical="center"/>
    </xf>
    <xf borderId="2" fillId="3" fontId="6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horizontal="center" readingOrder="0" vertical="center"/>
    </xf>
    <xf borderId="3" fillId="2" fontId="2" numFmtId="3" xfId="0" applyAlignment="1" applyBorder="1" applyFont="1" applyNumberFormat="1">
      <alignment horizontal="center" readingOrder="0" vertical="center"/>
    </xf>
    <xf borderId="3" fillId="4" fontId="2" numFmtId="3" xfId="0" applyAlignment="1" applyBorder="1" applyFill="1" applyFont="1" applyNumberFormat="1">
      <alignment horizontal="center" vertical="center"/>
    </xf>
    <xf borderId="3" fillId="0" fontId="2" numFmtId="0" xfId="0" applyAlignment="1" applyBorder="1" applyFont="1">
      <alignment vertical="center"/>
    </xf>
    <xf borderId="4" fillId="0" fontId="2" numFmtId="0" xfId="0" applyAlignment="1" applyBorder="1" applyFont="1">
      <alignment horizontal="center" readingOrder="0" vertical="center"/>
    </xf>
    <xf borderId="4" fillId="2" fontId="2" numFmtId="3" xfId="0" applyAlignment="1" applyBorder="1" applyFont="1" applyNumberFormat="1">
      <alignment horizontal="center" readingOrder="0" vertical="center"/>
    </xf>
    <xf borderId="4" fillId="4" fontId="2" numFmtId="3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center"/>
    </xf>
    <xf borderId="3" fillId="2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readingOrder="0" shrinkToFit="0" vertical="center" wrapText="1"/>
    </xf>
    <xf borderId="3" fillId="0" fontId="4" numFmtId="0" xfId="0" applyBorder="1" applyFont="1"/>
    <xf borderId="5" fillId="0" fontId="2" numFmtId="0" xfId="0" applyAlignment="1" applyBorder="1" applyFont="1">
      <alignment horizontal="center" readingOrder="0" vertical="center"/>
    </xf>
    <xf borderId="5" fillId="2" fontId="2" numFmtId="0" xfId="0" applyAlignment="1" applyBorder="1" applyFont="1">
      <alignment horizontal="center" vertical="center"/>
    </xf>
    <xf borderId="5" fillId="4" fontId="2" numFmtId="3" xfId="0" applyAlignment="1" applyBorder="1" applyFont="1" applyNumberFormat="1">
      <alignment horizontal="center" vertical="center"/>
    </xf>
    <xf borderId="5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SSC (mg/L) vs. Settling Time Duration (mins)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'Conc. Curves'!$A$16:$A$25</c:f>
            </c:strRef>
          </c:cat>
          <c:val>
            <c:numRef>
              <c:f>'Conc. Curves'!$C$16:$C$25</c:f>
              <c:numCache/>
            </c:numRef>
          </c:val>
          <c:smooth val="0"/>
        </c:ser>
        <c:axId val="1827329376"/>
        <c:axId val="758257049"/>
      </c:lineChart>
      <c:catAx>
        <c:axId val="18273293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Settling Time Duration (mins)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8257049"/>
      </c:catAx>
      <c:valAx>
        <c:axId val="7582570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SSC (mg/L)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73293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247650</xdr:colOff>
      <xdr:row>14</xdr:row>
      <xdr:rowOff>180975</xdr:rowOff>
    </xdr:from>
    <xdr:ext cx="4143375" cy="25717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1</xdr:row>
      <xdr:rowOff>0</xdr:rowOff>
    </xdr:from>
    <xdr:ext cx="2047875" cy="5238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333375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75"/>
    <col customWidth="1" min="2" max="2" width="23.88"/>
    <col customWidth="1" min="3" max="4" width="22.38"/>
    <col customWidth="1" min="5" max="5" width="3.5"/>
    <col customWidth="1" min="8" max="8" width="15.5"/>
    <col customWidth="1" min="9" max="9" width="13.63"/>
  </cols>
  <sheetData>
    <row r="1">
      <c r="A1" s="1" t="s">
        <v>0</v>
      </c>
    </row>
    <row r="2" ht="41.25" customHeight="1">
      <c r="A2" s="2"/>
      <c r="B2" s="2"/>
      <c r="C2" s="2"/>
      <c r="D2" s="3"/>
      <c r="E2" s="2"/>
      <c r="F2" s="4" t="s">
        <v>1</v>
      </c>
    </row>
    <row r="3">
      <c r="A3" s="5" t="s">
        <v>2</v>
      </c>
      <c r="B3" s="2"/>
      <c r="C3" s="2"/>
      <c r="D3" s="3"/>
      <c r="E3" s="2"/>
      <c r="F3" s="2"/>
    </row>
    <row r="4">
      <c r="A4" s="5" t="s">
        <v>3</v>
      </c>
      <c r="B4" s="2"/>
      <c r="C4" s="2"/>
      <c r="D4" s="3"/>
      <c r="E4" s="2"/>
    </row>
    <row r="5">
      <c r="A5" s="5" t="s">
        <v>4</v>
      </c>
      <c r="B5" s="2"/>
      <c r="C5" s="2"/>
      <c r="D5" s="3"/>
      <c r="E5" s="2"/>
    </row>
    <row r="6">
      <c r="A6" s="5" t="s">
        <v>5</v>
      </c>
      <c r="B6" s="2"/>
      <c r="C6" s="2"/>
      <c r="D6" s="3"/>
      <c r="E6" s="2"/>
    </row>
    <row r="7">
      <c r="A7" s="5" t="s">
        <v>6</v>
      </c>
      <c r="B7" s="2"/>
      <c r="C7" s="2"/>
      <c r="D7" s="3"/>
      <c r="E7" s="2"/>
    </row>
    <row r="8">
      <c r="A8" s="2"/>
      <c r="B8" s="2"/>
      <c r="C8" s="2"/>
      <c r="D8" s="3"/>
      <c r="E8" s="2"/>
    </row>
    <row r="9">
      <c r="A9" s="6" t="s">
        <v>7</v>
      </c>
      <c r="D9" s="7"/>
      <c r="E9" s="2"/>
    </row>
    <row r="10">
      <c r="A10" s="5" t="s">
        <v>8</v>
      </c>
      <c r="B10" s="8">
        <v>0.5</v>
      </c>
      <c r="C10" s="5" t="s">
        <v>9</v>
      </c>
      <c r="D10" s="9"/>
      <c r="E10" s="2"/>
    </row>
    <row r="11">
      <c r="A11" s="5" t="s">
        <v>10</v>
      </c>
      <c r="B11" s="8">
        <v>2500.0</v>
      </c>
      <c r="C11" s="5" t="s">
        <v>11</v>
      </c>
      <c r="D11" s="9"/>
      <c r="E11" s="2"/>
    </row>
    <row r="12">
      <c r="A12" s="5" t="s">
        <v>12</v>
      </c>
      <c r="B12" s="8">
        <v>2.0</v>
      </c>
      <c r="C12" s="5" t="s">
        <v>13</v>
      </c>
      <c r="D12" s="9"/>
      <c r="E12" s="2"/>
    </row>
    <row r="13">
      <c r="A13" s="2"/>
      <c r="B13" s="2"/>
      <c r="C13" s="2"/>
      <c r="D13" s="3"/>
      <c r="E13" s="2"/>
      <c r="F13" s="2"/>
      <c r="G13" s="2"/>
      <c r="H13" s="2"/>
      <c r="I13" s="2"/>
    </row>
    <row r="14">
      <c r="A14" s="10" t="s">
        <v>14</v>
      </c>
      <c r="D14" s="7"/>
      <c r="E14" s="2"/>
      <c r="F14" s="10" t="s">
        <v>15</v>
      </c>
    </row>
    <row r="15">
      <c r="A15" s="11" t="s">
        <v>16</v>
      </c>
      <c r="B15" s="12" t="s">
        <v>17</v>
      </c>
      <c r="C15" s="13" t="s">
        <v>18</v>
      </c>
      <c r="D15" s="11" t="s">
        <v>19</v>
      </c>
      <c r="E15" s="2"/>
      <c r="F15" s="2"/>
    </row>
    <row r="16">
      <c r="A16" s="14">
        <v>0.0</v>
      </c>
      <c r="B16" s="15">
        <v>2000.0</v>
      </c>
      <c r="C16" s="16">
        <f t="shared" ref="C16:C25" si="1">IF(B16="","",ROUND(B$11*B$12*1000/B16,0))</f>
        <v>2500</v>
      </c>
      <c r="D16" s="17"/>
      <c r="E16" s="2"/>
    </row>
    <row r="17">
      <c r="A17" s="14">
        <v>5.0</v>
      </c>
      <c r="B17" s="15">
        <v>1200.0</v>
      </c>
      <c r="C17" s="16">
        <f t="shared" si="1"/>
        <v>4167</v>
      </c>
      <c r="D17" s="17"/>
      <c r="E17" s="2"/>
    </row>
    <row r="18">
      <c r="A18" s="14">
        <v>10.0</v>
      </c>
      <c r="B18" s="15">
        <v>900.0</v>
      </c>
      <c r="C18" s="16">
        <f t="shared" si="1"/>
        <v>5556</v>
      </c>
      <c r="D18" s="17"/>
      <c r="E18" s="2"/>
    </row>
    <row r="19">
      <c r="A19" s="14">
        <v>15.0</v>
      </c>
      <c r="B19" s="15">
        <v>700.0</v>
      </c>
      <c r="C19" s="16">
        <f t="shared" si="1"/>
        <v>7143</v>
      </c>
      <c r="D19" s="17"/>
      <c r="E19" s="2"/>
    </row>
    <row r="20">
      <c r="A20" s="14">
        <v>20.0</v>
      </c>
      <c r="B20" s="15">
        <v>550.0</v>
      </c>
      <c r="C20" s="16">
        <f t="shared" si="1"/>
        <v>9091</v>
      </c>
      <c r="D20" s="17"/>
      <c r="E20" s="2"/>
    </row>
    <row r="21">
      <c r="A21" s="14">
        <v>25.0</v>
      </c>
      <c r="B21" s="15">
        <v>400.0</v>
      </c>
      <c r="C21" s="16">
        <f t="shared" si="1"/>
        <v>12500</v>
      </c>
      <c r="D21" s="17"/>
      <c r="E21" s="2"/>
    </row>
    <row r="22">
      <c r="A22" s="14">
        <v>30.0</v>
      </c>
      <c r="B22" s="15">
        <v>350.0</v>
      </c>
      <c r="C22" s="16">
        <f t="shared" si="1"/>
        <v>14286</v>
      </c>
      <c r="D22" s="17"/>
      <c r="E22" s="2"/>
    </row>
    <row r="23">
      <c r="A23" s="14">
        <v>40.0</v>
      </c>
      <c r="B23" s="15">
        <v>325.0</v>
      </c>
      <c r="C23" s="16">
        <f t="shared" si="1"/>
        <v>15385</v>
      </c>
      <c r="D23" s="17"/>
      <c r="E23" s="2"/>
    </row>
    <row r="24">
      <c r="A24" s="14">
        <v>50.0</v>
      </c>
      <c r="B24" s="15">
        <v>315.0</v>
      </c>
      <c r="C24" s="16">
        <f t="shared" si="1"/>
        <v>15873</v>
      </c>
      <c r="D24" s="17"/>
      <c r="E24" s="2"/>
    </row>
    <row r="25">
      <c r="A25" s="18">
        <v>60.0</v>
      </c>
      <c r="B25" s="19">
        <v>310.0</v>
      </c>
      <c r="C25" s="20">
        <f t="shared" si="1"/>
        <v>16129</v>
      </c>
      <c r="D25" s="21"/>
      <c r="E25" s="2"/>
    </row>
    <row r="26">
      <c r="A26" s="14">
        <v>90.0</v>
      </c>
      <c r="B26" s="22"/>
      <c r="C26" s="16"/>
      <c r="D26" s="23"/>
      <c r="E26" s="2"/>
    </row>
    <row r="27">
      <c r="A27" s="14">
        <v>120.0</v>
      </c>
      <c r="B27" s="22"/>
      <c r="C27" s="16"/>
      <c r="D27" s="24"/>
      <c r="E27" s="2"/>
    </row>
    <row r="28">
      <c r="A28" s="14">
        <v>150.0</v>
      </c>
      <c r="B28" s="22"/>
      <c r="C28" s="16"/>
      <c r="D28" s="24"/>
      <c r="E28" s="2"/>
    </row>
    <row r="29">
      <c r="A29" s="14">
        <v>180.0</v>
      </c>
      <c r="B29" s="22"/>
      <c r="C29" s="16"/>
      <c r="D29" s="24"/>
      <c r="E29" s="2"/>
    </row>
    <row r="30">
      <c r="A30" s="25">
        <v>240.0</v>
      </c>
      <c r="B30" s="26"/>
      <c r="C30" s="27"/>
      <c r="D30" s="28"/>
      <c r="E30" s="2"/>
    </row>
  </sheetData>
  <mergeCells count="8">
    <mergeCell ref="A1:I1"/>
    <mergeCell ref="F2:I2"/>
    <mergeCell ref="F3:I12"/>
    <mergeCell ref="A9:D9"/>
    <mergeCell ref="A14:D14"/>
    <mergeCell ref="F14:I14"/>
    <mergeCell ref="F15:I30"/>
    <mergeCell ref="D26:D30"/>
  </mergeCells>
  <drawing r:id="rId1"/>
</worksheet>
</file>