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ptFAQs" sheetId="1" r:id="rId4"/>
    <sheet state="visible" name="Lab Procedure" sheetId="2" r:id="rId5"/>
    <sheet state="visible" name="Calculator" sheetId="3" r:id="rId6"/>
  </sheets>
  <definedNames/>
  <calcPr/>
</workbook>
</file>

<file path=xl/sharedStrings.xml><?xml version="1.0" encoding="utf-8"?>
<sst xmlns="http://schemas.openxmlformats.org/spreadsheetml/2006/main" count="107" uniqueCount="103">
  <si>
    <t>ABOUT Sludge Volume Index (SVI)</t>
  </si>
  <si>
    <t>Sludge Volume Index (SVI)</t>
  </si>
  <si>
    <t>The Sludge Volume Index indicates the relative settleability of the sludge. The SVI is defined as the</t>
  </si>
  <si>
    <t>Volume, in milliliters, occupied by gram of sludge</t>
  </si>
  <si>
    <t>The SVI is a relative number, but it is useful as index for a given facility. Many factors affect the</t>
  </si>
  <si>
    <t>“accuracy” of the SVI test. You should not compare plants with it because a “good” range for one</t>
  </si>
  <si>
    <t>facility may be very poor for another facility: “Good” SVI readings can be 80 - 300+, depending on</t>
  </si>
  <si>
    <t>plant (clarifiers).</t>
  </si>
  <si>
    <t>Diluted Settleability</t>
  </si>
  <si>
    <t>Diluted settleability can be used to differentiate between filamentous or slime bulking and a “glutted”</t>
  </si>
  <si>
    <t>(too many solids) condition</t>
  </si>
  <si>
    <t>The MLSS consideration in the SVI calculation for this, includes 50% Aeration Tank MLSS, 50% Secondary Clarifier effluent</t>
  </si>
  <si>
    <t>Make a dilution of 50% MLSS, 50% unchlorinated clarifier effluent and fill a 2-liter Settleometer</t>
  </si>
  <si>
    <t>with some of the diluted sample. Fill another 2-liter Settleometer with 100% mixed liquor.</t>
  </si>
  <si>
    <t>If the diluted sample settles significantly better than full sample there are too many solids in system.</t>
  </si>
  <si>
    <t>If the settleability of the diluted sample is about the same as the settleability of the undiluted sample,</t>
  </si>
  <si>
    <t>filamentous or slime bulking is probably occurring.</t>
  </si>
  <si>
    <r>
      <rPr>
        <rFont val="Arial"/>
        <b/>
        <color rgb="FF000000"/>
      </rPr>
      <t>SOURCE :</t>
    </r>
    <r>
      <rPr>
        <rFont val="Arial"/>
        <color rgb="FF000000"/>
      </rPr>
      <t xml:space="preserve"> State of Maine Department of Environmental Protection, "Notes on Activated Sludge Process Control"</t>
    </r>
  </si>
  <si>
    <t>LAB PROCEDURE</t>
  </si>
  <si>
    <t>TEST DATA</t>
  </si>
  <si>
    <t>Equipment required</t>
  </si>
  <si>
    <t>Time (min)</t>
  </si>
  <si>
    <t>SSV (mL/L)</t>
  </si>
  <si>
    <t>SSC (mg/L)</t>
  </si>
  <si>
    <t>Comments / Instructive Guide</t>
  </si>
  <si>
    <t>Observations</t>
  </si>
  <si>
    <t>A 2-liter Mallory Settleometer with a wide, plastic stirrer</t>
  </si>
  <si>
    <t>(a) During the first 5 – 10 minutes:</t>
  </si>
  <si>
    <t>A laboratory clock</t>
  </si>
  <si>
    <t>(i) How does the floc look?</t>
  </si>
  <si>
    <t>A pipette with a suction bulb</t>
  </si>
  <si>
    <t>Fill in (a)</t>
  </si>
  <si>
    <t>___Granular ___Compact</t>
  </si>
  <si>
    <t>___Fluffy ___Feathery</t>
  </si>
  <si>
    <t>Procedure</t>
  </si>
  <si>
    <t>(ii) What is the size of the agglomerating</t>
  </si>
  <si>
    <t>1. Collect the sample near aeration tank effluent weirs.</t>
  </si>
  <si>
    <t>floc?</t>
  </si>
  <si>
    <t>2. Collect a sample from each aeration tank.</t>
  </si>
  <si>
    <t>Fill in (b)</t>
  </si>
  <si>
    <t>___ Large ___Small</t>
  </si>
  <si>
    <t>3. Run settling tests immediately after collecting the sample</t>
  </si>
  <si>
    <t>(iii) How are the sludge particles</t>
  </si>
  <si>
    <t>4. Pour fresh well-mixed sample to the line at the top of the settleometer</t>
  </si>
  <si>
    <t>settling?</t>
  </si>
  <si>
    <t>5. Gently mix with wide paddle and stop current</t>
  </si>
  <si>
    <t>___ As a Blanket</t>
  </si>
  <si>
    <t>6. Start timer for 5 minutes</t>
  </si>
  <si>
    <t>SSV &amp; SSC reading &amp; calculations for a time duration of 90 mins or more, are only required when the sludge settles slowly.</t>
  </si>
  <si>
    <t>___ As individual Particles</t>
  </si>
  <si>
    <t>Caution</t>
  </si>
  <si>
    <t>(iv) How does the supernatant look?</t>
  </si>
  <si>
    <t>– The first 5 minutes are critical</t>
  </si>
  <si>
    <t>___Clear ___Cloudy</t>
  </si>
  <si>
    <t>– Observe the floc characteristics, channeling</t>
  </si>
  <si>
    <t>(v) Is there straggler floc in the</t>
  </si>
  <si>
    <t>– Observe the supernatant quality</t>
  </si>
  <si>
    <t>supernatant?</t>
  </si>
  <si>
    <t>– Record your observations in log or settling test bench sheet</t>
  </si>
  <si>
    <t>___ Yes ___ No</t>
  </si>
  <si>
    <t>– Continue with readings every 5 minutes for the first 30 minutes, then every 10 minutes until 60.</t>
  </si>
  <si>
    <t>If Yes, how much</t>
  </si>
  <si>
    <t>• Read again in 2 hours</t>
  </si>
  <si>
    <t>___ Lots ___ Not much</t>
  </si>
  <si>
    <t>– further compaction?</t>
  </si>
  <si>
    <t>– floating sludge?</t>
  </si>
  <si>
    <t>(b) At the end of 30 minutes:</t>
  </si>
  <si>
    <t>• Leave on bench and check after 4 hours</t>
  </si>
  <si>
    <t>How does the sludge blanket look?</t>
  </si>
  <si>
    <t>– Do you observe floating sludge?</t>
  </si>
  <si>
    <t>___Crisp ___Homogenous</t>
  </si>
  <si>
    <t>– Rise in 0.5-1.0 hour indicates significant nitrification/denitrification</t>
  </si>
  <si>
    <t>___Fluffy ___Like a sponge</t>
  </si>
  <si>
    <t>– No rise in four hours means little nitrification/denitrification</t>
  </si>
  <si>
    <t>(c) Rise Time ____Hr ____Min</t>
  </si>
  <si>
    <t>7. Record results in log or on bench sheet</t>
  </si>
  <si>
    <t>• Graph readings, settled sludge volume, ssv in ml, versus time, in minutes</t>
  </si>
  <si>
    <t>• Locate “knee of curve” to determine the theoretical optimum settling time</t>
  </si>
  <si>
    <r>
      <rPr>
        <rFont val="Arial"/>
        <b/>
        <color rgb="FF000000"/>
      </rPr>
      <t>SOURCE :</t>
    </r>
    <r>
      <rPr>
        <rFont val="Arial"/>
        <color rgb="FF000000"/>
      </rPr>
      <t xml:space="preserve"> State of Maine Department of Environmental Protection, "Notes on Activated Sludge Process Control"</t>
    </r>
  </si>
  <si>
    <t>FORMULA</t>
  </si>
  <si>
    <t>CALCULATION TOOL</t>
  </si>
  <si>
    <t>SSC = MLSS x 1000 / SSV</t>
  </si>
  <si>
    <t>INPUT :</t>
  </si>
  <si>
    <t>SVI = SSV x 1000 / MLSS (in mg/L)</t>
  </si>
  <si>
    <t>Volume of settleometer</t>
  </si>
  <si>
    <t>L</t>
  </si>
  <si>
    <t>Time of settling</t>
  </si>
  <si>
    <t>mins</t>
  </si>
  <si>
    <t>SSV : Settled Sludge Volume</t>
  </si>
  <si>
    <t>Volume of settled sludge</t>
  </si>
  <si>
    <t>mL</t>
  </si>
  <si>
    <t>SSC : Settled Sludge Concentration</t>
  </si>
  <si>
    <t>MLSS conc.</t>
  </si>
  <si>
    <t>mg/L</t>
  </si>
  <si>
    <t>MLSS : Mixed Liquor Suspended Solids</t>
  </si>
  <si>
    <t>Clarifier effluent TSS conc. (for diluted SVI)</t>
  </si>
  <si>
    <t>OUTPUT :</t>
  </si>
  <si>
    <t>mL/L</t>
  </si>
  <si>
    <t>SVI</t>
  </si>
  <si>
    <t>mL/g</t>
  </si>
  <si>
    <t>DIluted SVI</t>
  </si>
  <si>
    <t>SSC</t>
  </si>
  <si>
    <t>Diluted SSC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</si>
</sst>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9.0"/>
      <color rgb="FF000000"/>
      <name val="Arial"/>
    </font>
    <font>
      <sz val="9.0"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1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2" fontId="1" numFmtId="0" xfId="0" applyAlignment="1" applyBorder="1" applyFont="1">
      <alignment readingOrder="0"/>
    </xf>
    <xf borderId="0" fillId="2" fontId="4" numFmtId="0" xfId="0" applyFont="1"/>
    <xf borderId="1" fillId="0" fontId="2" numFmtId="0" xfId="0" applyAlignment="1" applyBorder="1" applyFont="1">
      <alignment readingOrder="0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3" fillId="0" fontId="6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4" fillId="0" fontId="7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1" fillId="0" fontId="3" numFmtId="0" xfId="0" applyBorder="1" applyFont="1"/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shrinkToFit="0" vertical="center" wrapText="1"/>
    </xf>
    <xf borderId="1" fillId="0" fontId="9" numFmtId="0" xfId="0" applyBorder="1" applyFont="1"/>
    <xf borderId="5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7" fillId="0" fontId="9" numFmtId="0" xfId="0" applyBorder="1" applyFont="1"/>
    <xf borderId="2" fillId="0" fontId="8" numFmtId="0" xfId="0" applyAlignment="1" applyBorder="1" applyFont="1">
      <alignment readingOrder="0"/>
    </xf>
    <xf borderId="4" fillId="0" fontId="8" numFmtId="0" xfId="0" applyBorder="1" applyFont="1"/>
    <xf borderId="8" fillId="0" fontId="8" numFmtId="0" xfId="0" applyAlignment="1" applyBorder="1" applyFont="1">
      <alignment readingOrder="0"/>
    </xf>
    <xf borderId="0" fillId="0" fontId="8" numFmtId="0" xfId="0" applyFont="1"/>
    <xf borderId="1" fillId="0" fontId="4" numFmtId="0" xfId="0" applyBorder="1" applyFont="1"/>
    <xf borderId="0" fillId="0" fontId="6" numFmtId="3" xfId="0" applyAlignment="1" applyFont="1" applyNumberFormat="1">
      <alignment vertical="bottom"/>
    </xf>
    <xf borderId="0" fillId="0" fontId="6" numFmtId="164" xfId="0" applyAlignment="1" applyFont="1" applyNumberFormat="1">
      <alignment vertical="bottom"/>
    </xf>
    <xf borderId="2" fillId="0" fontId="6" numFmtId="0" xfId="0" applyAlignment="1" applyBorder="1" applyFont="1">
      <alignment vertical="bottom"/>
    </xf>
    <xf borderId="9" fillId="0" fontId="6" numFmtId="3" xfId="0" applyAlignment="1" applyBorder="1" applyFont="1" applyNumberFormat="1">
      <alignment vertical="bottom"/>
    </xf>
    <xf borderId="10" fillId="0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17</xdr:row>
      <xdr:rowOff>47625</xdr:rowOff>
    </xdr:from>
    <xdr:ext cx="4695825" cy="2781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9.2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4"/>
    </row>
    <row r="10">
      <c r="A10" s="2" t="s">
        <v>8</v>
      </c>
    </row>
    <row r="11">
      <c r="A11" s="3" t="s">
        <v>9</v>
      </c>
    </row>
    <row r="12">
      <c r="A12" s="3" t="s">
        <v>10</v>
      </c>
    </row>
    <row r="13">
      <c r="A13" s="3" t="s">
        <v>11</v>
      </c>
    </row>
    <row r="14">
      <c r="A14" s="3" t="s">
        <v>12</v>
      </c>
    </row>
    <row r="15">
      <c r="A15" s="3" t="s">
        <v>13</v>
      </c>
    </row>
    <row r="16">
      <c r="A16" s="3" t="s">
        <v>14</v>
      </c>
    </row>
    <row r="17">
      <c r="A17" s="3" t="s">
        <v>15</v>
      </c>
    </row>
    <row r="18">
      <c r="A18" s="3" t="s">
        <v>16</v>
      </c>
    </row>
    <row r="19">
      <c r="A19" s="4"/>
    </row>
    <row r="20">
      <c r="A20" s="3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88"/>
    <col customWidth="1" min="5" max="5" width="26.38"/>
    <col customWidth="1" min="6" max="6" width="28.25"/>
  </cols>
  <sheetData>
    <row r="1">
      <c r="A1" s="5" t="s">
        <v>18</v>
      </c>
      <c r="B1" s="1" t="s">
        <v>19</v>
      </c>
      <c r="C1" s="6"/>
      <c r="D1" s="6"/>
      <c r="E1" s="6"/>
      <c r="F1" s="6"/>
    </row>
    <row r="2">
      <c r="A2" s="7" t="s">
        <v>20</v>
      </c>
      <c r="B2" s="8" t="s">
        <v>21</v>
      </c>
      <c r="C2" s="9" t="s">
        <v>22</v>
      </c>
      <c r="D2" s="9" t="s">
        <v>23</v>
      </c>
      <c r="E2" s="9" t="s">
        <v>24</v>
      </c>
      <c r="F2" s="9" t="s">
        <v>25</v>
      </c>
    </row>
    <row r="3">
      <c r="A3" s="10" t="s">
        <v>26</v>
      </c>
      <c r="B3" s="11">
        <v>0.0</v>
      </c>
      <c r="C3" s="12"/>
      <c r="D3" s="12"/>
      <c r="E3" s="13"/>
      <c r="F3" s="14" t="s">
        <v>27</v>
      </c>
    </row>
    <row r="4">
      <c r="A4" s="10" t="s">
        <v>28</v>
      </c>
      <c r="B4" s="11">
        <v>5.0</v>
      </c>
      <c r="C4" s="12"/>
      <c r="D4" s="12"/>
      <c r="E4" s="13"/>
      <c r="F4" s="15" t="s">
        <v>29</v>
      </c>
    </row>
    <row r="5">
      <c r="A5" s="10" t="s">
        <v>30</v>
      </c>
      <c r="B5" s="11">
        <v>10.0</v>
      </c>
      <c r="C5" s="12"/>
      <c r="D5" s="12"/>
      <c r="E5" s="13" t="s">
        <v>31</v>
      </c>
      <c r="F5" s="15" t="s">
        <v>32</v>
      </c>
    </row>
    <row r="6">
      <c r="A6" s="16"/>
      <c r="B6" s="11">
        <v>15.0</v>
      </c>
      <c r="C6" s="12"/>
      <c r="D6" s="12"/>
      <c r="E6" s="13"/>
      <c r="F6" s="15" t="s">
        <v>33</v>
      </c>
    </row>
    <row r="7">
      <c r="A7" s="7" t="s">
        <v>34</v>
      </c>
      <c r="B7" s="11">
        <v>20.0</v>
      </c>
      <c r="C7" s="12"/>
      <c r="D7" s="12"/>
      <c r="E7" s="13"/>
      <c r="F7" s="15" t="s">
        <v>35</v>
      </c>
    </row>
    <row r="8">
      <c r="A8" s="10" t="s">
        <v>36</v>
      </c>
      <c r="B8" s="11">
        <v>25.0</v>
      </c>
      <c r="C8" s="12"/>
      <c r="D8" s="12"/>
      <c r="E8" s="13"/>
      <c r="F8" s="15" t="s">
        <v>37</v>
      </c>
    </row>
    <row r="9">
      <c r="A9" s="10" t="s">
        <v>38</v>
      </c>
      <c r="B9" s="11">
        <v>30.0</v>
      </c>
      <c r="C9" s="12"/>
      <c r="D9" s="12"/>
      <c r="E9" s="13" t="s">
        <v>39</v>
      </c>
      <c r="F9" s="15" t="s">
        <v>40</v>
      </c>
    </row>
    <row r="10">
      <c r="A10" s="10" t="s">
        <v>41</v>
      </c>
      <c r="B10" s="11">
        <v>40.0</v>
      </c>
      <c r="C10" s="12"/>
      <c r="D10" s="12"/>
      <c r="E10" s="13"/>
      <c r="F10" s="15" t="s">
        <v>42</v>
      </c>
    </row>
    <row r="11">
      <c r="A11" s="10" t="s">
        <v>43</v>
      </c>
      <c r="B11" s="11">
        <v>50.0</v>
      </c>
      <c r="C11" s="12"/>
      <c r="D11" s="12"/>
      <c r="E11" s="13"/>
      <c r="F11" s="15" t="s">
        <v>44</v>
      </c>
    </row>
    <row r="12">
      <c r="A12" s="10" t="s">
        <v>45</v>
      </c>
      <c r="B12" s="11">
        <v>60.0</v>
      </c>
      <c r="C12" s="12"/>
      <c r="D12" s="12"/>
      <c r="E12" s="13"/>
      <c r="F12" s="15" t="s">
        <v>46</v>
      </c>
    </row>
    <row r="13">
      <c r="A13" s="10" t="s">
        <v>47</v>
      </c>
      <c r="B13" s="11">
        <v>90.0</v>
      </c>
      <c r="C13" s="17"/>
      <c r="D13" s="17"/>
      <c r="E13" s="18" t="s">
        <v>48</v>
      </c>
      <c r="F13" s="15" t="s">
        <v>49</v>
      </c>
    </row>
    <row r="14">
      <c r="A14" s="10" t="s">
        <v>50</v>
      </c>
      <c r="B14" s="11">
        <v>120.0</v>
      </c>
      <c r="C14" s="12"/>
      <c r="D14" s="12"/>
      <c r="E14" s="19"/>
      <c r="F14" s="15" t="s">
        <v>51</v>
      </c>
    </row>
    <row r="15">
      <c r="A15" s="10" t="s">
        <v>52</v>
      </c>
      <c r="B15" s="11">
        <v>150.0</v>
      </c>
      <c r="C15" s="12"/>
      <c r="D15" s="12"/>
      <c r="E15" s="19"/>
      <c r="F15" s="15" t="s">
        <v>53</v>
      </c>
    </row>
    <row r="16">
      <c r="A16" s="10" t="s">
        <v>54</v>
      </c>
      <c r="B16" s="11">
        <v>180.0</v>
      </c>
      <c r="C16" s="12"/>
      <c r="D16" s="12"/>
      <c r="E16" s="19"/>
      <c r="F16" s="15" t="s">
        <v>55</v>
      </c>
    </row>
    <row r="17">
      <c r="A17" s="10" t="s">
        <v>56</v>
      </c>
      <c r="B17" s="20">
        <v>240.0</v>
      </c>
      <c r="C17" s="21"/>
      <c r="D17" s="21"/>
      <c r="E17" s="22"/>
      <c r="F17" s="15" t="s">
        <v>57</v>
      </c>
    </row>
    <row r="18">
      <c r="A18" s="10" t="s">
        <v>58</v>
      </c>
      <c r="F18" s="23" t="s">
        <v>59</v>
      </c>
    </row>
    <row r="19">
      <c r="A19" s="10" t="s">
        <v>60</v>
      </c>
      <c r="F19" s="15" t="s">
        <v>61</v>
      </c>
    </row>
    <row r="20">
      <c r="A20" s="10" t="s">
        <v>62</v>
      </c>
      <c r="F20" s="15" t="s">
        <v>63</v>
      </c>
    </row>
    <row r="21">
      <c r="A21" s="10" t="s">
        <v>64</v>
      </c>
      <c r="F21" s="24"/>
    </row>
    <row r="22">
      <c r="A22" s="10" t="s">
        <v>65</v>
      </c>
      <c r="F22" s="14" t="s">
        <v>66</v>
      </c>
    </row>
    <row r="23">
      <c r="A23" s="10" t="s">
        <v>67</v>
      </c>
      <c r="F23" s="15" t="s">
        <v>68</v>
      </c>
    </row>
    <row r="24">
      <c r="A24" s="10" t="s">
        <v>69</v>
      </c>
      <c r="F24" s="15" t="s">
        <v>70</v>
      </c>
    </row>
    <row r="25">
      <c r="A25" s="10" t="s">
        <v>71</v>
      </c>
      <c r="F25" s="15" t="s">
        <v>72</v>
      </c>
    </row>
    <row r="26">
      <c r="A26" s="10" t="s">
        <v>73</v>
      </c>
      <c r="F26" s="25" t="s">
        <v>74</v>
      </c>
    </row>
    <row r="27">
      <c r="A27" s="10" t="s">
        <v>75</v>
      </c>
      <c r="F27" s="26"/>
    </row>
    <row r="28">
      <c r="A28" s="10" t="s">
        <v>76</v>
      </c>
    </row>
    <row r="29">
      <c r="A29" s="10" t="s">
        <v>77</v>
      </c>
    </row>
    <row r="30">
      <c r="A30" s="27"/>
    </row>
    <row r="31">
      <c r="A31" s="16"/>
    </row>
    <row r="32">
      <c r="A32" s="27"/>
    </row>
    <row r="33">
      <c r="A33" s="27"/>
      <c r="B33" s="3" t="s">
        <v>78</v>
      </c>
    </row>
    <row r="34">
      <c r="A34" s="27"/>
    </row>
    <row r="35">
      <c r="A35" s="27"/>
    </row>
    <row r="36">
      <c r="A36" s="27"/>
    </row>
    <row r="37">
      <c r="A37" s="27"/>
    </row>
    <row r="38">
      <c r="A38" s="27"/>
    </row>
    <row r="39">
      <c r="A39" s="27"/>
    </row>
    <row r="40">
      <c r="A40" s="27"/>
    </row>
    <row r="41">
      <c r="A41" s="27"/>
    </row>
    <row r="42">
      <c r="A42" s="27"/>
    </row>
    <row r="43">
      <c r="A43" s="27"/>
    </row>
    <row r="44">
      <c r="A44" s="27"/>
    </row>
    <row r="45">
      <c r="A45" s="27"/>
    </row>
    <row r="46">
      <c r="A46" s="27"/>
    </row>
    <row r="47">
      <c r="A47" s="27"/>
    </row>
    <row r="48">
      <c r="A48" s="27"/>
    </row>
    <row r="49">
      <c r="A49" s="27"/>
    </row>
    <row r="50">
      <c r="A50" s="27"/>
    </row>
    <row r="51">
      <c r="A51" s="27"/>
    </row>
    <row r="52">
      <c r="A52" s="27"/>
    </row>
    <row r="53">
      <c r="A53" s="27"/>
    </row>
    <row r="54">
      <c r="A54" s="27"/>
    </row>
    <row r="55">
      <c r="A55" s="27"/>
    </row>
    <row r="56">
      <c r="A56" s="27"/>
    </row>
    <row r="57">
      <c r="A57" s="27"/>
    </row>
    <row r="58">
      <c r="A58" s="27"/>
    </row>
    <row r="59">
      <c r="A59" s="27"/>
    </row>
    <row r="60">
      <c r="A60" s="27"/>
    </row>
    <row r="61">
      <c r="A61" s="27"/>
    </row>
    <row r="62">
      <c r="A62" s="27"/>
    </row>
    <row r="63">
      <c r="A63" s="27"/>
    </row>
    <row r="64">
      <c r="A64" s="27"/>
    </row>
    <row r="65">
      <c r="A65" s="27"/>
    </row>
    <row r="66">
      <c r="A66" s="27"/>
    </row>
    <row r="67">
      <c r="A67" s="27"/>
    </row>
    <row r="68">
      <c r="A68" s="27"/>
    </row>
    <row r="69">
      <c r="A69" s="27"/>
    </row>
    <row r="70">
      <c r="A70" s="27"/>
    </row>
    <row r="71">
      <c r="A71" s="27"/>
    </row>
    <row r="72">
      <c r="A72" s="27"/>
    </row>
    <row r="73">
      <c r="A73" s="27"/>
    </row>
    <row r="74">
      <c r="A74" s="27"/>
    </row>
    <row r="75">
      <c r="A75" s="27"/>
    </row>
    <row r="76">
      <c r="A76" s="27"/>
    </row>
    <row r="77">
      <c r="A77" s="27"/>
    </row>
    <row r="78">
      <c r="A78" s="27"/>
    </row>
    <row r="79">
      <c r="A79" s="27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</sheetData>
  <mergeCells count="1">
    <mergeCell ref="E13:E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32.0"/>
    <col customWidth="1" min="3" max="3" width="9.0"/>
  </cols>
  <sheetData>
    <row r="1">
      <c r="A1" s="1" t="s">
        <v>79</v>
      </c>
      <c r="B1" s="1" t="s">
        <v>80</v>
      </c>
      <c r="C1" s="6"/>
      <c r="D1" s="6"/>
    </row>
    <row r="2">
      <c r="A2" s="3" t="s">
        <v>81</v>
      </c>
      <c r="B2" s="17" t="s">
        <v>82</v>
      </c>
      <c r="C2" s="12"/>
      <c r="D2" s="12"/>
    </row>
    <row r="3">
      <c r="A3" s="3" t="s">
        <v>83</v>
      </c>
      <c r="B3" s="12" t="s">
        <v>84</v>
      </c>
      <c r="C3" s="12"/>
      <c r="D3" s="12" t="s">
        <v>85</v>
      </c>
    </row>
    <row r="4">
      <c r="B4" s="12" t="s">
        <v>86</v>
      </c>
      <c r="C4" s="28"/>
      <c r="D4" s="12" t="s">
        <v>87</v>
      </c>
    </row>
    <row r="5">
      <c r="A5" s="2" t="s">
        <v>88</v>
      </c>
      <c r="B5" s="12" t="s">
        <v>89</v>
      </c>
      <c r="C5" s="28"/>
      <c r="D5" s="12" t="s">
        <v>90</v>
      </c>
    </row>
    <row r="6">
      <c r="A6" s="2" t="s">
        <v>91</v>
      </c>
      <c r="B6" s="12" t="s">
        <v>92</v>
      </c>
      <c r="C6" s="28"/>
      <c r="D6" s="12" t="s">
        <v>93</v>
      </c>
    </row>
    <row r="7">
      <c r="A7" s="2" t="s">
        <v>94</v>
      </c>
      <c r="B7" s="12" t="s">
        <v>95</v>
      </c>
      <c r="C7" s="29"/>
      <c r="D7" s="12" t="s">
        <v>93</v>
      </c>
    </row>
    <row r="8">
      <c r="B8" s="12"/>
      <c r="C8" s="28"/>
      <c r="D8" s="12"/>
    </row>
    <row r="9">
      <c r="B9" s="17" t="s">
        <v>96</v>
      </c>
      <c r="C9" s="28"/>
      <c r="D9" s="12"/>
    </row>
    <row r="10">
      <c r="B10" s="30" t="str">
        <f>CONCATENATE("SSV(",C4,")")</f>
        <v>SSV()</v>
      </c>
      <c r="C10" s="31" t="str">
        <f>IFERROR(C5/C3)</f>
        <v/>
      </c>
      <c r="D10" s="32" t="s">
        <v>97</v>
      </c>
    </row>
    <row r="11">
      <c r="B11" s="30" t="s">
        <v>98</v>
      </c>
      <c r="C11" s="31" t="str">
        <f>IFERROR(C10*1000/C6)</f>
        <v/>
      </c>
      <c r="D11" s="32" t="s">
        <v>99</v>
      </c>
    </row>
    <row r="12">
      <c r="B12" s="30" t="s">
        <v>100</v>
      </c>
      <c r="C12" s="31"/>
      <c r="D12" s="32" t="s">
        <v>99</v>
      </c>
    </row>
    <row r="13">
      <c r="B13" s="30" t="s">
        <v>101</v>
      </c>
      <c r="C13" s="31" t="str">
        <f>IFERROR(C6*1000/C10)</f>
        <v/>
      </c>
      <c r="D13" s="32" t="s">
        <v>93</v>
      </c>
    </row>
    <row r="14">
      <c r="B14" s="30" t="s">
        <v>102</v>
      </c>
      <c r="C14" s="31" t="str">
        <f>IFERROR(Average(C6,C7)*1000/C10)</f>
        <v/>
      </c>
      <c r="D14" s="32" t="s">
        <v>93</v>
      </c>
    </row>
  </sheetData>
  <drawing r:id="rId1"/>
</worksheet>
</file>