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or" sheetId="1" r:id="rId4"/>
  </sheets>
  <definedNames/>
  <calcPr/>
</workbook>
</file>

<file path=xl/sharedStrings.xml><?xml version="1.0" encoding="utf-8"?>
<sst xmlns="http://schemas.openxmlformats.org/spreadsheetml/2006/main" count="30" uniqueCount="24">
  <si>
    <t>FORMULA</t>
  </si>
  <si>
    <t>CALCULATION TOOL</t>
  </si>
  <si>
    <t>Nutrient needed (mg/L)</t>
  </si>
  <si>
    <t>Avg Daily Inflow to Aeration Basin</t>
  </si>
  <si>
    <t>gal</t>
  </si>
  <si>
    <t>Influent BOD to Aeration Basin</t>
  </si>
  <si>
    <t>mg/L</t>
  </si>
  <si>
    <t>Influent TKN to Aeration Basin</t>
  </si>
  <si>
    <t>Nutrient shortage (mg/L)</t>
  </si>
  <si>
    <t>Influent P to Aeration Basin</t>
  </si>
  <si>
    <t>Influent Fe to Aeration Basin</t>
  </si>
  <si>
    <t>Nutrient to add per day (lbs/day)</t>
  </si>
  <si>
    <t>OUTPUT :</t>
  </si>
  <si>
    <t>Suggested BOD : N : P : Fe Ratio</t>
  </si>
  <si>
    <t>100 : 5 : 1 : 0.5</t>
  </si>
  <si>
    <t>N needed in proportion to influent BOD</t>
  </si>
  <si>
    <t>Commercial Nutrient to add per day (lbs/day)</t>
  </si>
  <si>
    <t>P needed in proportion to influent BOD</t>
  </si>
  <si>
    <t>Fe needed in proportion to influent BOD</t>
  </si>
  <si>
    <t>mg/L or ppm</t>
  </si>
  <si>
    <t>lbs/day</t>
  </si>
  <si>
    <t>Nitrogen shortage</t>
  </si>
  <si>
    <t>Phosphorus shortage</t>
  </si>
  <si>
    <t>Iron shortage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</si>
</sst>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theme="1"/>
      <name val="Arial"/>
    </font>
    <font>
      <color rgb="FF000000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Font="1"/>
    <xf borderId="0" fillId="0" fontId="4" numFmtId="164" xfId="0" applyAlignment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34A85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25"/>
    <col customWidth="1" min="2" max="2" width="42.13"/>
    <col customWidth="1" min="4" max="4" width="11.0"/>
  </cols>
  <sheetData>
    <row r="1">
      <c r="A1" s="1" t="s">
        <v>0</v>
      </c>
      <c r="B1" s="1" t="s">
        <v>1</v>
      </c>
      <c r="C1" s="2"/>
      <c r="D1" s="2"/>
    </row>
    <row r="2">
      <c r="A2" s="3" t="s">
        <v>2</v>
      </c>
      <c r="B2" s="4" t="s">
        <v>3</v>
      </c>
      <c r="C2" s="5">
        <f>500000</f>
        <v>500000</v>
      </c>
      <c r="D2" s="4" t="s">
        <v>4</v>
      </c>
    </row>
    <row r="3">
      <c r="A3" s="6" t="str">
        <f> "= Influent BOD to Aeration Tank / Suggested weight ratio of BOD:Nutrient"</f>
        <v>= Influent BOD to Aeration Tank / Suggested weight ratio of BOD:Nutrient</v>
      </c>
      <c r="B3" s="4" t="s">
        <v>5</v>
      </c>
      <c r="C3" s="7">
        <v>500.0</v>
      </c>
      <c r="D3" s="8" t="s">
        <v>6</v>
      </c>
    </row>
    <row r="4">
      <c r="A4" s="6"/>
      <c r="B4" s="4" t="s">
        <v>7</v>
      </c>
      <c r="C4" s="9">
        <v>25.0</v>
      </c>
      <c r="D4" s="8" t="s">
        <v>6</v>
      </c>
    </row>
    <row r="5">
      <c r="A5" s="3" t="s">
        <v>8</v>
      </c>
      <c r="B5" s="4" t="s">
        <v>9</v>
      </c>
      <c r="C5" s="10">
        <v>2.0</v>
      </c>
      <c r="D5" s="8" t="s">
        <v>6</v>
      </c>
    </row>
    <row r="6">
      <c r="A6" s="11" t="str">
        <f> "= Nutrient needed - Influent Nutrient conc."</f>
        <v>= Nutrient needed - Influent Nutrient conc.</v>
      </c>
      <c r="B6" s="4" t="s">
        <v>10</v>
      </c>
      <c r="C6" s="12">
        <v>0.5</v>
      </c>
      <c r="D6" s="8" t="s">
        <v>6</v>
      </c>
    </row>
    <row r="7">
      <c r="A7" s="11"/>
      <c r="B7" s="8"/>
      <c r="C7" s="13"/>
      <c r="D7" s="8"/>
    </row>
    <row r="8">
      <c r="A8" s="6" t="s">
        <v>11</v>
      </c>
      <c r="B8" s="14" t="s">
        <v>12</v>
      </c>
      <c r="C8" s="13"/>
      <c r="D8" s="8"/>
    </row>
    <row r="9">
      <c r="A9" s="11" t="str">
        <f> "= Nutrient shortage x Avg. flow per day x 8.34"</f>
        <v>= Nutrient shortage x Avg. flow per day x 8.34</v>
      </c>
      <c r="B9" s="8" t="s">
        <v>13</v>
      </c>
      <c r="C9" s="13" t="s">
        <v>14</v>
      </c>
      <c r="D9" s="8"/>
    </row>
    <row r="10">
      <c r="A10" s="11"/>
      <c r="B10" s="8" t="s">
        <v>15</v>
      </c>
      <c r="C10" s="4">
        <f>C3/(100/5)</f>
        <v>25</v>
      </c>
      <c r="D10" s="8" t="s">
        <v>6</v>
      </c>
    </row>
    <row r="11">
      <c r="A11" s="3" t="s">
        <v>16</v>
      </c>
      <c r="B11" s="8" t="s">
        <v>17</v>
      </c>
      <c r="C11" s="7">
        <f>C3/(100/1)</f>
        <v>5</v>
      </c>
      <c r="D11" s="8" t="s">
        <v>6</v>
      </c>
    </row>
    <row r="12">
      <c r="A12" s="11" t="str">
        <f> "= Nutrient to add per day x Atomic Wt. Ratio x (1/ grade concentration)"</f>
        <v>= Nutrient to add per day x Atomic Wt. Ratio x (1/ grade concentration)</v>
      </c>
      <c r="B12" s="8" t="s">
        <v>18</v>
      </c>
      <c r="C12" s="7">
        <f>C3/(100/0.5)</f>
        <v>2.5</v>
      </c>
      <c r="D12" s="8" t="s">
        <v>6</v>
      </c>
    </row>
    <row r="13">
      <c r="B13" s="8"/>
      <c r="C13" s="13"/>
      <c r="D13" s="8"/>
    </row>
    <row r="14">
      <c r="A14" s="11"/>
      <c r="B14" s="8" t="str">
        <f>IF(C10&gt;C4,"Nitrogen is deficient.","Nitrogen is sufficient.")</f>
        <v>Nitrogen is sufficient.</v>
      </c>
      <c r="C14" s="8"/>
      <c r="D14" s="8"/>
    </row>
    <row r="15">
      <c r="B15" s="8" t="str">
        <f>IF(C11&gt;C5,"Phosphorus is deficient.","Phosphorus is sufficient.")</f>
        <v>Phosphorus is deficient.</v>
      </c>
      <c r="C15" s="8"/>
      <c r="D15" s="14"/>
    </row>
    <row r="16">
      <c r="B16" s="8" t="str">
        <f>IF(C12&gt;C6,"Iron is deficient.","Iron is sufficient.")</f>
        <v>Iron is deficient.</v>
      </c>
      <c r="C16" s="8"/>
      <c r="D16" s="8"/>
    </row>
    <row r="17">
      <c r="B17" s="8"/>
      <c r="C17" s="15" t="s">
        <v>19</v>
      </c>
      <c r="D17" s="15" t="s">
        <v>20</v>
      </c>
    </row>
    <row r="18">
      <c r="B18" s="4" t="s">
        <v>21</v>
      </c>
      <c r="C18" s="16" t="str">
        <f t="shared" ref="C18:C20" si="1">If(C10&gt;C4,C10-C4,"")</f>
        <v/>
      </c>
      <c r="D18" s="17" t="str">
        <f t="shared" ref="D18:D20" si="2">If(C18="","",C18*$C$2*8.34*(10^-6))</f>
        <v/>
      </c>
    </row>
    <row r="19">
      <c r="B19" s="4" t="s">
        <v>22</v>
      </c>
      <c r="C19" s="12">
        <f t="shared" si="1"/>
        <v>3</v>
      </c>
      <c r="D19" s="17">
        <f t="shared" si="2"/>
        <v>12.51</v>
      </c>
    </row>
    <row r="20">
      <c r="B20" s="4" t="s">
        <v>23</v>
      </c>
      <c r="C20" s="12">
        <f t="shared" si="1"/>
        <v>2</v>
      </c>
      <c r="D20" s="17">
        <f t="shared" si="2"/>
        <v>8.34</v>
      </c>
    </row>
  </sheetData>
  <conditionalFormatting sqref="B14:B17">
    <cfRule type="containsText" dxfId="0" priority="1" operator="containsText" text="deficient">
      <formula>NOT(ISERROR(SEARCH(("deficient"),(B14))))</formula>
    </cfRule>
  </conditionalFormatting>
  <conditionalFormatting sqref="B14:B17">
    <cfRule type="containsText" dxfId="1" priority="2" operator="containsText" text="sufficient">
      <formula>NOT(ISERROR(SEARCH(("sufficient"),(B14))))</formula>
    </cfRule>
  </conditionalFormatting>
  <drawing r:id="rId1"/>
</worksheet>
</file>