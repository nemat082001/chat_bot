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WAS_MCRT" sheetId="2" r:id="rId5"/>
    <sheet state="visible" name="WAS_SRT" sheetId="3" r:id="rId6"/>
    <sheet state="visible" name="WAS_MLSS" sheetId="4" r:id="rId7"/>
    <sheet state="visible" name="WAS_FM" sheetId="5" r:id="rId8"/>
    <sheet state="visible" name="WAS_Yield" sheetId="6" r:id="rId9"/>
    <sheet state="visible" name="O&amp;M" sheetId="7" r:id="rId10"/>
  </sheets>
  <definedNames/>
  <calcPr/>
</workbook>
</file>

<file path=xl/sharedStrings.xml><?xml version="1.0" encoding="utf-8"?>
<sst xmlns="http://schemas.openxmlformats.org/spreadsheetml/2006/main" count="310" uniqueCount="113">
  <si>
    <t>Waste Activated Sludge (WAS)</t>
  </si>
  <si>
    <t>The ideal WAS flow rate can be determined in five different ways depending on your priority design number. Click on the computation method you prefer.</t>
  </si>
  <si>
    <t>Your Priority Design Number :</t>
  </si>
  <si>
    <t>Constant MCRT (includes solids in clarifier)</t>
  </si>
  <si>
    <t>WAS computation based on constant MCRT</t>
  </si>
  <si>
    <t>Click here for calculator</t>
  </si>
  <si>
    <t>WAS computation based on constant SRT</t>
  </si>
  <si>
    <t>WAS computation based on constant MLSS</t>
  </si>
  <si>
    <t>WAS computation based on constant F/M Ratio</t>
  </si>
  <si>
    <t>WAS computation based on constant Yield</t>
  </si>
  <si>
    <r>
      <rPr>
        <rFont val="Arial"/>
        <b/>
        <color rgb="FFFF0000"/>
        <sz val="12.0"/>
      </rPr>
      <t xml:space="preserve">Sludge Wasted </t>
    </r>
    <r>
      <rPr>
        <rFont val="Arial"/>
        <b/>
        <color theme="1"/>
        <sz val="12.0"/>
      </rPr>
      <t>based on Constant MCRT</t>
    </r>
  </si>
  <si>
    <t>where,</t>
  </si>
  <si>
    <t>Target F(WASs) = Target Secondary WAS Flow (GPM or gallons per minute)</t>
  </si>
  <si>
    <t>C(RAS) = Avg RAS concentration (mg/L or ppm)</t>
  </si>
  <si>
    <t>Solids inventory AB, SC = Solids inventory in Aeration Basin and Secondary Clarifier (lbs per day). This will be computed from the inputs below.</t>
  </si>
  <si>
    <t>MCRT = Mean Cell Residence Time, ie, The avg. time a bug stays in the secondary treatment stage - Aeration Basins and Secondary Clarifiers (days)</t>
  </si>
  <si>
    <t>F(SCw) = Effluent Flow Rate at Secondary Clarifier Weirs (MGD)</t>
  </si>
  <si>
    <t>C(DL) = Weekly TSS Discharge Limit (mg/L or ppm)</t>
  </si>
  <si>
    <t>T(WASs) = Minutes of operation of Secondary WAS pump per hour, on average</t>
  </si>
  <si>
    <t>INPUTS - Enter values for the following where missing :</t>
  </si>
  <si>
    <t>Design:</t>
  </si>
  <si>
    <t>Design or Target MCRT (days)</t>
  </si>
  <si>
    <t>days</t>
  </si>
  <si>
    <t>Weekly TSS Discharge Limit (mg/L or ppm)</t>
  </si>
  <si>
    <t>mg/L or ppm</t>
  </si>
  <si>
    <t>Capacities:</t>
  </si>
  <si>
    <t>Total Volume of Aeration Basins (million gal)</t>
  </si>
  <si>
    <t>million gal</t>
  </si>
  <si>
    <t>Total Volume of Secondary Clarifiers (million gal)</t>
  </si>
  <si>
    <t>Avg Sidewater Depth of Secondary Clarifiers (feet)</t>
  </si>
  <si>
    <t>feet</t>
  </si>
  <si>
    <t>Flows:</t>
  </si>
  <si>
    <t>Total Flow leaving Secondary Clarifiers (MGD or million gal/day)</t>
  </si>
  <si>
    <t>MGD or million gal/day</t>
  </si>
  <si>
    <t>Current Secondary WAS Flow (GPM or gal/minute)</t>
  </si>
  <si>
    <t>GPM (gal/minute)</t>
  </si>
  <si>
    <t>Concentrations:</t>
  </si>
  <si>
    <t>Avg. MLSS concentration (mg/L or ppm)</t>
  </si>
  <si>
    <t>Avg. RAS concentration (mg/L or ppm)</t>
  </si>
  <si>
    <t>Other:</t>
  </si>
  <si>
    <t>Avg. Sludge Blanket Depth (feet)</t>
  </si>
  <si>
    <t>Minutes of operation of Secondary WAS pump per hour, on average</t>
  </si>
  <si>
    <t>minutes</t>
  </si>
  <si>
    <t>OUTPUTS</t>
  </si>
  <si>
    <t>Solids Inventory in Aeration Basins</t>
  </si>
  <si>
    <t>lbs/day</t>
  </si>
  <si>
    <t>Solids Inventory in Secondary Clarifiers</t>
  </si>
  <si>
    <t>MGD (million gallons per day)</t>
  </si>
  <si>
    <t>GPD (gallons per day)</t>
  </si>
  <si>
    <t>GPM (gallons per minute)</t>
  </si>
  <si>
    <t>Your Target Secondary WAS Flow :</t>
  </si>
  <si>
    <t>Your Current Secondary WAS Flow :</t>
  </si>
  <si>
    <t>Required change in Secondary WAS Flow :</t>
  </si>
  <si>
    <t>Changes in WAS Flow should be no more than 10-15% per day. Modify WAS flow rate as per the schedule below :</t>
  </si>
  <si>
    <t>Required change in MGD 
(million gallons per day)</t>
  </si>
  <si>
    <t>Required change in GPD 
(gallons per day)</t>
  </si>
  <si>
    <t>Required change in GPM 
(gallons per minute)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</si>
  <si>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</si>
  <si>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</si>
  <si>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</si>
  <si>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</si>
  <si>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</si>
  <si>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</si>
  <si>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</si>
  <si>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</si>
  <si>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</si>
  <si>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</si>
  <si>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r>
      <rPr>
        <rFont val="Arial"/>
        <b/>
        <color rgb="FFFF0000"/>
        <sz val="12.0"/>
      </rPr>
      <t xml:space="preserve">Sludge Wasted </t>
    </r>
    <r>
      <rPr>
        <rFont val="Arial"/>
        <b/>
        <color theme="1"/>
        <sz val="12.0"/>
      </rPr>
      <t>based on Constant SRT</t>
    </r>
  </si>
  <si>
    <t>Solids inventory AB = Solids inventory in Aeration Basins (lbs/day). This will be computed from the inputs below.</t>
  </si>
  <si>
    <t>SRT = Solids Retention Residence Time, ie, The avg. time a bug stays in the secondary treatment stage - Aeration Basins only (days)</t>
  </si>
  <si>
    <t>Design or Target SRT (days)</t>
  </si>
  <si>
    <t>GPM or gal/minute</t>
  </si>
  <si>
    <r>
      <rPr>
        <rFont val="Arial"/>
        <b/>
        <color rgb="FFFF0000"/>
        <sz val="12.0"/>
      </rPr>
      <t xml:space="preserve">Sludge Wasted </t>
    </r>
    <r>
      <rPr>
        <rFont val="Arial"/>
        <b/>
        <color theme="1"/>
        <sz val="12.0"/>
      </rPr>
      <t>based on Constant MLSS</t>
    </r>
  </si>
  <si>
    <t>Current F(WASs) = Current Secondary WAS Flow (GPM or gallons per minute)</t>
  </si>
  <si>
    <t>Actual Solids AB,SC = Current solids inventory in your Aeration Basins and Secondary Clarifiers. This will be computed from the inputs below.</t>
  </si>
  <si>
    <t>Target Solids AB,SC = Target solids inventory in your Aeration Basin and Secondary Clarifiers, combined, based on Target or Design MLSS. This will be computed from the inputs below.</t>
  </si>
  <si>
    <t>Design or Target MLSS concentration (mg/L or ppm)</t>
  </si>
  <si>
    <t>Avg Side-Water Depth of Secondary Clarifiers (feet)</t>
  </si>
  <si>
    <t>Aeration Basin (lbs)</t>
  </si>
  <si>
    <t>Secondary Clarifiers (lbs)</t>
  </si>
  <si>
    <t>Combined (lbs)</t>
  </si>
  <si>
    <t>Actual solids inventory</t>
  </si>
  <si>
    <t>Target solids inventory</t>
  </si>
  <si>
    <t>Total Solids to be wasted (Actual - Target)</t>
  </si>
  <si>
    <r>
      <rPr>
        <rFont val="Arial"/>
        <b/>
        <color rgb="FFFF0000"/>
        <sz val="12.0"/>
      </rPr>
      <t xml:space="preserve">Sludge Wasted </t>
    </r>
    <r>
      <rPr>
        <rFont val="Arial"/>
        <b/>
        <color theme="1"/>
        <sz val="12.0"/>
      </rPr>
      <t>based on Constant F/M Ratio</t>
    </r>
  </si>
  <si>
    <t>F(AB) = Total Flow entering Aeration Basins (MGD or million gallons per day)</t>
  </si>
  <si>
    <t>C(BODi) = BOD concentration in Aeration Basin Influent (mg/L or ppm)</t>
  </si>
  <si>
    <t>Actual FM = Actual F/M Ratio, based on influent BOD and existing solids inventory in Aeration Basin. This will be computed from the inputs below.</t>
  </si>
  <si>
    <t>Target FM = Target F/M Ratio, based on influent BOD and target solids inventory in Aeration Basin</t>
  </si>
  <si>
    <t>Design or Target F/M Ratio</t>
  </si>
  <si>
    <r>
      <rPr>
        <rFont val="Arial"/>
        <color theme="1"/>
      </rPr>
      <t xml:space="preserve">Total Flow entering Aeration Basins </t>
    </r>
    <r>
      <rPr>
        <rFont val="Arial"/>
        <b/>
        <color theme="1"/>
      </rPr>
      <t>including</t>
    </r>
    <r>
      <rPr>
        <rFont val="Arial"/>
        <color theme="1"/>
      </rPr>
      <t xml:space="preserve"> RAS (MGD or million gal/day)</t>
    </r>
  </si>
  <si>
    <t>Avg. BOD concentration in Aeration Basin Influent (mg/L or ppm)</t>
  </si>
  <si>
    <t>Avg. MLVSS concentration (mg/L or ppm)</t>
  </si>
  <si>
    <t>Actual F/M Ratio</t>
  </si>
  <si>
    <r>
      <rPr>
        <rFont val="Arial"/>
        <b/>
        <color rgb="FFFF0000"/>
        <sz val="12.0"/>
      </rPr>
      <t xml:space="preserve">Sludge Wasted </t>
    </r>
    <r>
      <rPr>
        <rFont val="Arial"/>
        <b/>
        <color theme="1"/>
        <sz val="12.0"/>
      </rPr>
      <t xml:space="preserve">based on Yield : 
</t>
    </r>
    <r>
      <rPr>
        <rFont val="Arial"/>
        <b/>
        <color rgb="FF0000FF"/>
        <sz val="12.0"/>
      </rPr>
      <t>Sludge wasted = Amount of solids produced</t>
    </r>
  </si>
  <si>
    <t>F(AB) = Total Flow entering Aeration Basins (MGD)</t>
  </si>
  <si>
    <t>F(SCw) = Total Flow leaving Secondary Clarifier Weirs (MGD)</t>
  </si>
  <si>
    <t>C(BODi) = Avg. BOD concentration in Aeration Basin Influent (mg/L or ppm)</t>
  </si>
  <si>
    <t>C(BODw) = Avg. BOD concentration at Weirs of Secondary Clarifiers (mg/L or ppm)</t>
  </si>
  <si>
    <t>C(RAS) = Avg. RAS concentration (mg/L or ppm)</t>
  </si>
  <si>
    <t>Y = Yield coefficient (Amount of solids removed for every lb of BOD removed)</t>
  </si>
  <si>
    <t>Design or Target Yield Coefficient (Y) if known (typically, 0.7)</t>
  </si>
  <si>
    <r>
      <rPr>
        <rFont val="Arial"/>
        <color theme="1"/>
      </rPr>
      <t xml:space="preserve">Total Flow entering Aeration Basins </t>
    </r>
    <r>
      <rPr>
        <rFont val="Arial"/>
        <b/>
        <color theme="1"/>
      </rPr>
      <t>including</t>
    </r>
    <r>
      <rPr>
        <rFont val="Arial"/>
        <color theme="1"/>
      </rPr>
      <t xml:space="preserve"> RAS (MGD or million gal/day)</t>
    </r>
  </si>
  <si>
    <t>Total Flow leaving Secondary Clarifier Weirs (MGD or million gal/day)</t>
  </si>
  <si>
    <t>Current Secondary WAS Flow</t>
  </si>
  <si>
    <t>Avg. BOD concentration at Weirs of Secondary Clarifiers (mg/L or ppm)</t>
  </si>
  <si>
    <t>Action Items for O&amp;M</t>
  </si>
  <si>
    <t>Ensure the following :</t>
  </si>
  <si>
    <t>Inspection in case of breakdown of Pumps or Motors</t>
  </si>
  <si>
    <t>Strainers aren’t plugged</t>
  </si>
  <si>
    <t>Valves aren’t stuck</t>
  </si>
  <si>
    <t>Lines aren’t clogged or choked</t>
  </si>
  <si>
    <t>Lines aren’t leaking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</si>
</sst>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#,##0.0"/>
    <numFmt numFmtId="167" formatCode="#,##0.000"/>
  </numFmts>
  <fonts count="2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1155CC"/>
    </font>
    <font/>
    <font>
      <sz val="12.0"/>
      <color rgb="FF000000"/>
      <name val="Calibri"/>
    </font>
    <font>
      <color theme="1"/>
      <name val="Arial"/>
    </font>
    <font>
      <b/>
      <sz val="11.0"/>
      <color theme="1"/>
      <name val="Arial"/>
      <scheme val="minor"/>
    </font>
    <font>
      <b/>
      <color rgb="FF6AA84F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color rgb="FF0000FF"/>
      <name val="Arial"/>
    </font>
    <font>
      <b/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Arial"/>
    </font>
    <font>
      <sz val="10.0"/>
      <color rgb="FFFF0000"/>
      <name val="Arial"/>
    </font>
    <font>
      <b/>
      <color theme="1"/>
      <name val="Arial"/>
    </font>
    <font>
      <color rgb="FFFF0000"/>
      <name val="Arial"/>
    </font>
    <font>
      <b/>
      <sz val="12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1" fillId="0" fontId="5" numFmtId="0" xfId="0" applyBorder="1" applyFont="1"/>
    <xf borderId="0" fillId="0" fontId="6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1" fillId="0" fontId="8" numFmtId="0" xfId="0" applyAlignment="1" applyBorder="1" applyFont="1">
      <alignment readingOrder="0" vertical="top"/>
    </xf>
    <xf borderId="0" fillId="3" fontId="9" numFmtId="0" xfId="0" applyAlignment="1" applyFill="1" applyFont="1">
      <alignment readingOrder="0" vertical="top"/>
    </xf>
    <xf borderId="0" fillId="4" fontId="2" numFmtId="0" xfId="0" applyAlignment="1" applyFill="1" applyFont="1">
      <alignment readingOrder="0" vertical="top"/>
    </xf>
    <xf borderId="1" fillId="3" fontId="9" numFmtId="0" xfId="0" applyAlignment="1" applyBorder="1" applyFont="1">
      <alignment readingOrder="0" vertical="top"/>
    </xf>
    <xf borderId="0" fillId="4" fontId="2" numFmtId="4" xfId="0" applyAlignment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0" fillId="4" fontId="2" numFmtId="2" xfId="0" applyAlignment="1" applyFont="1" applyNumberFormat="1">
      <alignment readingOrder="0" vertical="top"/>
    </xf>
    <xf borderId="0" fillId="5" fontId="10" numFmtId="0" xfId="0" applyAlignment="1" applyFill="1" applyFont="1">
      <alignment horizontal="left" readingOrder="0"/>
    </xf>
    <xf borderId="0" fillId="4" fontId="2" numFmtId="3" xfId="0" applyAlignment="1" applyFont="1" applyNumberFormat="1">
      <alignment readingOrder="0" vertical="top"/>
    </xf>
    <xf borderId="1" fillId="0" fontId="2" numFmtId="0" xfId="0" applyBorder="1" applyFont="1"/>
    <xf borderId="0" fillId="2" fontId="2" numFmtId="3" xfId="0" applyAlignment="1" applyFont="1" applyNumberFormat="1">
      <alignment vertical="top"/>
    </xf>
    <xf borderId="0" fillId="3" fontId="2" numFmtId="0" xfId="0" applyAlignment="1" applyFont="1">
      <alignment readingOrder="0"/>
    </xf>
    <xf borderId="1" fillId="3" fontId="2" numFmtId="0" xfId="0" applyAlignment="1" applyBorder="1" applyFont="1">
      <alignment vertical="top"/>
    </xf>
    <xf borderId="0" fillId="3" fontId="2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1" numFmtId="3" xfId="0" applyAlignment="1" applyFont="1" applyNumberFormat="1">
      <alignment readingOrder="0" vertical="top"/>
    </xf>
    <xf borderId="1" fillId="0" fontId="11" numFmtId="0" xfId="0" applyAlignment="1" applyBorder="1" applyFont="1">
      <alignment readingOrder="0" vertical="top"/>
    </xf>
    <xf borderId="0" fillId="2" fontId="2" numFmtId="164" xfId="0" applyAlignment="1" applyFont="1" applyNumberFormat="1">
      <alignment vertical="top"/>
    </xf>
    <xf borderId="0" fillId="2" fontId="2" numFmtId="3" xfId="0" applyFont="1" applyNumberFormat="1"/>
    <xf borderId="1" fillId="2" fontId="2" numFmtId="165" xfId="0" applyAlignment="1" applyBorder="1" applyFont="1" applyNumberFormat="1">
      <alignment vertical="top"/>
    </xf>
    <xf borderId="0" fillId="2" fontId="2" numFmtId="164" xfId="0" applyFont="1" applyNumberFormat="1"/>
    <xf borderId="0" fillId="2" fontId="2" numFmtId="3" xfId="0" applyAlignment="1" applyFont="1" applyNumberFormat="1">
      <alignment readingOrder="0" vertical="top"/>
    </xf>
    <xf borderId="1" fillId="2" fontId="2" numFmtId="165" xfId="0" applyAlignment="1" applyBorder="1" applyFont="1" applyNumberFormat="1">
      <alignment readingOrder="0" vertical="top"/>
    </xf>
    <xf borderId="0" fillId="2" fontId="3" numFmtId="164" xfId="0" applyAlignment="1" applyFont="1" applyNumberFormat="1">
      <alignment vertical="top"/>
    </xf>
    <xf borderId="0" fillId="2" fontId="3" numFmtId="3" xfId="0" applyAlignment="1" applyFont="1" applyNumberFormat="1">
      <alignment vertical="top"/>
    </xf>
    <xf borderId="1" fillId="2" fontId="3" numFmtId="165" xfId="0" applyAlignment="1" applyBorder="1" applyFont="1" applyNumberFormat="1">
      <alignment vertical="top"/>
    </xf>
    <xf borderId="0" fillId="3" fontId="2" numFmtId="164" xfId="0" applyAlignment="1" applyFont="1" applyNumberFormat="1">
      <alignment vertical="top"/>
    </xf>
    <xf borderId="0" fillId="0" fontId="2" numFmtId="3" xfId="0" applyAlignment="1" applyFont="1" applyNumberForma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1" numFmtId="164" xfId="0" applyAlignment="1" applyFont="1" applyNumberFormat="1">
      <alignment readingOrder="0" vertical="top"/>
    </xf>
    <xf borderId="0" fillId="0" fontId="12" numFmtId="0" xfId="0" applyAlignment="1" applyFont="1">
      <alignment readingOrder="0" vertical="top"/>
    </xf>
    <xf borderId="0" fillId="2" fontId="7" numFmtId="164" xfId="0" applyAlignment="1" applyFont="1" applyNumberFormat="1">
      <alignment horizontal="right" vertical="top"/>
    </xf>
    <xf borderId="0" fillId="2" fontId="7" numFmtId="3" xfId="0" applyAlignment="1" applyFont="1" applyNumberFormat="1">
      <alignment horizontal="right" vertical="top"/>
    </xf>
    <xf borderId="1" fillId="2" fontId="7" numFmtId="166" xfId="0" applyAlignment="1" applyBorder="1" applyFont="1" applyNumberFormat="1">
      <alignment horizontal="right" vertical="top"/>
    </xf>
    <xf borderId="0" fillId="2" fontId="7" numFmtId="164" xfId="0" applyAlignment="1" applyFont="1" applyNumberFormat="1">
      <alignment vertical="top"/>
    </xf>
    <xf borderId="0" fillId="2" fontId="7" numFmtId="3" xfId="0" applyAlignment="1" applyFont="1" applyNumberFormat="1">
      <alignment vertical="top"/>
    </xf>
    <xf borderId="1" fillId="2" fontId="7" numFmtId="166" xfId="0" applyAlignment="1" applyBorder="1" applyFont="1" applyNumberFormat="1">
      <alignment vertical="top"/>
    </xf>
    <xf borderId="0" fillId="0" fontId="13" numFmtId="0" xfId="0" applyAlignment="1" applyFont="1">
      <alignment vertical="top"/>
    </xf>
    <xf borderId="1" fillId="0" fontId="1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1" fillId="3" fontId="9" numFmtId="0" xfId="0" applyAlignment="1" applyBorder="1" applyFont="1">
      <alignment readingOrder="0" shrinkToFit="0" vertical="top" wrapText="1"/>
    </xf>
    <xf borderId="0" fillId="3" fontId="9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shrinkToFit="0" vertical="top" wrapText="1"/>
    </xf>
    <xf borderId="0" fillId="0" fontId="11" numFmtId="0" xfId="0" applyAlignment="1" applyFont="1">
      <alignment readingOrder="0"/>
    </xf>
    <xf borderId="1" fillId="0" fontId="11" numFmtId="0" xfId="0" applyAlignment="1" applyBorder="1" applyFont="1">
      <alignment readingOrder="0"/>
    </xf>
    <xf borderId="1" fillId="2" fontId="2" numFmtId="3" xfId="0" applyAlignment="1" applyBorder="1" applyFont="1" applyNumberFormat="1">
      <alignment vertical="top"/>
    </xf>
    <xf borderId="1" fillId="2" fontId="3" numFmtId="3" xfId="0" applyAlignment="1" applyBorder="1" applyFont="1" applyNumberFormat="1">
      <alignment vertical="top"/>
    </xf>
    <xf borderId="0" fillId="2" fontId="3" numFmtId="167" xfId="0" applyFont="1" applyNumberFormat="1"/>
    <xf borderId="0" fillId="2" fontId="3" numFmtId="3" xfId="0" applyFont="1" applyNumberFormat="1"/>
    <xf borderId="0" fillId="2" fontId="2" numFmtId="4" xfId="0" applyAlignment="1" applyFont="1" applyNumberFormat="1">
      <alignment vertical="top"/>
    </xf>
    <xf borderId="0" fillId="3" fontId="2" numFmtId="3" xfId="0" applyAlignment="1" applyFont="1" applyNumberFormat="1">
      <alignment vertical="top"/>
    </xf>
    <xf borderId="0" fillId="0" fontId="14" numFmtId="0" xfId="0" applyAlignment="1" applyFont="1">
      <alignment readingOrder="0" shrinkToFit="0" vertical="top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readingOrder="0" vertical="top"/>
    </xf>
    <xf borderId="0" fillId="4" fontId="7" numFmtId="0" xfId="0" applyAlignment="1" applyFont="1">
      <alignment readingOrder="0" vertical="top"/>
    </xf>
    <xf borderId="1" fillId="0" fontId="7" numFmtId="0" xfId="0" applyBorder="1" applyFont="1"/>
    <xf borderId="0" fillId="4" fontId="7" numFmtId="2" xfId="0" applyAlignment="1" applyFont="1" applyNumberFormat="1">
      <alignment readingOrder="0" vertical="top"/>
    </xf>
    <xf borderId="0" fillId="4" fontId="7" numFmtId="4" xfId="0" applyAlignment="1" applyFont="1" applyNumberFormat="1">
      <alignment readingOrder="0" vertical="top"/>
    </xf>
    <xf borderId="0" fillId="4" fontId="7" numFmtId="3" xfId="0" applyAlignment="1" applyFont="1" applyNumberFormat="1">
      <alignment readingOrder="0" vertical="top"/>
    </xf>
    <xf borderId="0" fillId="0" fontId="18" numFmtId="0" xfId="0" applyAlignment="1" applyFont="1">
      <alignment readingOrder="0" vertical="top"/>
    </xf>
    <xf borderId="1" fillId="0" fontId="18" numFmtId="0" xfId="0" applyAlignment="1" applyBorder="1" applyFont="1">
      <alignment readingOrder="0" vertical="top"/>
    </xf>
    <xf borderId="0" fillId="0" fontId="19" numFmtId="0" xfId="0" applyAlignment="1" applyFont="1">
      <alignment readingOrder="0" vertical="top"/>
    </xf>
    <xf borderId="0" fillId="0" fontId="19" numFmtId="3" xfId="0" applyAlignment="1" applyFont="1" applyNumberFormat="1">
      <alignment readingOrder="0" vertical="top"/>
    </xf>
    <xf borderId="1" fillId="0" fontId="19" numFmtId="0" xfId="0" applyAlignment="1" applyBorder="1" applyFont="1">
      <alignment readingOrder="0" vertical="top"/>
    </xf>
    <xf borderId="0" fillId="2" fontId="7" numFmtId="164" xfId="0" applyFont="1" applyNumberFormat="1"/>
    <xf borderId="1" fillId="2" fontId="7" numFmtId="165" xfId="0" applyAlignment="1" applyBorder="1" applyFont="1" applyNumberFormat="1">
      <alignment vertical="top"/>
    </xf>
    <xf borderId="0" fillId="2" fontId="20" numFmtId="164" xfId="0" applyFont="1" applyNumberFormat="1"/>
    <xf borderId="0" fillId="2" fontId="20" numFmtId="3" xfId="0" applyAlignment="1" applyFont="1" applyNumberFormat="1">
      <alignment vertical="top"/>
    </xf>
    <xf borderId="1" fillId="2" fontId="20" numFmtId="165" xfId="0" applyAlignment="1" applyBorder="1" applyFont="1" applyNumberFormat="1">
      <alignment vertical="top"/>
    </xf>
    <xf borderId="0" fillId="3" fontId="7" numFmtId="0" xfId="0" applyAlignment="1" applyFont="1">
      <alignment vertical="top"/>
    </xf>
    <xf borderId="1" fillId="0" fontId="7" numFmtId="0" xfId="0" applyAlignment="1" applyBorder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vertical="top"/>
    </xf>
    <xf borderId="0" fillId="2" fontId="7" numFmtId="167" xfId="0" applyAlignment="1" applyFont="1" applyNumberFormat="1">
      <alignment horizontal="right" vertical="top"/>
    </xf>
    <xf borderId="0" fillId="2" fontId="7" numFmtId="167" xfId="0" applyAlignment="1" applyFont="1" applyNumberFormat="1">
      <alignment vertical="top"/>
    </xf>
    <xf borderId="0" fillId="0" fontId="21" numFmtId="0" xfId="0" applyAlignment="1" applyFont="1">
      <alignment readingOrder="0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86200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9528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10000" cy="304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25767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267200" cy="4381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37.13"/>
  </cols>
  <sheetData>
    <row r="1">
      <c r="A1" s="1" t="s">
        <v>0</v>
      </c>
      <c r="B1" s="2"/>
    </row>
    <row r="2">
      <c r="A2" s="3" t="s">
        <v>1</v>
      </c>
    </row>
    <row r="3">
      <c r="A3" s="4" t="s">
        <v>2</v>
      </c>
      <c r="B3" s="5" t="s">
        <v>3</v>
      </c>
    </row>
    <row r="4">
      <c r="A4" s="4" t="s">
        <v>4</v>
      </c>
      <c r="B4" s="6" t="s">
        <v>5</v>
      </c>
    </row>
    <row r="5">
      <c r="A5" s="4" t="s">
        <v>6</v>
      </c>
      <c r="B5" s="6" t="s">
        <v>5</v>
      </c>
    </row>
    <row r="6">
      <c r="A6" s="4" t="s">
        <v>7</v>
      </c>
      <c r="B6" s="6" t="s">
        <v>5</v>
      </c>
    </row>
    <row r="7">
      <c r="A7" s="4" t="s">
        <v>8</v>
      </c>
      <c r="B7" s="6" t="s">
        <v>5</v>
      </c>
    </row>
    <row r="8">
      <c r="A8" s="4" t="s">
        <v>9</v>
      </c>
      <c r="B8" s="6" t="s">
        <v>5</v>
      </c>
    </row>
  </sheetData>
  <mergeCells count="1">
    <mergeCell ref="A2:B2"/>
  </mergeCells>
  <dataValidations>
    <dataValidation type="list" allowBlank="1" showInputMessage="1" showErrorMessage="1" prompt="Click and enter a value from the list of items" sqref="B3">
      <formula1>"Constant MCRT (includes solids in clarifier),Constant SRT (excludes solids in clarifier),Constant MLSS,Constant F/M Ratio,Constant Yield"</formula1>
    </dataValidation>
  </dataValidations>
  <hyperlinks>
    <hyperlink display="Click here for calculator" location="WAS_MCRT!A1" ref="B4"/>
    <hyperlink display="Click here for calculator" location="null!A1" ref="B5"/>
    <hyperlink display="Click here for calculator" location="WAS_MLSS!A1" ref="B6"/>
    <hyperlink display="Click here for calculator" location="WAS_FM!A1" ref="B7"/>
    <hyperlink display="Click here for calculator" location="WAS_Yield!A1" ref="B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23.88"/>
    <col customWidth="1" min="3" max="4" width="22.38"/>
  </cols>
  <sheetData>
    <row r="1">
      <c r="A1" s="7" t="s">
        <v>10</v>
      </c>
      <c r="D1" s="8"/>
    </row>
    <row r="2" ht="41.25" customHeight="1">
      <c r="A2" s="9"/>
      <c r="D2" s="8"/>
    </row>
    <row r="3">
      <c r="A3" s="10" t="s">
        <v>11</v>
      </c>
      <c r="D3" s="8"/>
    </row>
    <row r="4">
      <c r="A4" s="11" t="s">
        <v>12</v>
      </c>
      <c r="D4" s="8"/>
    </row>
    <row r="5">
      <c r="A5" s="10" t="s">
        <v>13</v>
      </c>
      <c r="D5" s="8"/>
    </row>
    <row r="6">
      <c r="A6" s="10" t="s">
        <v>14</v>
      </c>
      <c r="D6" s="8"/>
    </row>
    <row r="7">
      <c r="A7" s="12" t="s">
        <v>15</v>
      </c>
      <c r="D7" s="8"/>
    </row>
    <row r="8">
      <c r="A8" s="12" t="s">
        <v>16</v>
      </c>
      <c r="D8" s="8"/>
    </row>
    <row r="9">
      <c r="A9" s="11" t="s">
        <v>17</v>
      </c>
      <c r="D9" s="8"/>
    </row>
    <row r="10">
      <c r="A10" s="10" t="s">
        <v>18</v>
      </c>
      <c r="D10" s="8"/>
    </row>
    <row r="11">
      <c r="A11" s="13"/>
      <c r="D11" s="8"/>
    </row>
    <row r="12">
      <c r="A12" s="14" t="s">
        <v>19</v>
      </c>
      <c r="D12" s="15"/>
    </row>
    <row r="13">
      <c r="A13" s="16" t="s">
        <v>20</v>
      </c>
      <c r="D13" s="8"/>
    </row>
    <row r="14">
      <c r="A14" s="10" t="s">
        <v>21</v>
      </c>
      <c r="B14" s="17">
        <v>3.0</v>
      </c>
      <c r="C14" s="10" t="s">
        <v>22</v>
      </c>
      <c r="D14" s="18"/>
    </row>
    <row r="15">
      <c r="A15" s="10" t="s">
        <v>23</v>
      </c>
      <c r="B15" s="17">
        <v>30.0</v>
      </c>
      <c r="C15" s="10" t="s">
        <v>24</v>
      </c>
      <c r="D15" s="18"/>
    </row>
    <row r="16">
      <c r="A16" s="16" t="s">
        <v>25</v>
      </c>
      <c r="D16" s="8"/>
    </row>
    <row r="17">
      <c r="A17" s="10" t="s">
        <v>26</v>
      </c>
      <c r="B17" s="19">
        <v>0.5</v>
      </c>
      <c r="C17" s="10" t="s">
        <v>27</v>
      </c>
      <c r="D17" s="20"/>
    </row>
    <row r="18">
      <c r="A18" s="10" t="s">
        <v>28</v>
      </c>
      <c r="B18" s="19">
        <v>0.35</v>
      </c>
      <c r="C18" s="10" t="s">
        <v>27</v>
      </c>
      <c r="D18" s="20"/>
    </row>
    <row r="19">
      <c r="A19" s="10" t="s">
        <v>29</v>
      </c>
      <c r="B19" s="17">
        <v>14.0</v>
      </c>
      <c r="C19" s="10" t="s">
        <v>30</v>
      </c>
      <c r="D19" s="20"/>
    </row>
    <row r="20">
      <c r="A20" s="16" t="s">
        <v>31</v>
      </c>
      <c r="D20" s="8"/>
    </row>
    <row r="21">
      <c r="A21" s="10" t="s">
        <v>32</v>
      </c>
      <c r="B21" s="21">
        <v>1.0</v>
      </c>
      <c r="C21" s="22" t="s">
        <v>33</v>
      </c>
      <c r="D21" s="20"/>
    </row>
    <row r="22">
      <c r="A22" s="11" t="s">
        <v>34</v>
      </c>
      <c r="B22" s="17">
        <v>95.0</v>
      </c>
      <c r="C22" s="10" t="s">
        <v>35</v>
      </c>
      <c r="D22" s="20"/>
    </row>
    <row r="23">
      <c r="A23" s="16" t="s">
        <v>36</v>
      </c>
      <c r="D23" s="8"/>
    </row>
    <row r="24">
      <c r="A24" s="10" t="s">
        <v>37</v>
      </c>
      <c r="B24" s="23">
        <v>3200.0</v>
      </c>
      <c r="C24" s="10" t="s">
        <v>24</v>
      </c>
      <c r="D24" s="20"/>
    </row>
    <row r="25">
      <c r="A25" s="10" t="s">
        <v>38</v>
      </c>
      <c r="B25" s="23">
        <v>9000.0</v>
      </c>
      <c r="C25" s="10" t="s">
        <v>24</v>
      </c>
      <c r="D25" s="20"/>
    </row>
    <row r="26">
      <c r="A26" s="16" t="s">
        <v>39</v>
      </c>
      <c r="D26" s="8"/>
    </row>
    <row r="27">
      <c r="A27" s="10" t="s">
        <v>40</v>
      </c>
      <c r="B27" s="17">
        <v>11.0</v>
      </c>
      <c r="C27" s="10" t="s">
        <v>30</v>
      </c>
      <c r="D27" s="20"/>
    </row>
    <row r="28">
      <c r="A28" s="10" t="s">
        <v>41</v>
      </c>
      <c r="B28" s="17">
        <v>20.0</v>
      </c>
      <c r="C28" s="10" t="s">
        <v>42</v>
      </c>
      <c r="D28" s="20"/>
    </row>
    <row r="29">
      <c r="D29" s="20"/>
    </row>
    <row r="30">
      <c r="A30" s="14" t="s">
        <v>43</v>
      </c>
      <c r="D30" s="24"/>
    </row>
    <row r="31">
      <c r="A31" s="10" t="s">
        <v>44</v>
      </c>
      <c r="B31" s="25">
        <f>IF(OR(B24="",B17=""),"",B24*B17*8.34)</f>
        <v>13344</v>
      </c>
      <c r="C31" s="26" t="s">
        <v>45</v>
      </c>
      <c r="D31" s="27"/>
    </row>
    <row r="32">
      <c r="A32" s="10" t="s">
        <v>46</v>
      </c>
      <c r="B32" s="25">
        <f>IF(OR(B24="",B18="",B19="",B27="",B25=""),"",AVERAGE(B24,B25)*B18*(B19-B27)*(1/B19)*8.34)</f>
        <v>3815.55</v>
      </c>
      <c r="C32" s="28" t="s">
        <v>45</v>
      </c>
      <c r="D32" s="27"/>
    </row>
    <row r="33">
      <c r="A33" s="10"/>
      <c r="B33" s="29"/>
      <c r="C33" s="30"/>
      <c r="D33" s="31"/>
    </row>
    <row r="34">
      <c r="A34" s="10"/>
      <c r="B34" s="29" t="s">
        <v>47</v>
      </c>
      <c r="C34" s="30" t="s">
        <v>48</v>
      </c>
      <c r="D34" s="31" t="s">
        <v>49</v>
      </c>
    </row>
    <row r="35">
      <c r="A35" s="10" t="s">
        <v>50</v>
      </c>
      <c r="B35" s="32">
        <f>IF(OR(B21="",B25="",B28="",B15="",B14="",B31="",B32=""),"",
(1/(B25*8.34))*(((B31+B32)/B14)-(B21*B15*8.34)))</f>
        <v>0.07287037037</v>
      </c>
      <c r="C35" s="33">
        <f>B35*(10^6)</f>
        <v>72870.37037</v>
      </c>
      <c r="D35" s="34">
        <f>IF(OR(C35="",B$28=""),"",C35/(24*B$28))</f>
        <v>151.8132716</v>
      </c>
    </row>
    <row r="36">
      <c r="A36" s="10" t="s">
        <v>51</v>
      </c>
      <c r="B36" s="35">
        <f>IF(C36="","",C36/(10^6))</f>
        <v>0.0456</v>
      </c>
      <c r="C36" s="36">
        <f>IF(OR(D36="",B28=""),"",D36*B28*24)</f>
        <v>45600</v>
      </c>
      <c r="D36" s="37">
        <f>IF(B22="","",B22)</f>
        <v>95</v>
      </c>
    </row>
    <row r="37">
      <c r="A37" s="10" t="s">
        <v>52</v>
      </c>
      <c r="B37" s="38">
        <f t="shared" ref="B37:D37" si="1">IF(OR(B35="",B36=""),"",B35-B36)</f>
        <v>0.02727037037</v>
      </c>
      <c r="C37" s="39">
        <f t="shared" si="1"/>
        <v>27270.37037</v>
      </c>
      <c r="D37" s="40">
        <f t="shared" si="1"/>
        <v>56.8132716</v>
      </c>
    </row>
    <row r="38">
      <c r="A38" s="10"/>
      <c r="B38" s="41"/>
      <c r="C38" s="42"/>
      <c r="D38" s="20"/>
    </row>
    <row r="39">
      <c r="A39" s="43" t="s">
        <v>53</v>
      </c>
      <c r="B39" s="44" t="s">
        <v>54</v>
      </c>
      <c r="C39" s="30" t="s">
        <v>55</v>
      </c>
      <c r="D39" s="31" t="s">
        <v>56</v>
      </c>
    </row>
    <row r="40">
      <c r="A40" s="45" t="s">
        <v>57</v>
      </c>
      <c r="B40" s="46">
        <f t="shared" ref="B40:D40" si="2">IF(B37="","",
IF(B37=0,"",
IF(ABS(B$37)&lt;0.125*B$36,B$37,0.125*B$36*B$37/ABS(B$37))))</f>
        <v>0.0057</v>
      </c>
      <c r="C40" s="47">
        <f t="shared" si="2"/>
        <v>5700</v>
      </c>
      <c r="D40" s="48">
        <f t="shared" si="2"/>
        <v>11.875</v>
      </c>
    </row>
    <row r="41">
      <c r="A41" s="45" t="s">
        <v>58</v>
      </c>
      <c r="B41" s="46">
        <f t="shared" ref="B41:D41" si="3">IF(B40="","",
IF(B$37-B40=0,"",
IF(ABS(B$37-B40)&lt;0.125*(B$36+B40),B$37-B40,
0.125*(B$36+B40)*B$37/ABS(B$37))))</f>
        <v>0.0064125</v>
      </c>
      <c r="C41" s="47">
        <f t="shared" si="3"/>
        <v>6412.5</v>
      </c>
      <c r="D41" s="48">
        <f t="shared" si="3"/>
        <v>13.359375</v>
      </c>
    </row>
    <row r="42">
      <c r="A42" s="45" t="s">
        <v>59</v>
      </c>
      <c r="B42" s="49">
        <f t="shared" ref="B42:D42" si="4">IF(B41="","",
IF(B$37-B40-B41=0,"",
IF(ABS(B$37-B40-B41)&lt;0.125*(B$36+B40+B41),B$37-B40-B41,
0.125*(B$36+B40+B41)*B$37/ABS(B$37))))</f>
        <v>0.0072140625</v>
      </c>
      <c r="C42" s="50">
        <f t="shared" si="4"/>
        <v>7214.0625</v>
      </c>
      <c r="D42" s="51">
        <f t="shared" si="4"/>
        <v>15.02929688</v>
      </c>
    </row>
    <row r="43">
      <c r="A43" s="45" t="s">
        <v>60</v>
      </c>
      <c r="B43" s="49">
        <f t="shared" ref="B43:D43" si="5">IF(B42="","",
IF(B$37-B40-B41-B42=0,"",
IF(ABS(B$37-B40-B41-B42)&lt;0.125*(B$36+B40+B41+B42),B$37-B40-B41-B42,
0.125*(B$36+B40+B41+B42)*B$37/ABS(B$37))))</f>
        <v>0.00794380787</v>
      </c>
      <c r="C43" s="50">
        <f t="shared" si="5"/>
        <v>7943.80787</v>
      </c>
      <c r="D43" s="51">
        <f t="shared" si="5"/>
        <v>16.54959973</v>
      </c>
    </row>
    <row r="44">
      <c r="A44" s="45" t="s">
        <v>61</v>
      </c>
      <c r="B44" s="49" t="str">
        <f t="shared" ref="B44:D44" si="6">IF(B43="","",
IF(B$37-B40-B41-B42-B43=0,"",
IF(ABS(B$37-B40-B41-B42-B43)&lt;0.125*(B$36+B40+B41+B42+B43),B$37-B40-B41-B42-B43,
0.125*(B$36+B40+B41+B42+B43)*B$37/ABS(B$37))))</f>
        <v/>
      </c>
      <c r="C44" s="50" t="str">
        <f t="shared" si="6"/>
        <v/>
      </c>
      <c r="D44" s="51" t="str">
        <f t="shared" si="6"/>
        <v/>
      </c>
    </row>
    <row r="45">
      <c r="A45" s="52" t="s">
        <v>62</v>
      </c>
      <c r="B45" s="49" t="str">
        <f t="shared" ref="B45:D45" si="7">IF(B44="","",
IF(B$37-B40-B41-B42-B43-B44=0,"",
IF(ABS(B$37-B40-B41-B42-B43-B44)&lt;0.125*(B$36+B40+B41+B42+B43+B44),B$37-B40-B41-B42-B43-B44,
0.125*(B$36+B40+B41+B42+B43+B44)*B$37/ABS(B$37))))</f>
        <v/>
      </c>
      <c r="C45" s="50" t="str">
        <f t="shared" si="7"/>
        <v/>
      </c>
      <c r="D45" s="51" t="str">
        <f t="shared" si="7"/>
        <v/>
      </c>
    </row>
    <row r="46">
      <c r="A46" s="52" t="s">
        <v>63</v>
      </c>
      <c r="B46" s="49" t="str">
        <f t="shared" ref="B46:D46" si="8">IF(B45="","",
IF(B$37-B40-B41-B42-B43-B44-B45=0,"",
IF(ABS(B$37-B40-B41-B42-B43-B44-B45)&lt;0.125*(B$36+B40+B41+B42+B43+B44+B45),B$37-B40-B41-B42-B43-B44-B45,
0.125*(B$36+B40+B41+B42+B43+B44+B45)*B$37/ABS(B$37))))</f>
        <v/>
      </c>
      <c r="C46" s="50" t="str">
        <f t="shared" si="8"/>
        <v/>
      </c>
      <c r="D46" s="51" t="str">
        <f t="shared" si="8"/>
        <v/>
      </c>
    </row>
    <row r="47">
      <c r="A47" s="52" t="s">
        <v>64</v>
      </c>
      <c r="B47" s="49" t="str">
        <f t="shared" ref="B47:D47" si="9">IF(B46="","",
IF(B$37-B40-B41-B42-B43-B44-B45-B46=0,"",
IF(ABS(B$37-B40-B41-B42-B43-B44-B45-B46)&lt;0.125*(B$36+B40+B41+B42+B43+B44+B45+B46),B$37-B40-B41-B42-B43-B44-B45-B46,
0.125*(B$36+B40+B41+B42+B43+B44+B45+B46)*B$37/ABS(B$37))))</f>
        <v/>
      </c>
      <c r="C47" s="50" t="str">
        <f t="shared" si="9"/>
        <v/>
      </c>
      <c r="D47" s="51" t="str">
        <f t="shared" si="9"/>
        <v/>
      </c>
    </row>
    <row r="48">
      <c r="A48" s="52" t="s">
        <v>65</v>
      </c>
      <c r="B48" s="49" t="str">
        <f t="shared" ref="B48:D48" si="10">IF(B47="","",
IF(B$37-B40-B41-B42-B43-B44-B45-B46-B47=0,"",
IF(ABS(B$37-B40-B41-B42-B43-B44-B45-B46-B47)&lt;0.125*(B$36+B40+B41+B42+B43+B44+B45+B46+B47),B$37-B40-B41-B42-B43-B44-B45-B46-B47,
0.125*(B$36+B40+B41+B42+B43+B44+B45+B46+B47)*B$37/ABS(B$37))))</f>
        <v/>
      </c>
      <c r="C48" s="50" t="str">
        <f t="shared" si="10"/>
        <v/>
      </c>
      <c r="D48" s="51" t="str">
        <f t="shared" si="10"/>
        <v/>
      </c>
    </row>
    <row r="49">
      <c r="A49" s="52" t="s">
        <v>66</v>
      </c>
      <c r="B49" s="49" t="str">
        <f t="shared" ref="B49:D49" si="11">IF(B48="","",
IF(B$37-B40-B41-B42-B43-B44-B45-B46-B47-B48=0,"",
IF(ABS(B$37-B40-B41-B42-B43-B44-B45-B46-B47-B48)&lt;0.125*(B$36+B40+B41+B42+B43+B44+B45+B46+B47+B48),B$37-B40-B41-B42-B43-B44-B45-B46-B47-B48,
0.125*(B$36+B40+B41+B42+B43+B44+B45+B46+B47+B48)*B$37/ABS(B$37))))</f>
        <v/>
      </c>
      <c r="C49" s="50" t="str">
        <f t="shared" si="11"/>
        <v/>
      </c>
      <c r="D49" s="51" t="str">
        <f t="shared" si="11"/>
        <v/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20:D20"/>
    <mergeCell ref="A23:D23"/>
    <mergeCell ref="A26:D26"/>
    <mergeCell ref="A8:D8"/>
    <mergeCell ref="A9:D9"/>
    <mergeCell ref="A10:D10"/>
    <mergeCell ref="A11:D11"/>
    <mergeCell ref="A12:C12"/>
    <mergeCell ref="A13:D13"/>
    <mergeCell ref="A16:D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88"/>
    <col customWidth="1" min="2" max="2" width="23.88"/>
    <col customWidth="1" min="3" max="4" width="22.38"/>
  </cols>
  <sheetData>
    <row r="1">
      <c r="A1" s="7" t="s">
        <v>67</v>
      </c>
      <c r="D1" s="53"/>
    </row>
    <row r="2" ht="41.25" customHeight="1">
      <c r="A2" s="54"/>
      <c r="D2" s="8"/>
    </row>
    <row r="3">
      <c r="A3" s="12" t="s">
        <v>11</v>
      </c>
      <c r="D3" s="8"/>
    </row>
    <row r="4">
      <c r="A4" s="11" t="s">
        <v>12</v>
      </c>
      <c r="D4" s="8"/>
    </row>
    <row r="5">
      <c r="A5" s="10" t="s">
        <v>13</v>
      </c>
      <c r="D5" s="8"/>
    </row>
    <row r="6">
      <c r="A6" s="12" t="s">
        <v>68</v>
      </c>
      <c r="D6" s="8"/>
    </row>
    <row r="7">
      <c r="A7" s="12" t="s">
        <v>69</v>
      </c>
      <c r="D7" s="8"/>
    </row>
    <row r="8">
      <c r="A8" s="12" t="s">
        <v>16</v>
      </c>
      <c r="D8" s="8"/>
    </row>
    <row r="9">
      <c r="A9" s="11" t="s">
        <v>17</v>
      </c>
      <c r="D9" s="8"/>
    </row>
    <row r="10">
      <c r="A10" s="10" t="s">
        <v>18</v>
      </c>
      <c r="D10" s="8"/>
    </row>
    <row r="11">
      <c r="A11" s="55"/>
      <c r="D11" s="8"/>
    </row>
    <row r="12">
      <c r="A12" s="56" t="s">
        <v>19</v>
      </c>
      <c r="D12" s="15"/>
    </row>
    <row r="13">
      <c r="A13" s="16" t="s">
        <v>20</v>
      </c>
      <c r="D13" s="8"/>
    </row>
    <row r="14">
      <c r="A14" s="12" t="s">
        <v>70</v>
      </c>
      <c r="B14" s="17">
        <v>3.0</v>
      </c>
      <c r="C14" s="10" t="s">
        <v>22</v>
      </c>
      <c r="D14" s="57"/>
    </row>
    <row r="15">
      <c r="A15" s="10" t="s">
        <v>23</v>
      </c>
      <c r="B15" s="17">
        <v>30.0</v>
      </c>
      <c r="C15" s="10" t="s">
        <v>24</v>
      </c>
      <c r="D15" s="57"/>
    </row>
    <row r="16">
      <c r="A16" s="58" t="s">
        <v>25</v>
      </c>
      <c r="D16" s="8"/>
    </row>
    <row r="17">
      <c r="A17" s="12" t="s">
        <v>26</v>
      </c>
      <c r="B17" s="19">
        <v>0.5</v>
      </c>
      <c r="C17" s="10" t="s">
        <v>27</v>
      </c>
      <c r="D17" s="20"/>
    </row>
    <row r="18">
      <c r="A18" s="12" t="s">
        <v>28</v>
      </c>
      <c r="B18" s="19">
        <v>0.35</v>
      </c>
      <c r="C18" s="10" t="s">
        <v>27</v>
      </c>
      <c r="D18" s="20"/>
    </row>
    <row r="19">
      <c r="A19" s="12" t="s">
        <v>29</v>
      </c>
      <c r="B19" s="17">
        <v>14.0</v>
      </c>
      <c r="C19" s="10" t="s">
        <v>30</v>
      </c>
      <c r="D19" s="20"/>
    </row>
    <row r="20">
      <c r="A20" s="58" t="s">
        <v>31</v>
      </c>
      <c r="D20" s="8"/>
    </row>
    <row r="21">
      <c r="A21" s="10" t="s">
        <v>32</v>
      </c>
      <c r="B21" s="17">
        <v>1.0</v>
      </c>
      <c r="C21" s="22" t="s">
        <v>33</v>
      </c>
      <c r="D21" s="20"/>
    </row>
    <row r="22">
      <c r="A22" s="11" t="s">
        <v>34</v>
      </c>
      <c r="B22" s="17">
        <v>95.0</v>
      </c>
      <c r="C22" s="22" t="s">
        <v>71</v>
      </c>
      <c r="D22" s="20"/>
    </row>
    <row r="23">
      <c r="A23" s="58" t="s">
        <v>36</v>
      </c>
      <c r="D23" s="8"/>
    </row>
    <row r="24">
      <c r="A24" s="12" t="s">
        <v>37</v>
      </c>
      <c r="B24" s="23">
        <v>3200.0</v>
      </c>
      <c r="C24" s="10" t="s">
        <v>24</v>
      </c>
      <c r="D24" s="20"/>
    </row>
    <row r="25">
      <c r="A25" s="12" t="s">
        <v>38</v>
      </c>
      <c r="B25" s="23">
        <v>9000.0</v>
      </c>
      <c r="C25" s="10" t="s">
        <v>24</v>
      </c>
      <c r="D25" s="20"/>
    </row>
    <row r="26">
      <c r="A26" s="58" t="s">
        <v>39</v>
      </c>
      <c r="D26" s="8"/>
    </row>
    <row r="27">
      <c r="A27" s="12" t="s">
        <v>40</v>
      </c>
      <c r="B27" s="17">
        <v>11.0</v>
      </c>
      <c r="C27" s="10" t="s">
        <v>30</v>
      </c>
      <c r="D27" s="20"/>
    </row>
    <row r="28">
      <c r="A28" s="10" t="s">
        <v>41</v>
      </c>
      <c r="B28" s="17">
        <v>20.0</v>
      </c>
      <c r="C28" s="10" t="s">
        <v>42</v>
      </c>
      <c r="D28" s="20"/>
    </row>
    <row r="29">
      <c r="A29" s="59"/>
      <c r="D29" s="20"/>
    </row>
    <row r="30">
      <c r="A30" s="56" t="s">
        <v>43</v>
      </c>
      <c r="D30" s="24"/>
    </row>
    <row r="31">
      <c r="A31" s="12" t="s">
        <v>44</v>
      </c>
      <c r="B31" s="25">
        <f>IF(OR(B24="",B17=""),"",B24*B17*8.34)</f>
        <v>13344</v>
      </c>
      <c r="C31" s="26" t="s">
        <v>45</v>
      </c>
      <c r="D31" s="27"/>
    </row>
    <row r="32">
      <c r="A32" s="12"/>
      <c r="B32" s="29"/>
      <c r="C32" s="30"/>
      <c r="D32" s="31"/>
    </row>
    <row r="33">
      <c r="A33" s="12"/>
      <c r="B33" s="29" t="s">
        <v>47</v>
      </c>
      <c r="C33" s="30" t="s">
        <v>48</v>
      </c>
      <c r="D33" s="31" t="s">
        <v>49</v>
      </c>
    </row>
    <row r="34">
      <c r="A34" s="10" t="s">
        <v>50</v>
      </c>
      <c r="B34" s="32">
        <f>IF(OR(B21="",B25="",B28="",B15="",B14="",B31=""),"",
(1/(B25*8.34))*((B31/B14)-(B21*B15*8.34)))</f>
        <v>0.05592592593</v>
      </c>
      <c r="C34" s="33">
        <f>B34*(10^6)</f>
        <v>55925.92593</v>
      </c>
      <c r="D34" s="34">
        <f>IF(OR(C34="",B$28=""),"",C34/(24*B$28))</f>
        <v>116.5123457</v>
      </c>
    </row>
    <row r="35">
      <c r="A35" s="10" t="s">
        <v>51</v>
      </c>
      <c r="B35" s="35">
        <f>IF(C35="","",C35/(10^6))</f>
        <v>0.0456</v>
      </c>
      <c r="C35" s="36">
        <f>IF(OR(D35="",B28=""),"",D35*B28*24)</f>
        <v>45600</v>
      </c>
      <c r="D35" s="37">
        <f>IF(B22="","",B22)</f>
        <v>95</v>
      </c>
    </row>
    <row r="36">
      <c r="A36" s="10" t="s">
        <v>52</v>
      </c>
      <c r="B36" s="38">
        <f t="shared" ref="B36:D36" si="1">IF(OR(B34="",B35=""),"",B34-B35)</f>
        <v>0.01032592593</v>
      </c>
      <c r="C36" s="39">
        <f t="shared" si="1"/>
        <v>10325.92593</v>
      </c>
      <c r="D36" s="40">
        <f t="shared" si="1"/>
        <v>21.51234568</v>
      </c>
    </row>
    <row r="37">
      <c r="A37" s="12"/>
      <c r="B37" s="41"/>
      <c r="C37" s="42"/>
      <c r="D37" s="20"/>
    </row>
    <row r="38">
      <c r="A38" s="43" t="s">
        <v>53</v>
      </c>
      <c r="B38" s="44" t="s">
        <v>54</v>
      </c>
      <c r="C38" s="30" t="s">
        <v>55</v>
      </c>
      <c r="D38" s="31" t="s">
        <v>56</v>
      </c>
    </row>
    <row r="39">
      <c r="A39" s="60" t="s">
        <v>57</v>
      </c>
      <c r="B39" s="46">
        <f t="shared" ref="B39:D39" si="2">IF(B36="","",
IF(B36=0,"",
IF(ABS(B$36)&lt;0.125*B$35,B$36,0.125*B$35*B$36/ABS(B$36))))</f>
        <v>0.0057</v>
      </c>
      <c r="C39" s="47">
        <f t="shared" si="2"/>
        <v>5700</v>
      </c>
      <c r="D39" s="48">
        <f t="shared" si="2"/>
        <v>11.875</v>
      </c>
    </row>
    <row r="40">
      <c r="A40" s="60" t="s">
        <v>58</v>
      </c>
      <c r="B40" s="46">
        <f t="shared" ref="B40:D40" si="3">IF(B39="","",
IF(B$36-B39=0,"",
IF(ABS(B$36-B39)&lt;0.125*(B$35+B39),B$36-B39,
0.125*(B$35+B39)*B$36/ABS(B$36))))</f>
        <v>0.004625925926</v>
      </c>
      <c r="C40" s="47">
        <f t="shared" si="3"/>
        <v>4625.925926</v>
      </c>
      <c r="D40" s="48">
        <f t="shared" si="3"/>
        <v>9.637345679</v>
      </c>
    </row>
    <row r="41">
      <c r="A41" s="60" t="s">
        <v>59</v>
      </c>
      <c r="B41" s="49" t="str">
        <f t="shared" ref="B41:D41" si="4">IF(B40="","",
IF(B$36-B39-B40=0,"",
IF(ABS(B$36-B39-B40)&lt;0.125*(B$35+B39+B40),B$36-B39-B40,
0.125*(B$35+B39+B40)*B$36/ABS(B$36))))</f>
        <v/>
      </c>
      <c r="C41" s="50" t="str">
        <f t="shared" si="4"/>
        <v/>
      </c>
      <c r="D41" s="51" t="str">
        <f t="shared" si="4"/>
        <v/>
      </c>
    </row>
    <row r="42">
      <c r="A42" s="60" t="s">
        <v>60</v>
      </c>
      <c r="B42" s="49" t="str">
        <f t="shared" ref="B42:D42" si="5">IF(B41="","",
IF(B$36-B39-B40-B41=0,"",
IF(ABS(B$36-B39-B40-B41)&lt;0.125*(B$35+B39+B40+B41),B$36-B39-B40-B41,
0.125*(B$35+B39+B40+B41)*B$36/ABS(B$36))))</f>
        <v/>
      </c>
      <c r="C42" s="50" t="str">
        <f t="shared" si="5"/>
        <v/>
      </c>
      <c r="D42" s="51" t="str">
        <f t="shared" si="5"/>
        <v/>
      </c>
    </row>
    <row r="43">
      <c r="A43" s="60" t="s">
        <v>61</v>
      </c>
      <c r="B43" s="49" t="str">
        <f t="shared" ref="B43:D43" si="6">IF(B42="","",
IF(B$36-B39-B40-B41-B42=0,"",
IF(ABS(B$36-B39-B40-B41-B42)&lt;0.125*(B$35+B39+B40+B41+B42),B$36-B39-B40-B41-B42,
0.125*(B$35+B39+B40+B41+B42)*B$36/ABS(B$36))))</f>
        <v/>
      </c>
      <c r="C43" s="50" t="str">
        <f t="shared" si="6"/>
        <v/>
      </c>
      <c r="D43" s="51" t="str">
        <f t="shared" si="6"/>
        <v/>
      </c>
    </row>
    <row r="44">
      <c r="A44" s="61" t="s">
        <v>62</v>
      </c>
      <c r="B44" s="49" t="str">
        <f t="shared" ref="B44:D44" si="7">IF(B43="","",
IF(B$36-B39-B40-B41-B42-B43=0,"",
IF(ABS(B$36-B39-B40-B41-B42-B43)&lt;0.125*(B$35+B39+B40+B41+B42+B43),B$36-B39-B40-B41-B42-B43,
0.125*(B$35+B39+B40+B41+B42+B43)*B$36/ABS(B$36))))</f>
        <v/>
      </c>
      <c r="C44" s="50" t="str">
        <f t="shared" si="7"/>
        <v/>
      </c>
      <c r="D44" s="51" t="str">
        <f t="shared" si="7"/>
        <v/>
      </c>
    </row>
    <row r="45">
      <c r="A45" s="61" t="s">
        <v>63</v>
      </c>
      <c r="B45" s="49" t="str">
        <f t="shared" ref="B45:D45" si="8">IF(B44="","",
IF(B$36-B39-B40-B41-B42-B43-B44=0,"",
IF(ABS(B$36-B39-B40-B41-B42-B43-B44)&lt;0.125*(B$35+B39+B40+B41+B42+B43+B44),B$36-B39-B40-B41-B42-B43-B44,
0.125*(B$35+B39+B40+B41+B42+B43+B44)*B$36/ABS(B$36))))</f>
        <v/>
      </c>
      <c r="C45" s="50" t="str">
        <f t="shared" si="8"/>
        <v/>
      </c>
      <c r="D45" s="51" t="str">
        <f t="shared" si="8"/>
        <v/>
      </c>
    </row>
    <row r="46">
      <c r="A46" s="61" t="s">
        <v>64</v>
      </c>
      <c r="B46" s="49" t="str">
        <f t="shared" ref="B46:D46" si="9">IF(B45="","",
IF(B$36-B39-B40-B41-B42-B43-B44-B45=0,"",
IF(ABS(B$36-B39-B40-B41-B42-B43-B44-B45)&lt;0.125*(B$35+B39+B40+B41+B42+B43+B44+B45),B$36-B39-B40-B41-B42-B43-B44-B45,
0.125*(B$35+B39+B40+B41+B42+B43+B44+B45)*B$36/ABS(B$36))))</f>
        <v/>
      </c>
      <c r="C46" s="50" t="str">
        <f t="shared" si="9"/>
        <v/>
      </c>
      <c r="D46" s="51" t="str">
        <f t="shared" si="9"/>
        <v/>
      </c>
    </row>
    <row r="47">
      <c r="A47" s="61" t="s">
        <v>65</v>
      </c>
      <c r="B47" s="49" t="str">
        <f t="shared" ref="B47:D47" si="10">IF(B46="","",
IF(B$36-B39-B40-B41-B42-B43-B44-B45-B46=0,"",
IF(ABS(B$36-B39-B40-B41-B42-B43-B44-B45-B46)&lt;0.125*(B$35+B39+B40+B41+B42+B43+B44+B45+B46),B$36-B39-B40-B41-B42-B43-B44-B45-B46,
0.125*(B$35+B39+B40+B41+B42+B43+B44+B45+B46)*B$36/ABS(B$36))))</f>
        <v/>
      </c>
      <c r="C47" s="50" t="str">
        <f t="shared" si="10"/>
        <v/>
      </c>
      <c r="D47" s="51" t="str">
        <f t="shared" si="10"/>
        <v/>
      </c>
    </row>
    <row r="48">
      <c r="A48" s="61" t="s">
        <v>66</v>
      </c>
      <c r="B48" s="49" t="str">
        <f t="shared" ref="B48:D48" si="11">IF(B47="","",
IF(B$36-B39-B40-B41-B42-B43-B44-B45-B46-B47=0,"",
IF(ABS(B$36-B39-B40-B41-B42-B43-B44-B45-B46-B47)&lt;0.125*(B$35+B39+B40+B41+B42+B43+B44+B45+B46+B47),B$36-B39-B40-B41-B42-B43-B44-B45-B46-B47,
0.125*(B$35+B39+B40+B41+B42+B43+B44+B45+B46+B47)*B$36/ABS(B$36))))</f>
        <v/>
      </c>
      <c r="C48" s="50" t="str">
        <f t="shared" si="11"/>
        <v/>
      </c>
      <c r="D48" s="51" t="str">
        <f t="shared" si="11"/>
        <v/>
      </c>
    </row>
  </sheetData>
  <mergeCells count="17">
    <mergeCell ref="A1:C1"/>
    <mergeCell ref="A2:D2"/>
    <mergeCell ref="A3:D3"/>
    <mergeCell ref="A4:D4"/>
    <mergeCell ref="A5:D5"/>
    <mergeCell ref="A6:D6"/>
    <mergeCell ref="A7:D7"/>
    <mergeCell ref="A20:D20"/>
    <mergeCell ref="A23:D23"/>
    <mergeCell ref="A26:D26"/>
    <mergeCell ref="A8:D8"/>
    <mergeCell ref="A9:D9"/>
    <mergeCell ref="A10:D10"/>
    <mergeCell ref="A11:D11"/>
    <mergeCell ref="A12:C12"/>
    <mergeCell ref="A13:D13"/>
    <mergeCell ref="A16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23.88"/>
    <col customWidth="1" min="3" max="3" width="22.38"/>
    <col customWidth="1" min="4" max="4" width="38.38"/>
  </cols>
  <sheetData>
    <row r="1">
      <c r="A1" s="7" t="s">
        <v>72</v>
      </c>
      <c r="D1" s="8"/>
    </row>
    <row r="2" ht="41.25" customHeight="1">
      <c r="A2" s="9"/>
      <c r="D2" s="8"/>
    </row>
    <row r="3">
      <c r="A3" s="10" t="s">
        <v>11</v>
      </c>
      <c r="D3" s="8"/>
    </row>
    <row r="4">
      <c r="A4" s="11" t="s">
        <v>12</v>
      </c>
      <c r="D4" s="8"/>
    </row>
    <row r="5">
      <c r="A5" s="10" t="s">
        <v>73</v>
      </c>
      <c r="D5" s="8"/>
    </row>
    <row r="6">
      <c r="A6" s="10" t="s">
        <v>13</v>
      </c>
      <c r="D6" s="8"/>
    </row>
    <row r="7">
      <c r="A7" s="10" t="s">
        <v>74</v>
      </c>
      <c r="D7" s="8"/>
    </row>
    <row r="8">
      <c r="A8" s="10" t="s">
        <v>75</v>
      </c>
      <c r="D8" s="8"/>
    </row>
    <row r="9">
      <c r="A9" s="10" t="s">
        <v>18</v>
      </c>
      <c r="D9" s="8"/>
    </row>
    <row r="10">
      <c r="A10" s="13"/>
      <c r="D10" s="8"/>
    </row>
    <row r="11">
      <c r="A11" s="14" t="s">
        <v>19</v>
      </c>
      <c r="D11" s="8"/>
    </row>
    <row r="12">
      <c r="A12" s="16" t="s">
        <v>20</v>
      </c>
      <c r="D12" s="8"/>
    </row>
    <row r="13">
      <c r="A13" s="10" t="s">
        <v>76</v>
      </c>
      <c r="B13" s="17">
        <v>2400.0</v>
      </c>
      <c r="C13" s="10" t="s">
        <v>24</v>
      </c>
      <c r="D13" s="20"/>
    </row>
    <row r="14">
      <c r="A14" s="58" t="s">
        <v>25</v>
      </c>
      <c r="D14" s="8"/>
    </row>
    <row r="15">
      <c r="A15" s="10" t="s">
        <v>26</v>
      </c>
      <c r="B15" s="19">
        <v>0.5</v>
      </c>
      <c r="C15" s="10" t="s">
        <v>27</v>
      </c>
      <c r="D15" s="20"/>
    </row>
    <row r="16">
      <c r="A16" s="10" t="s">
        <v>28</v>
      </c>
      <c r="B16" s="19">
        <v>0.35</v>
      </c>
      <c r="C16" s="10" t="s">
        <v>27</v>
      </c>
      <c r="D16" s="20"/>
    </row>
    <row r="17">
      <c r="A17" s="10" t="s">
        <v>77</v>
      </c>
      <c r="B17" s="17">
        <v>14.0</v>
      </c>
      <c r="C17" s="10" t="s">
        <v>30</v>
      </c>
      <c r="D17" s="20"/>
    </row>
    <row r="18">
      <c r="A18" s="58" t="s">
        <v>31</v>
      </c>
      <c r="D18" s="8"/>
    </row>
    <row r="19">
      <c r="A19" s="11" t="s">
        <v>34</v>
      </c>
      <c r="B19" s="17">
        <v>95.0</v>
      </c>
      <c r="C19" s="10" t="s">
        <v>71</v>
      </c>
      <c r="D19" s="20"/>
    </row>
    <row r="20">
      <c r="A20" s="58" t="s">
        <v>36</v>
      </c>
      <c r="D20" s="8"/>
    </row>
    <row r="21">
      <c r="A21" s="12" t="s">
        <v>37</v>
      </c>
      <c r="B21" s="17">
        <v>2000.0</v>
      </c>
      <c r="C21" s="10" t="s">
        <v>24</v>
      </c>
      <c r="D21" s="20"/>
    </row>
    <row r="22">
      <c r="A22" s="12" t="s">
        <v>38</v>
      </c>
      <c r="B22" s="23">
        <v>9000.0</v>
      </c>
      <c r="C22" s="10" t="s">
        <v>24</v>
      </c>
      <c r="D22" s="20"/>
    </row>
    <row r="23">
      <c r="A23" s="58" t="s">
        <v>39</v>
      </c>
      <c r="D23" s="8"/>
    </row>
    <row r="24">
      <c r="A24" s="12" t="s">
        <v>40</v>
      </c>
      <c r="B24" s="17">
        <v>11.0</v>
      </c>
      <c r="C24" s="10" t="s">
        <v>30</v>
      </c>
      <c r="D24" s="20"/>
    </row>
    <row r="25">
      <c r="A25" s="10" t="s">
        <v>41</v>
      </c>
      <c r="B25" s="17">
        <v>40.0</v>
      </c>
      <c r="C25" s="10" t="s">
        <v>42</v>
      </c>
      <c r="D25" s="20"/>
    </row>
    <row r="26">
      <c r="A26" s="10"/>
      <c r="B26" s="28"/>
      <c r="C26" s="10"/>
      <c r="D26" s="20"/>
    </row>
    <row r="27">
      <c r="A27" s="14" t="s">
        <v>43</v>
      </c>
      <c r="B27" s="62" t="s">
        <v>78</v>
      </c>
      <c r="C27" s="62" t="s">
        <v>79</v>
      </c>
      <c r="D27" s="63" t="s">
        <v>80</v>
      </c>
    </row>
    <row r="28">
      <c r="A28" s="10" t="s">
        <v>81</v>
      </c>
      <c r="B28" s="25">
        <f>B21*B15*8.34</f>
        <v>8340</v>
      </c>
      <c r="C28" s="25">
        <f>AVERAGE(B21,B22)*((B17-B24)/B17)*B16*8.34</f>
        <v>3440.25</v>
      </c>
      <c r="D28" s="64">
        <f t="shared" ref="D28:D29" si="1">SUM(B28,C28)</f>
        <v>11780.25</v>
      </c>
    </row>
    <row r="29">
      <c r="A29" s="10" t="s">
        <v>82</v>
      </c>
      <c r="B29" s="25">
        <f>B13*B15*8.34</f>
        <v>10008</v>
      </c>
      <c r="C29" s="25">
        <f>AVERAGE(B13,B22)*((B17-B24)/B17)*B16*8.34</f>
        <v>3565.35</v>
      </c>
      <c r="D29" s="64">
        <f t="shared" si="1"/>
        <v>13573.35</v>
      </c>
    </row>
    <row r="30">
      <c r="A30" s="10" t="s">
        <v>83</v>
      </c>
      <c r="B30" s="39">
        <f t="shared" ref="B30:D30" si="2">B28-B29</f>
        <v>-1668</v>
      </c>
      <c r="C30" s="39">
        <f t="shared" si="2"/>
        <v>-125.1</v>
      </c>
      <c r="D30" s="65">
        <f t="shared" si="2"/>
        <v>-1793.1</v>
      </c>
    </row>
    <row r="31">
      <c r="A31" s="10"/>
      <c r="B31" s="29"/>
      <c r="C31" s="30"/>
      <c r="D31" s="31"/>
    </row>
    <row r="32">
      <c r="A32" s="10"/>
      <c r="B32" s="29" t="s">
        <v>47</v>
      </c>
      <c r="C32" s="30" t="s">
        <v>48</v>
      </c>
      <c r="D32" s="31" t="s">
        <v>49</v>
      </c>
    </row>
    <row r="33">
      <c r="A33" s="10" t="s">
        <v>50</v>
      </c>
      <c r="B33" s="35">
        <f t="shared" ref="B33:B34" si="3">C33*(10^-6)</f>
        <v>0.06731111111</v>
      </c>
      <c r="C33" s="36">
        <f t="shared" ref="C33:C34" si="4">D33*$B$25*24</f>
        <v>67311.11111</v>
      </c>
      <c r="D33" s="34">
        <f>B19+(D30/(B22*B25*24*8.34*(10^-6)))</f>
        <v>70.11574074</v>
      </c>
    </row>
    <row r="34">
      <c r="A34" s="10" t="s">
        <v>51</v>
      </c>
      <c r="B34" s="35">
        <f t="shared" si="3"/>
        <v>0.0912</v>
      </c>
      <c r="C34" s="36">
        <f t="shared" si="4"/>
        <v>91200</v>
      </c>
      <c r="D34" s="34">
        <f>IF(B19="","",B19)</f>
        <v>95</v>
      </c>
    </row>
    <row r="35">
      <c r="A35" s="10" t="s">
        <v>52</v>
      </c>
      <c r="B35" s="66">
        <f t="shared" ref="B35:D35" si="5">B33-B34</f>
        <v>-0.02388888889</v>
      </c>
      <c r="C35" s="67">
        <f t="shared" si="5"/>
        <v>-23888.88889</v>
      </c>
      <c r="D35" s="40">
        <f t="shared" si="5"/>
        <v>-24.88425926</v>
      </c>
    </row>
    <row r="36">
      <c r="A36" s="10"/>
      <c r="B36" s="41"/>
      <c r="C36" s="42"/>
      <c r="D36" s="20"/>
    </row>
    <row r="37">
      <c r="A37" s="43" t="s">
        <v>53</v>
      </c>
      <c r="B37" s="44" t="s">
        <v>54</v>
      </c>
      <c r="C37" s="30" t="s">
        <v>55</v>
      </c>
      <c r="D37" s="31" t="s">
        <v>56</v>
      </c>
    </row>
    <row r="38">
      <c r="A38" s="45" t="s">
        <v>57</v>
      </c>
      <c r="B38" s="46">
        <f t="shared" ref="B38:D38" si="6">IF(B35="","",
IF(B35=0,"",
IF(ABS(B$35)&lt;0.125*B$34,B$35,0.125*B$34*B$35/ABS(B$35))))</f>
        <v>-0.0114</v>
      </c>
      <c r="C38" s="47">
        <f t="shared" si="6"/>
        <v>-11400</v>
      </c>
      <c r="D38" s="48">
        <f t="shared" si="6"/>
        <v>-11.875</v>
      </c>
    </row>
    <row r="39">
      <c r="A39" s="45" t="s">
        <v>58</v>
      </c>
      <c r="B39" s="46">
        <f t="shared" ref="B39:D39" si="7">IF(B38="","",
IF(B$35-B38=0,"",
IF(ABS(B$35-B38)&lt;0.125*(B$34+B38),B$35-B38,
0.125*(B$34+B38)*B$35/ABS(B$35))))</f>
        <v>-0.009975</v>
      </c>
      <c r="C39" s="47">
        <f t="shared" si="7"/>
        <v>-9975</v>
      </c>
      <c r="D39" s="48">
        <f t="shared" si="7"/>
        <v>-10.390625</v>
      </c>
    </row>
    <row r="40">
      <c r="A40" s="45" t="s">
        <v>59</v>
      </c>
      <c r="B40" s="49">
        <f t="shared" ref="B40:D40" si="8">IF(B39="","",
IF(B$35-B38-B39=0,"",
IF(ABS(B$35-B38-B39)&lt;0.125*(B$34+B38+B39),B$35-B38-B39,
0.125*(B$34+B38+B39)*B$35/ABS(B$35))))</f>
        <v>-0.002513888889</v>
      </c>
      <c r="C40" s="50">
        <f t="shared" si="8"/>
        <v>-2513.888889</v>
      </c>
      <c r="D40" s="51">
        <f t="shared" si="8"/>
        <v>-2.618634259</v>
      </c>
    </row>
    <row r="41">
      <c r="A41" s="45" t="s">
        <v>60</v>
      </c>
      <c r="B41" s="49" t="str">
        <f t="shared" ref="B41:D41" si="9">IF(B40="","",
IF(B$35-B38-B39-B40=0,"",
IF(ABS(B$35-B38-B39-B40)&lt;0.125*(B$34+B38+B39+B40),B$35-B38-B39-B40,
0.125*(B$34+B38+B39+B40)*B$35/ABS(B$35))))</f>
        <v/>
      </c>
      <c r="C41" s="50" t="str">
        <f t="shared" si="9"/>
        <v/>
      </c>
      <c r="D41" s="51" t="str">
        <f t="shared" si="9"/>
        <v/>
      </c>
    </row>
    <row r="42">
      <c r="A42" s="45" t="s">
        <v>61</v>
      </c>
      <c r="B42" s="49" t="str">
        <f t="shared" ref="B42:D42" si="10">IF(B41="","",
IF(B$35-B38-B39-B40-B41=0,"",
IF(ABS(B$35-B38-B39-B40-B41)&lt;0.125*(B$34+B38+B39+B40+B41),B$35-B38-B39-B40-B41,
0.125*(B$34+B38+B39+B40+B41)*B$35/ABS(B$35))))</f>
        <v/>
      </c>
      <c r="C42" s="50" t="str">
        <f t="shared" si="10"/>
        <v/>
      </c>
      <c r="D42" s="51" t="str">
        <f t="shared" si="10"/>
        <v/>
      </c>
    </row>
    <row r="43">
      <c r="A43" s="52" t="s">
        <v>62</v>
      </c>
      <c r="B43" s="49" t="str">
        <f t="shared" ref="B43:D43" si="11">IF(B42="","",
IF(B$35-B38-B39-B40-B41-B42=0,"",
IF(ABS(B$35-B38-B39-B40-B41-B42)&lt;0.125*(B$34+B38+B39+B40+B41+B42),B$35-B38-B39-B40-B41-B42,
0.125*(B$34+B38+B39+B40+B41+B42)*B$35/ABS(B$35))))</f>
        <v/>
      </c>
      <c r="C43" s="50" t="str">
        <f t="shared" si="11"/>
        <v/>
      </c>
      <c r="D43" s="51" t="str">
        <f t="shared" si="11"/>
        <v/>
      </c>
    </row>
    <row r="44">
      <c r="A44" s="52" t="s">
        <v>63</v>
      </c>
      <c r="B44" s="49" t="str">
        <f t="shared" ref="B44:D44" si="12">IF(B43="","",
IF(B$35-B38-B39-B40-B41-B42-B43=0,"",
IF(ABS(B$35-B38-B39-B40-B41-B42-B43)&lt;0.125*(B$34+B38+B39+B40+B41+B42+B43),B$35-B38-B39-B40-B41-B42-B43,
0.125*(B$34+B38+B39+B40+B41+B42+B43)*B$35/ABS(B$35))))</f>
        <v/>
      </c>
      <c r="C44" s="50" t="str">
        <f t="shared" si="12"/>
        <v/>
      </c>
      <c r="D44" s="51" t="str">
        <f t="shared" si="12"/>
        <v/>
      </c>
    </row>
    <row r="45">
      <c r="A45" s="52" t="s">
        <v>64</v>
      </c>
      <c r="B45" s="49" t="str">
        <f t="shared" ref="B45:D45" si="13">IF(B44="","",
IF(B$35-B38-B39-B40-B41-B42-B43-B44=0,"",
IF(ABS(B$35-B38-B39-B40-B41-B42-B43-B44)&lt;0.125*(B$34+B38+B39+B40+B41+B42+B43+B44),B$35-B38-B39-B40-B41-B42-B43-B44,
0.125*(B$34+B38+B39+B40+B41+B42+B43+B44)*B$35/ABS(B$35))))</f>
        <v/>
      </c>
      <c r="C45" s="50" t="str">
        <f t="shared" si="13"/>
        <v/>
      </c>
      <c r="D45" s="51" t="str">
        <f t="shared" si="13"/>
        <v/>
      </c>
    </row>
    <row r="46">
      <c r="A46" s="52" t="s">
        <v>65</v>
      </c>
      <c r="B46" s="49" t="str">
        <f t="shared" ref="B46:D46" si="14">IF(B45="","",
IF(B$35-B38-B39-B40-B41-B42-B43-B44-B45=0,"",
IF(ABS(B$35-B38-B39-B40-B41-B42-B43-B44-B45)&lt;0.125*(B$34+B38+B39+B40+B41+B42+B43+B44+B45),B$35-B38-B39-B40-B41-B42-B43-B44-B45,
0.125*(B$34+B38+B39+B40+B41+B42+B43+B44+B45)*B$35/ABS(B$35))))</f>
        <v/>
      </c>
      <c r="C46" s="50" t="str">
        <f t="shared" si="14"/>
        <v/>
      </c>
      <c r="D46" s="51" t="str">
        <f t="shared" si="14"/>
        <v/>
      </c>
    </row>
    <row r="47">
      <c r="A47" s="52" t="s">
        <v>66</v>
      </c>
      <c r="B47" s="49" t="str">
        <f t="shared" ref="B47:D47" si="15">IF(B46="","",
IF(B$35-B38-B39-B40-B41-B42-B43-B44-B45-B46=0,"",
IF(ABS(B$35-B38-B39-B40-B41-B42-B43-B44-B45-B46)&lt;0.125*(B$34+B38+B39+B40+B41+B42+B43+B44+B45+B46),B$35-B38-B39-B40-B41-B42-B43-B44-B45-B46,
0.125*(B$34+B38+B39+B40+B41+B42+B43+B44+B45+B46)*B$35/ABS(B$35))))</f>
        <v/>
      </c>
      <c r="C47" s="50" t="str">
        <f t="shared" si="15"/>
        <v/>
      </c>
      <c r="D47" s="51" t="str">
        <f t="shared" si="15"/>
        <v/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20:D20"/>
    <mergeCell ref="A23:D23"/>
    <mergeCell ref="A8:D8"/>
    <mergeCell ref="A9:D9"/>
    <mergeCell ref="A10:D10"/>
    <mergeCell ref="A11:D11"/>
    <mergeCell ref="A12:D12"/>
    <mergeCell ref="A14:D14"/>
    <mergeCell ref="A18:D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88"/>
    <col customWidth="1" min="2" max="2" width="23.88"/>
    <col customWidth="1" min="3" max="4" width="22.38"/>
  </cols>
  <sheetData>
    <row r="1">
      <c r="A1" s="7" t="s">
        <v>84</v>
      </c>
      <c r="D1" s="8"/>
    </row>
    <row r="2" ht="56.25" customHeight="1">
      <c r="A2" s="9"/>
      <c r="D2" s="8"/>
    </row>
    <row r="3">
      <c r="A3" s="10" t="s">
        <v>11</v>
      </c>
      <c r="D3" s="8"/>
    </row>
    <row r="4">
      <c r="A4" s="11" t="s">
        <v>12</v>
      </c>
      <c r="D4" s="8"/>
    </row>
    <row r="5">
      <c r="A5" s="10" t="s">
        <v>73</v>
      </c>
      <c r="D5" s="8"/>
    </row>
    <row r="6">
      <c r="A6" s="10" t="s">
        <v>85</v>
      </c>
      <c r="D6" s="8"/>
    </row>
    <row r="7">
      <c r="A7" s="10" t="s">
        <v>86</v>
      </c>
      <c r="D7" s="8"/>
    </row>
    <row r="8">
      <c r="A8" s="10" t="s">
        <v>87</v>
      </c>
      <c r="D8" s="8"/>
    </row>
    <row r="9">
      <c r="A9" s="10" t="s">
        <v>88</v>
      </c>
      <c r="D9" s="8"/>
    </row>
    <row r="10">
      <c r="A10" s="10" t="s">
        <v>13</v>
      </c>
      <c r="D10" s="8"/>
    </row>
    <row r="11">
      <c r="A11" s="10" t="s">
        <v>18</v>
      </c>
      <c r="D11" s="8"/>
    </row>
    <row r="12">
      <c r="A12" s="13"/>
      <c r="D12" s="8"/>
    </row>
    <row r="13">
      <c r="A13" s="14" t="s">
        <v>19</v>
      </c>
      <c r="D13" s="8"/>
    </row>
    <row r="14">
      <c r="A14" s="16" t="s">
        <v>20</v>
      </c>
      <c r="D14" s="8"/>
    </row>
    <row r="15">
      <c r="A15" s="10" t="s">
        <v>89</v>
      </c>
      <c r="B15" s="21">
        <v>0.4</v>
      </c>
      <c r="C15" s="10"/>
      <c r="D15" s="20"/>
    </row>
    <row r="16">
      <c r="A16" s="58" t="s">
        <v>25</v>
      </c>
      <c r="D16" s="8"/>
    </row>
    <row r="17">
      <c r="A17" s="10" t="s">
        <v>26</v>
      </c>
      <c r="B17" s="19">
        <v>0.5</v>
      </c>
      <c r="C17" s="10" t="s">
        <v>27</v>
      </c>
      <c r="D17" s="20"/>
    </row>
    <row r="18">
      <c r="A18" s="58" t="s">
        <v>31</v>
      </c>
      <c r="D18" s="8"/>
    </row>
    <row r="19">
      <c r="A19" s="11" t="s">
        <v>90</v>
      </c>
      <c r="B19" s="21">
        <v>1.0</v>
      </c>
      <c r="C19" s="10" t="s">
        <v>33</v>
      </c>
      <c r="D19" s="20"/>
    </row>
    <row r="20">
      <c r="A20" s="11" t="s">
        <v>34</v>
      </c>
      <c r="B20" s="17">
        <v>95.0</v>
      </c>
      <c r="C20" s="22" t="s">
        <v>71</v>
      </c>
      <c r="D20" s="20"/>
    </row>
    <row r="21">
      <c r="A21" s="58" t="s">
        <v>36</v>
      </c>
      <c r="D21" s="8"/>
    </row>
    <row r="22">
      <c r="A22" s="10" t="s">
        <v>91</v>
      </c>
      <c r="B22" s="17">
        <v>250.0</v>
      </c>
      <c r="C22" s="10" t="s">
        <v>24</v>
      </c>
      <c r="D22" s="20"/>
    </row>
    <row r="23">
      <c r="A23" s="10" t="s">
        <v>92</v>
      </c>
      <c r="B23" s="17">
        <v>2400.0</v>
      </c>
      <c r="C23" s="10" t="s">
        <v>24</v>
      </c>
      <c r="D23" s="20"/>
    </row>
    <row r="24">
      <c r="A24" s="10" t="s">
        <v>38</v>
      </c>
      <c r="B24" s="23">
        <v>9000.0</v>
      </c>
      <c r="C24" s="10" t="s">
        <v>24</v>
      </c>
      <c r="D24" s="20"/>
    </row>
    <row r="25">
      <c r="A25" s="58" t="s">
        <v>39</v>
      </c>
      <c r="D25" s="8"/>
    </row>
    <row r="26">
      <c r="A26" s="10" t="s">
        <v>41</v>
      </c>
      <c r="B26" s="17">
        <v>40.0</v>
      </c>
      <c r="C26" s="10" t="s">
        <v>42</v>
      </c>
      <c r="D26" s="20"/>
    </row>
    <row r="27">
      <c r="D27" s="20"/>
    </row>
    <row r="28">
      <c r="A28" s="14" t="s">
        <v>43</v>
      </c>
      <c r="B28" s="62"/>
      <c r="C28" s="62"/>
      <c r="D28" s="63"/>
    </row>
    <row r="29">
      <c r="A29" s="10" t="s">
        <v>93</v>
      </c>
      <c r="B29" s="68">
        <f>IF(OR(B19="",B22="",B23="",B17=""),"",B19*B22/(B23*B17))</f>
        <v>0.2083333333</v>
      </c>
      <c r="C29" s="69"/>
      <c r="D29" s="27"/>
    </row>
    <row r="30">
      <c r="A30" s="10" t="s">
        <v>89</v>
      </c>
      <c r="B30" s="68">
        <f>IF(B15="","",B15)</f>
        <v>0.4</v>
      </c>
      <c r="C30" s="69"/>
      <c r="D30" s="27"/>
    </row>
    <row r="31">
      <c r="A31" s="10"/>
      <c r="B31" s="29"/>
      <c r="C31" s="30"/>
      <c r="D31" s="31"/>
    </row>
    <row r="32">
      <c r="A32" s="10"/>
      <c r="B32" s="29" t="s">
        <v>47</v>
      </c>
      <c r="C32" s="30" t="s">
        <v>48</v>
      </c>
      <c r="D32" s="31" t="s">
        <v>49</v>
      </c>
    </row>
    <row r="33">
      <c r="A33" s="10" t="s">
        <v>50</v>
      </c>
      <c r="B33" s="35">
        <f t="shared" ref="B33:B34" si="1">C33*(10^-6)</f>
        <v>0.1550888889</v>
      </c>
      <c r="C33" s="36">
        <f t="shared" ref="C33:C34" si="2">D33*$B$26*24</f>
        <v>155088.8889</v>
      </c>
      <c r="D33" s="34">
        <f>B20+(B19*B22*((1/B29)-(1/B30))/(B24*B26*24*(10^-6)))</f>
        <v>161.5509259</v>
      </c>
    </row>
    <row r="34">
      <c r="A34" s="10" t="s">
        <v>51</v>
      </c>
      <c r="B34" s="35">
        <f t="shared" si="1"/>
        <v>0.0912</v>
      </c>
      <c r="C34" s="36">
        <f t="shared" si="2"/>
        <v>91200</v>
      </c>
      <c r="D34" s="34">
        <f>B20</f>
        <v>95</v>
      </c>
    </row>
    <row r="35">
      <c r="A35" s="10" t="s">
        <v>52</v>
      </c>
      <c r="B35" s="38">
        <f t="shared" ref="B35:D35" si="3">B33-B34</f>
        <v>0.06388888889</v>
      </c>
      <c r="C35" s="67">
        <f t="shared" si="3"/>
        <v>63888.88889</v>
      </c>
      <c r="D35" s="40">
        <f t="shared" si="3"/>
        <v>66.55092593</v>
      </c>
    </row>
    <row r="36">
      <c r="A36" s="10"/>
      <c r="B36" s="41"/>
      <c r="C36" s="42"/>
      <c r="D36" s="20"/>
    </row>
    <row r="37">
      <c r="A37" s="43" t="s">
        <v>53</v>
      </c>
      <c r="B37" s="44" t="s">
        <v>54</v>
      </c>
      <c r="C37" s="30" t="s">
        <v>55</v>
      </c>
      <c r="D37" s="31" t="s">
        <v>56</v>
      </c>
    </row>
    <row r="38">
      <c r="A38" s="45" t="s">
        <v>57</v>
      </c>
      <c r="B38" s="46">
        <f t="shared" ref="B38:D38" si="4">IF(B35="","",
IF(B35=0,"",
IF(ABS(B$35)&lt;0.125*B$34,B$35,0.125*B$34*B$35/ABS(B$35))))</f>
        <v>0.0114</v>
      </c>
      <c r="C38" s="47">
        <f t="shared" si="4"/>
        <v>11400</v>
      </c>
      <c r="D38" s="48">
        <f t="shared" si="4"/>
        <v>11.875</v>
      </c>
    </row>
    <row r="39">
      <c r="A39" s="45" t="s">
        <v>58</v>
      </c>
      <c r="B39" s="46">
        <f t="shared" ref="B39:D39" si="5">IF(B38="","",
IF(B$35-B38=0,"",
IF(ABS(B$35-B38)&lt;0.125*(B$34+B38),B$35-B38,
0.125*(B$34+B38)*B$35/ABS(B$35))))</f>
        <v>0.012825</v>
      </c>
      <c r="C39" s="47">
        <f t="shared" si="5"/>
        <v>12825</v>
      </c>
      <c r="D39" s="48">
        <f t="shared" si="5"/>
        <v>13.359375</v>
      </c>
    </row>
    <row r="40">
      <c r="A40" s="45" t="s">
        <v>59</v>
      </c>
      <c r="B40" s="49">
        <f t="shared" ref="B40:D40" si="6">IF(B39="","",
IF(B$35-B38-B39=0,"",
IF(ABS(B$35-B38-B39)&lt;0.125*(B$34+B38+B39),B$35-B38-B39,
0.125*(B$34+B38+B39)*B$35/ABS(B$35))))</f>
        <v>0.014428125</v>
      </c>
      <c r="C40" s="50">
        <f t="shared" si="6"/>
        <v>14428.125</v>
      </c>
      <c r="D40" s="51">
        <f t="shared" si="6"/>
        <v>15.02929688</v>
      </c>
    </row>
    <row r="41">
      <c r="A41" s="45" t="s">
        <v>60</v>
      </c>
      <c r="B41" s="49">
        <f t="shared" ref="B41:D41" si="7">IF(B40="","",
IF(B$35-B38-B39-B40=0,"",
IF(ABS(B$35-B38-B39-B40)&lt;0.125*(B$34+B38+B39+B40),B$35-B38-B39-B40,
0.125*(B$34+B38+B39+B40)*B$35/ABS(B$35))))</f>
        <v>0.01623164063</v>
      </c>
      <c r="C41" s="50">
        <f t="shared" si="7"/>
        <v>16231.64063</v>
      </c>
      <c r="D41" s="51">
        <f t="shared" si="7"/>
        <v>16.90795898</v>
      </c>
    </row>
    <row r="42">
      <c r="A42" s="45" t="s">
        <v>61</v>
      </c>
      <c r="B42" s="49">
        <f t="shared" ref="B42:D42" si="8">IF(B41="","",
IF(B$35-B38-B39-B40-B41=0,"",
IF(ABS(B$35-B38-B39-B40-B41)&lt;0.125*(B$34+B38+B39+B40+B41),B$35-B38-B39-B40-B41,
0.125*(B$34+B38+B39+B40+B41)*B$35/ABS(B$35))))</f>
        <v>0.009004123264</v>
      </c>
      <c r="C42" s="50">
        <f t="shared" si="8"/>
        <v>9004.123264</v>
      </c>
      <c r="D42" s="51">
        <f t="shared" si="8"/>
        <v>9.379295067</v>
      </c>
    </row>
    <row r="43">
      <c r="A43" s="52" t="s">
        <v>62</v>
      </c>
      <c r="B43" s="49" t="str">
        <f t="shared" ref="B43:D43" si="9">IF(B42="","",
IF(B$35-B38-B39-B40-B41-B42=0,"",
IF(ABS(B$35-B38-B39-B40-B41-B42)&lt;0.125*(B$34+B38+B39+B40+B41+B42),B$35-B38-B39-B40-B41-B42,
0.125*(B$34+B38+B39+B40+B41+B42)*B$35/ABS(B$35))))</f>
        <v/>
      </c>
      <c r="C43" s="50" t="str">
        <f t="shared" si="9"/>
        <v/>
      </c>
      <c r="D43" s="51" t="str">
        <f t="shared" si="9"/>
        <v/>
      </c>
    </row>
    <row r="44">
      <c r="A44" s="52" t="s">
        <v>63</v>
      </c>
      <c r="B44" s="49" t="str">
        <f t="shared" ref="B44:D44" si="10">IF(B43="","",
IF(B$35-B38-B39-B40-B41-B42-B43=0,"",
IF(ABS(B$35-B38-B39-B40-B41-B42-B43)&lt;0.125*(B$34+B38+B39+B40+B41+B42+B43),B$35-B38-B39-B40-B41-B42-B43,
0.125*(B$34+B38+B39+B40+B41+B42+B43)*B$35/ABS(B$35))))</f>
        <v/>
      </c>
      <c r="C44" s="50" t="str">
        <f t="shared" si="10"/>
        <v/>
      </c>
      <c r="D44" s="51" t="str">
        <f t="shared" si="10"/>
        <v/>
      </c>
    </row>
    <row r="45">
      <c r="A45" s="52" t="s">
        <v>64</v>
      </c>
      <c r="B45" s="49" t="str">
        <f t="shared" ref="B45:D45" si="11">IF(B44="","",
IF(B$35-B38-B39-B40-B41-B42-B43-B44=0,"",
IF(ABS(B$35-B38-B39-B40-B41-B42-B43-B44)&lt;0.125*(B$34+B38+B39+B40+B41+B42+B43+B44),B$35-B38-B39-B40-B41-B42-B43-B44,
0.125*(B$34+B38+B39+B40+B41+B42+B43+B44)*B$35/ABS(B$35))))</f>
        <v/>
      </c>
      <c r="C45" s="50" t="str">
        <f t="shared" si="11"/>
        <v/>
      </c>
      <c r="D45" s="51" t="str">
        <f t="shared" si="11"/>
        <v/>
      </c>
    </row>
    <row r="46">
      <c r="A46" s="52" t="s">
        <v>65</v>
      </c>
      <c r="B46" s="49" t="str">
        <f t="shared" ref="B46:D46" si="12">IF(B45="","",
IF(B$35-B38-B39-B40-B41-B42-B43-B44-B45=0,"",
IF(ABS(B$35-B38-B39-B40-B41-B42-B43-B44-B45)&lt;0.125*(B$34+B38+B39+B40+B41+B42+B43+B44+B45),B$35-B38-B39-B40-B41-B42-B43-B44-B45,
0.125*(B$34+B38+B39+B40+B41+B42+B43+B44+B45)*B$35/ABS(B$35))))</f>
        <v/>
      </c>
      <c r="C46" s="50" t="str">
        <f t="shared" si="12"/>
        <v/>
      </c>
      <c r="D46" s="51" t="str">
        <f t="shared" si="12"/>
        <v/>
      </c>
    </row>
    <row r="47">
      <c r="A47" s="52" t="s">
        <v>66</v>
      </c>
      <c r="B47" s="49" t="str">
        <f t="shared" ref="B47:D47" si="13">IF(B46="","",
IF(B$35-B38-B39-B40-B41-B42-B43-B44-B45-B46=0,"",
IF(ABS(B$35-B38-B39-B40-B41-B42-B43-B44-B45-B46)&lt;0.125*(B$34+B38+B39+B40+B41+B42+B43+B44+B45+B46),B$35-B38-B39-B40-B41-B42-B43-B44-B45-B46,
0.125*(B$34+B38+B39+B40+B41+B42+B43+B44+B45+B46)*B$35/ABS(B$35))))</f>
        <v/>
      </c>
      <c r="C47" s="50" t="str">
        <f t="shared" si="13"/>
        <v/>
      </c>
      <c r="D47" s="51" t="str">
        <f t="shared" si="13"/>
        <v/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16:D16"/>
    <mergeCell ref="A18:D18"/>
    <mergeCell ref="A21:D21"/>
    <mergeCell ref="A25:D25"/>
    <mergeCell ref="A8:D8"/>
    <mergeCell ref="A9:D9"/>
    <mergeCell ref="A10:D10"/>
    <mergeCell ref="A11:D11"/>
    <mergeCell ref="A12:D12"/>
    <mergeCell ref="A13:D13"/>
    <mergeCell ref="A14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0"/>
    <col customWidth="1" min="2" max="2" width="23.88"/>
    <col customWidth="1" min="3" max="4" width="22.38"/>
  </cols>
  <sheetData>
    <row r="1">
      <c r="A1" s="70" t="s">
        <v>94</v>
      </c>
    </row>
    <row r="2" ht="41.25" customHeight="1">
      <c r="A2" s="71"/>
      <c r="D2" s="8"/>
    </row>
    <row r="3">
      <c r="A3" s="72" t="s">
        <v>11</v>
      </c>
      <c r="D3" s="8"/>
    </row>
    <row r="4">
      <c r="A4" s="11" t="s">
        <v>12</v>
      </c>
      <c r="D4" s="8"/>
    </row>
    <row r="5">
      <c r="A5" s="11" t="s">
        <v>95</v>
      </c>
      <c r="D5" s="8"/>
    </row>
    <row r="6">
      <c r="A6" s="11" t="s">
        <v>96</v>
      </c>
      <c r="D6" s="8"/>
    </row>
    <row r="7">
      <c r="A7" s="11" t="s">
        <v>97</v>
      </c>
      <c r="D7" s="8"/>
    </row>
    <row r="8">
      <c r="A8" s="11" t="s">
        <v>98</v>
      </c>
      <c r="D8" s="8"/>
    </row>
    <row r="9">
      <c r="A9" s="11" t="s">
        <v>17</v>
      </c>
      <c r="D9" s="8"/>
    </row>
    <row r="10">
      <c r="A10" s="11" t="s">
        <v>99</v>
      </c>
      <c r="D10" s="8"/>
    </row>
    <row r="11">
      <c r="A11" s="11" t="s">
        <v>100</v>
      </c>
      <c r="D11" s="8"/>
    </row>
    <row r="12">
      <c r="A12" s="11" t="s">
        <v>18</v>
      </c>
      <c r="D12" s="8"/>
    </row>
    <row r="13">
      <c r="A13" s="11"/>
      <c r="D13" s="8"/>
    </row>
    <row r="14">
      <c r="A14" s="73" t="s">
        <v>19</v>
      </c>
      <c r="D14" s="8"/>
    </row>
    <row r="15">
      <c r="A15" s="16" t="s">
        <v>20</v>
      </c>
      <c r="D15" s="8"/>
    </row>
    <row r="16">
      <c r="A16" s="11" t="s">
        <v>101</v>
      </c>
      <c r="B16" s="74">
        <v>0.7</v>
      </c>
      <c r="C16" s="11"/>
      <c r="D16" s="75"/>
    </row>
    <row r="17">
      <c r="A17" s="10" t="s">
        <v>23</v>
      </c>
      <c r="B17" s="17">
        <v>30.0</v>
      </c>
      <c r="C17" s="10" t="s">
        <v>24</v>
      </c>
      <c r="D17" s="75"/>
    </row>
    <row r="18">
      <c r="A18" s="58" t="s">
        <v>31</v>
      </c>
      <c r="D18" s="8"/>
    </row>
    <row r="19">
      <c r="A19" s="11" t="s">
        <v>102</v>
      </c>
      <c r="B19" s="76">
        <v>1.0</v>
      </c>
      <c r="C19" s="22" t="s">
        <v>33</v>
      </c>
      <c r="D19" s="75"/>
    </row>
    <row r="20">
      <c r="A20" s="22" t="s">
        <v>103</v>
      </c>
      <c r="B20" s="77">
        <v>0.97</v>
      </c>
      <c r="C20" s="22" t="s">
        <v>33</v>
      </c>
      <c r="D20" s="75"/>
    </row>
    <row r="21">
      <c r="A21" s="11" t="s">
        <v>104</v>
      </c>
      <c r="B21" s="74">
        <v>30.0</v>
      </c>
      <c r="C21" s="22" t="s">
        <v>71</v>
      </c>
      <c r="D21" s="75"/>
    </row>
    <row r="22">
      <c r="A22" s="58" t="s">
        <v>36</v>
      </c>
      <c r="D22" s="8"/>
    </row>
    <row r="23">
      <c r="A23" s="11" t="s">
        <v>91</v>
      </c>
      <c r="B23" s="78">
        <v>250.0</v>
      </c>
      <c r="C23" s="11" t="s">
        <v>24</v>
      </c>
      <c r="D23" s="75"/>
    </row>
    <row r="24">
      <c r="A24" s="11" t="s">
        <v>105</v>
      </c>
      <c r="B24" s="74">
        <v>25.0</v>
      </c>
      <c r="C24" s="11" t="s">
        <v>24</v>
      </c>
      <c r="D24" s="75"/>
    </row>
    <row r="25">
      <c r="A25" s="11" t="s">
        <v>38</v>
      </c>
      <c r="B25" s="78">
        <v>8000.0</v>
      </c>
      <c r="C25" s="11" t="s">
        <v>24</v>
      </c>
      <c r="D25" s="75"/>
    </row>
    <row r="26">
      <c r="A26" s="58" t="s">
        <v>39</v>
      </c>
      <c r="D26" s="8"/>
    </row>
    <row r="27">
      <c r="A27" s="11" t="s">
        <v>41</v>
      </c>
      <c r="B27" s="74">
        <v>20.0</v>
      </c>
      <c r="C27" s="11" t="s">
        <v>42</v>
      </c>
      <c r="D27" s="75"/>
    </row>
    <row r="28">
      <c r="A28" s="79"/>
      <c r="B28" s="79"/>
      <c r="C28" s="79"/>
      <c r="D28" s="80"/>
    </row>
    <row r="29">
      <c r="A29" s="73" t="s">
        <v>43</v>
      </c>
      <c r="B29" s="81" t="s">
        <v>47</v>
      </c>
      <c r="C29" s="82" t="s">
        <v>48</v>
      </c>
      <c r="D29" s="83" t="s">
        <v>49</v>
      </c>
    </row>
    <row r="30">
      <c r="A30" s="10" t="s">
        <v>50</v>
      </c>
      <c r="B30" s="84">
        <f t="shared" ref="B30:B31" si="1">C30*(10^-6)</f>
        <v>0.016115625</v>
      </c>
      <c r="C30" s="50">
        <f t="shared" ref="C30:C31" si="2">D30*$B$27*24</f>
        <v>16115.625</v>
      </c>
      <c r="D30" s="85">
        <f>((((B19*B23)-(B20*B24))*B16)-(B20*B17))/(B25*B27*24*(10^-6))</f>
        <v>33.57421875</v>
      </c>
    </row>
    <row r="31">
      <c r="A31" s="10" t="s">
        <v>51</v>
      </c>
      <c r="B31" s="84">
        <f t="shared" si="1"/>
        <v>0.0144</v>
      </c>
      <c r="C31" s="50">
        <f t="shared" si="2"/>
        <v>14400</v>
      </c>
      <c r="D31" s="85">
        <f>B21</f>
        <v>30</v>
      </c>
    </row>
    <row r="32">
      <c r="A32" s="10" t="s">
        <v>52</v>
      </c>
      <c r="B32" s="86">
        <f>IF(OR(B30="",B31=""),"",B30-B31)</f>
        <v>0.001715625</v>
      </c>
      <c r="C32" s="87">
        <f t="shared" ref="C32:D32" si="3">C30-C31</f>
        <v>1715.625</v>
      </c>
      <c r="D32" s="88">
        <f t="shared" si="3"/>
        <v>3.57421875</v>
      </c>
    </row>
    <row r="33">
      <c r="A33" s="11"/>
      <c r="B33" s="89"/>
      <c r="C33" s="11"/>
      <c r="D33" s="90"/>
    </row>
    <row r="34">
      <c r="A34" s="91" t="s">
        <v>53</v>
      </c>
      <c r="B34" s="81" t="s">
        <v>54</v>
      </c>
      <c r="C34" s="81" t="s">
        <v>55</v>
      </c>
      <c r="D34" s="83" t="s">
        <v>56</v>
      </c>
    </row>
    <row r="35">
      <c r="A35" s="92" t="s">
        <v>57</v>
      </c>
      <c r="B35" s="93">
        <f t="shared" ref="B35:D35" si="4">IF(B32="","",
IF(B32=0,"",
IF(ABS(B$32)&lt;0.125*B$31,B$32,0.125*B$31*(B$32/ABS(B$32)))))</f>
        <v>0.001715625</v>
      </c>
      <c r="C35" s="47">
        <f t="shared" si="4"/>
        <v>1715.625</v>
      </c>
      <c r="D35" s="48">
        <f t="shared" si="4"/>
        <v>3.57421875</v>
      </c>
    </row>
    <row r="36">
      <c r="A36" s="92" t="s">
        <v>58</v>
      </c>
      <c r="B36" s="93" t="str">
        <f t="shared" ref="B36:D36" si="5">IF(B35="","",
IF(B$32-B35=0,"",
IF(ABS(B$32-B35)&lt;0.125*(B$31+B35),B$32-B35,
0.125*(B$31+B35))))</f>
        <v/>
      </c>
      <c r="C36" s="47" t="str">
        <f t="shared" si="5"/>
        <v/>
      </c>
      <c r="D36" s="48" t="str">
        <f t="shared" si="5"/>
        <v/>
      </c>
    </row>
    <row r="37">
      <c r="A37" s="92" t="s">
        <v>59</v>
      </c>
      <c r="B37" s="94" t="str">
        <f t="shared" ref="B37:D37" si="6">IF(B36="","",
IF(B$32-B35-B36=0,"",
IF(ABS(B$32-B35-B36)&lt;0.125*(B$31+B35+B36),B$32-B35-B36,
0.125*(B$31+B35+B36))))</f>
        <v/>
      </c>
      <c r="C37" s="50" t="str">
        <f t="shared" si="6"/>
        <v/>
      </c>
      <c r="D37" s="51" t="str">
        <f t="shared" si="6"/>
        <v/>
      </c>
    </row>
    <row r="38">
      <c r="A38" s="92" t="s">
        <v>60</v>
      </c>
      <c r="B38" s="94" t="str">
        <f t="shared" ref="B38:D38" si="7">IF(B37="","",
IF(B$32-B35-B36-B37=0,"",
IF(ABS(B$32-B35-B36-B37)&lt;0.125*(B$31+B35+B36+B37),B$32-B35-B36-B37,
0.125*(B$31+B35+B36+B37))))</f>
        <v/>
      </c>
      <c r="C38" s="50" t="str">
        <f t="shared" si="7"/>
        <v/>
      </c>
      <c r="D38" s="51" t="str">
        <f t="shared" si="7"/>
        <v/>
      </c>
    </row>
    <row r="39">
      <c r="A39" s="92" t="s">
        <v>61</v>
      </c>
      <c r="B39" s="94" t="str">
        <f t="shared" ref="B39:D39" si="8">IF(B38="","",
IF(B$32-B35-B36-B37-B38=0,"",
IF(ABS(B$32-B35-B36-B37-B38)&lt;0.125*(B$31+B35+B36+B37+B38),B$32-B35-B36-B37-B38,
0.125*(B$31+B35+B36+B37+B38))))</f>
        <v/>
      </c>
      <c r="C39" s="50" t="str">
        <f t="shared" si="8"/>
        <v/>
      </c>
      <c r="D39" s="51" t="str">
        <f t="shared" si="8"/>
        <v/>
      </c>
    </row>
    <row r="40">
      <c r="A40" s="52" t="s">
        <v>62</v>
      </c>
      <c r="B40" s="94" t="str">
        <f t="shared" ref="B40:D40" si="9">IF(B39="","",
IF(B$32-B35-B36-B37-B38-B39=0,"",
IF(ABS(B$32-B35-B36-B37-B38-B39)&lt;0.125*(B$31+B35+B36+B37+B38+B39),B$32-B35-B36-B37-B38-B39,
0.125*(B$31+B35+B36+B37+B38+B39))))</f>
        <v/>
      </c>
      <c r="C40" s="50" t="str">
        <f t="shared" si="9"/>
        <v/>
      </c>
      <c r="D40" s="51" t="str">
        <f t="shared" si="9"/>
        <v/>
      </c>
    </row>
    <row r="41">
      <c r="A41" s="52" t="s">
        <v>63</v>
      </c>
      <c r="B41" s="94" t="str">
        <f t="shared" ref="B41:D41" si="10">IF(B40="","",
IF(B$32-B35-B36-B37-B38-B39-B40=0,"",
IF(ABS(B$32-B35-B36-B37-B38-B39-B40)&lt;0.125*(B$31+B35+B36+B37+B38+B39+B40),B$32-B35-B36-B37-B38-B39-B40,
0.125*(B$31+B35+B36+B37+B38+B39+B40))))</f>
        <v/>
      </c>
      <c r="C41" s="50" t="str">
        <f t="shared" si="10"/>
        <v/>
      </c>
      <c r="D41" s="51" t="str">
        <f t="shared" si="10"/>
        <v/>
      </c>
    </row>
    <row r="42">
      <c r="A42" s="52" t="s">
        <v>64</v>
      </c>
      <c r="B42" s="94" t="str">
        <f t="shared" ref="B42:D42" si="11">IF(B41="","",
IF(B$32-B35-B36-B37-B38-B39-B40-B41=0,"",
IF(ABS(B$32-B35-B36-B37-B38-B39-B40-B41)&lt;0.125*(B$31+B35+B36+B37+B38+B39+B40+B41),B$32-B35-B36-B37-B38-B39-B40-B41,
0.125*(B$31+B35+B36+B37+B38+B39+B40+B41))))</f>
        <v/>
      </c>
      <c r="C42" s="50" t="str">
        <f t="shared" si="11"/>
        <v/>
      </c>
      <c r="D42" s="51" t="str">
        <f t="shared" si="11"/>
        <v/>
      </c>
    </row>
    <row r="43">
      <c r="A43" s="52" t="s">
        <v>65</v>
      </c>
      <c r="B43" s="94" t="str">
        <f t="shared" ref="B43:D43" si="12">IF(B42="","",
IF(B$32-B35-B36-B37-B38-B39-B40-B41-B42=0,"",
IF(ABS(B$32-B35-B36-B37-B38-B39-B40-B41-B42)&lt;0.125*(B$31+B35+B36+B37+B38+B39+B40+B41+B42),B$32-B35-B36-B37-B38-B39-B40-B41-B42,
0.125*(B$31+B35+B36+B37+B38+B39+B40+B41+B42))))</f>
        <v/>
      </c>
      <c r="C43" s="50" t="str">
        <f t="shared" si="12"/>
        <v/>
      </c>
      <c r="D43" s="51" t="str">
        <f t="shared" si="12"/>
        <v/>
      </c>
    </row>
    <row r="44">
      <c r="A44" s="52" t="s">
        <v>66</v>
      </c>
      <c r="B44" s="94" t="str">
        <f t="shared" ref="B44:D44" si="13">IF(B43="","",
IF(B$32-B35-B36-B37-B38-B39-B40-B41-B42-B43=0,"",
IF(ABS(B$32-B35-B36-B37-B38-B39-B40-B41-B42-B43)&lt;0.125*(B$31+B35+B36+B37+B38+B39+B40+B41+B42+B43),B$32-B35-B36-B37-B38-B39-B40-B41-B42-B43,
0.125*(B$31+B35+B36+B37+B38+B39+B40+B41+B42+B43))))</f>
        <v/>
      </c>
      <c r="C44" s="50" t="str">
        <f t="shared" si="13"/>
        <v/>
      </c>
      <c r="D44" s="51" t="str">
        <f t="shared" si="13"/>
        <v/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15:D15"/>
    <mergeCell ref="A18:D18"/>
    <mergeCell ref="A22:D22"/>
    <mergeCell ref="A26:D26"/>
    <mergeCell ref="A8:D8"/>
    <mergeCell ref="A9:D9"/>
    <mergeCell ref="A10:D10"/>
    <mergeCell ref="A11:D11"/>
    <mergeCell ref="A12:D12"/>
    <mergeCell ref="A13:D13"/>
    <mergeCell ref="A14:D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95" t="s">
        <v>106</v>
      </c>
    </row>
    <row r="2">
      <c r="A2" s="62" t="s">
        <v>107</v>
      </c>
    </row>
    <row r="3">
      <c r="A3" s="96" t="s">
        <v>108</v>
      </c>
    </row>
    <row r="4">
      <c r="A4" s="96" t="s">
        <v>109</v>
      </c>
    </row>
    <row r="5">
      <c r="A5" s="96" t="s">
        <v>110</v>
      </c>
    </row>
    <row r="6">
      <c r="A6" s="96" t="s">
        <v>111</v>
      </c>
    </row>
    <row r="7">
      <c r="A7" s="96" t="s">
        <v>112</v>
      </c>
    </row>
  </sheetData>
  <drawing r:id="rId1"/>
</worksheet>
</file>