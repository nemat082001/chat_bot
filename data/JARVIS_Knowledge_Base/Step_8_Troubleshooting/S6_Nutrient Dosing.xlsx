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4"/>
  </sheets>
  <definedNames/>
  <calcPr/>
</workbook>
</file>

<file path=xl/sharedStrings.xml><?xml version="1.0" encoding="utf-8"?>
<sst xmlns="http://schemas.openxmlformats.org/spreadsheetml/2006/main" count="36" uniqueCount="33">
  <si>
    <t>CALCULATION TOOL</t>
  </si>
  <si>
    <r>
      <rPr>
        <rFont val="Arial"/>
        <color theme="1"/>
      </rPr>
      <t xml:space="preserve">Total Flow entering Aeration Basins </t>
    </r>
    <r>
      <rPr>
        <rFont val="Arial"/>
        <b/>
        <color theme="1"/>
      </rPr>
      <t>including</t>
    </r>
    <r>
      <rPr>
        <rFont val="Arial"/>
        <color theme="1"/>
      </rPr>
      <t xml:space="preserve"> RAS (MGD or million gal/day)</t>
    </r>
  </si>
  <si>
    <t>MGD or million gal/day</t>
  </si>
  <si>
    <t>Avg. BOD concentration in Aeration Basin Influent (mg/L or ppm)</t>
  </si>
  <si>
    <t>mg/L or ppm</t>
  </si>
  <si>
    <t>Avg. Total Inorganic Nitrogen (TIN) concentration in Aeration Basin Influent (mg/L or ppm)</t>
  </si>
  <si>
    <t>Avg. Ortho-Phosphate concentration in Aeration Basin Influent (mg/L or ppm)</t>
  </si>
  <si>
    <t>Avg. Iron concentration in Aeration Basin Influent (mg/L or ppm)</t>
  </si>
  <si>
    <t>Minutes of operation of Nutrient dosing pump, per hour on average</t>
  </si>
  <si>
    <t>minutes</t>
  </si>
  <si>
    <t>OUTPUTS :</t>
  </si>
  <si>
    <t>Suggested BOD : N : P : Iron Ratio</t>
  </si>
  <si>
    <t>100 : 5 : 1 : 0.5</t>
  </si>
  <si>
    <t>INFLUENT</t>
  </si>
  <si>
    <t>RESIDUAL</t>
  </si>
  <si>
    <t>TOTAL</t>
  </si>
  <si>
    <t>Total Nitrogen requirement (mg/L or ppm)</t>
  </si>
  <si>
    <t>Total Phosphorus requirement (mg/L or ppm)</t>
  </si>
  <si>
    <t>Total Iron requirement (mg/L or ppm)</t>
  </si>
  <si>
    <t>Recommended Nutrient Dosing Chemicals</t>
  </si>
  <si>
    <t>% Purity</t>
  </si>
  <si>
    <t>Molecular Weight Ratio</t>
  </si>
  <si>
    <t>Density (lbs/gal)</t>
  </si>
  <si>
    <t>Anhydrous Ammonia, (for N)</t>
  </si>
  <si>
    <t>Trisodium phosphate, (for P)</t>
  </si>
  <si>
    <t>Ferric chloride, (for Fe)</t>
  </si>
  <si>
    <t>Recommended Nutrient Dosing Rates</t>
  </si>
  <si>
    <t>GPD (gal/d)</t>
  </si>
  <si>
    <t>GPM (gal/min)</t>
  </si>
  <si>
    <t>mL/min</t>
  </si>
  <si>
    <t>Anhydrous Ammonia, commercial grade 80% conc.</t>
  </si>
  <si>
    <t>Triosodium phosphate, commercial grade 75% conc.</t>
  </si>
  <si>
    <t>Ferric chloride, commercial grade 39% conc.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</si>
</sst>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1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3" fontId="2" numFmtId="4" xfId="0" applyAlignment="1" applyFill="1" applyFont="1" applyNumberFormat="1">
      <alignment horizontal="right" readingOrder="0" vertical="bottom"/>
    </xf>
    <xf borderId="0" fillId="3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3" fontId="2" numFmtId="164" xfId="0" applyAlignment="1" applyFont="1" applyNumberFormat="1">
      <alignment horizontal="right" readingOrder="0" vertical="bottom"/>
    </xf>
    <xf borderId="0" fillId="3" fontId="2" numFmtId="164" xfId="0" applyAlignment="1" applyFont="1" applyNumberFormat="1">
      <alignment horizontal="right" vertical="bottom"/>
    </xf>
    <xf borderId="0" fillId="3" fontId="2" numFmtId="3" xfId="0" applyAlignment="1" applyFont="1" applyNumberFormat="1">
      <alignment readingOrder="0" vertical="bottom"/>
    </xf>
    <xf borderId="0" fillId="0" fontId="2" numFmtId="3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4" fontId="2" numFmtId="165" xfId="0" applyAlignment="1" applyFill="1" applyFont="1" applyNumberFormat="1">
      <alignment readingOrder="0" vertical="bottom"/>
    </xf>
    <xf borderId="1" fillId="4" fontId="3" numFmtId="165" xfId="0" applyAlignment="1" applyBorder="1" applyFont="1" applyNumberFormat="1">
      <alignment vertical="bottom"/>
    </xf>
    <xf borderId="0" fillId="4" fontId="2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2" fillId="5" fontId="3" numFmtId="0" xfId="0" applyAlignment="1" applyBorder="1" applyFill="1" applyFont="1">
      <alignment readingOrder="0" vertical="bottom"/>
    </xf>
    <xf borderId="3" fillId="5" fontId="3" numFmtId="0" xfId="0" applyAlignment="1" applyBorder="1" applyFont="1">
      <alignment horizontal="left" readingOrder="0" vertical="bottom"/>
    </xf>
    <xf borderId="4" fillId="5" fontId="3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0" fontId="2" numFmtId="2" xfId="0" applyAlignment="1" applyFont="1" applyNumberFormat="1">
      <alignment vertical="bottom"/>
    </xf>
    <xf borderId="6" fillId="0" fontId="2" numFmtId="2" xfId="0" applyAlignment="1" applyBorder="1" applyFont="1" applyNumberFormat="1">
      <alignment readingOrder="0" vertical="bottom"/>
    </xf>
    <xf borderId="7" fillId="0" fontId="2" numFmtId="0" xfId="0" applyAlignment="1" applyBorder="1" applyFont="1">
      <alignment readingOrder="0" vertical="bottom"/>
    </xf>
    <xf borderId="8" fillId="0" fontId="2" numFmtId="3" xfId="0" applyAlignment="1" applyBorder="1" applyFont="1" applyNumberFormat="1">
      <alignment readingOrder="0" vertical="bottom"/>
    </xf>
    <xf borderId="8" fillId="0" fontId="2" numFmtId="2" xfId="0" applyAlignment="1" applyBorder="1" applyFont="1" applyNumberFormat="1">
      <alignment vertical="bottom"/>
    </xf>
    <xf borderId="9" fillId="0" fontId="2" numFmtId="2" xfId="0" applyAlignment="1" applyBorder="1" applyFont="1" applyNumberFormat="1">
      <alignment readingOrder="0" vertical="bottom"/>
    </xf>
    <xf borderId="10" fillId="5" fontId="3" numFmtId="165" xfId="0" applyAlignment="1" applyBorder="1" applyFont="1" applyNumberFormat="1">
      <alignment horizontal="left" readingOrder="0" vertical="bottom"/>
    </xf>
    <xf borderId="3" fillId="5" fontId="3" numFmtId="165" xfId="0" applyAlignment="1" applyBorder="1" applyFont="1" applyNumberFormat="1">
      <alignment horizontal="left" readingOrder="0" vertical="bottom"/>
    </xf>
    <xf borderId="4" fillId="5" fontId="3" numFmtId="165" xfId="0" applyAlignment="1" applyBorder="1" applyFont="1" applyNumberFormat="1">
      <alignment horizontal="left" readingOrder="0" vertical="bottom"/>
    </xf>
    <xf borderId="5" fillId="0" fontId="2" numFmtId="0" xfId="0" applyAlignment="1" applyBorder="1" applyFont="1">
      <alignment vertical="bottom"/>
    </xf>
    <xf borderId="0" fillId="4" fontId="2" numFmtId="2" xfId="0" applyAlignment="1" applyFont="1" applyNumberFormat="1">
      <alignment horizontal="right" vertical="bottom"/>
    </xf>
    <xf borderId="6" fillId="4" fontId="2" numFmtId="1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vertical="bottom"/>
    </xf>
    <xf borderId="8" fillId="4" fontId="2" numFmtId="165" xfId="0" applyAlignment="1" applyBorder="1" applyFont="1" applyNumberFormat="1">
      <alignment horizontal="right" vertical="bottom"/>
    </xf>
    <xf borderId="8" fillId="4" fontId="2" numFmtId="2" xfId="0" applyAlignment="1" applyBorder="1" applyFont="1" applyNumberFormat="1">
      <alignment horizontal="right" vertical="bottom"/>
    </xf>
    <xf borderId="9" fillId="4" fontId="2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34A85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5.88"/>
    <col customWidth="1" min="2" max="2" width="16.25"/>
    <col customWidth="1" min="3" max="3" width="19.25"/>
    <col customWidth="1" min="4" max="4" width="16.75"/>
  </cols>
  <sheetData>
    <row r="1">
      <c r="A1" s="1" t="s">
        <v>0</v>
      </c>
    </row>
    <row r="2">
      <c r="A2" s="2" t="s">
        <v>1</v>
      </c>
      <c r="B2" s="3">
        <v>2.0</v>
      </c>
      <c r="C2" s="2" t="s">
        <v>2</v>
      </c>
      <c r="D2" s="2"/>
    </row>
    <row r="3">
      <c r="A3" s="2" t="s">
        <v>3</v>
      </c>
      <c r="B3" s="4">
        <v>300.0</v>
      </c>
      <c r="C3" s="2" t="s">
        <v>4</v>
      </c>
      <c r="D3" s="5"/>
    </row>
    <row r="4">
      <c r="A4" s="2" t="s">
        <v>5</v>
      </c>
      <c r="B4" s="6">
        <v>25.0</v>
      </c>
      <c r="C4" s="2" t="s">
        <v>4</v>
      </c>
      <c r="D4" s="5"/>
    </row>
    <row r="5">
      <c r="A5" s="2" t="s">
        <v>6</v>
      </c>
      <c r="B5" s="6">
        <v>1.0</v>
      </c>
      <c r="C5" s="2" t="s">
        <v>4</v>
      </c>
      <c r="D5" s="5"/>
    </row>
    <row r="6">
      <c r="A6" s="2" t="s">
        <v>7</v>
      </c>
      <c r="B6" s="7">
        <v>0.5</v>
      </c>
      <c r="C6" s="2" t="s">
        <v>4</v>
      </c>
      <c r="D6" s="5"/>
    </row>
    <row r="7">
      <c r="A7" s="2" t="s">
        <v>8</v>
      </c>
      <c r="B7" s="8">
        <v>10.0</v>
      </c>
      <c r="C7" s="2" t="s">
        <v>9</v>
      </c>
      <c r="D7" s="5"/>
    </row>
    <row r="8">
      <c r="A8" s="5"/>
      <c r="B8" s="9"/>
      <c r="C8" s="5"/>
      <c r="D8" s="5"/>
    </row>
    <row r="9">
      <c r="A9" s="10" t="s">
        <v>10</v>
      </c>
      <c r="B9" s="9"/>
      <c r="C9" s="5"/>
      <c r="D9" s="5"/>
    </row>
    <row r="10">
      <c r="A10" s="2" t="s">
        <v>11</v>
      </c>
      <c r="B10" s="9" t="s">
        <v>12</v>
      </c>
      <c r="C10" s="5"/>
      <c r="D10" s="5"/>
    </row>
    <row r="11">
      <c r="A11" s="5"/>
      <c r="B11" s="10" t="s">
        <v>13</v>
      </c>
      <c r="C11" s="10" t="s">
        <v>14</v>
      </c>
      <c r="D11" s="11" t="s">
        <v>15</v>
      </c>
    </row>
    <row r="12">
      <c r="A12" s="2" t="s">
        <v>16</v>
      </c>
      <c r="B12" s="12">
        <f>B3/(100/5)</f>
        <v>15</v>
      </c>
      <c r="C12" s="12">
        <v>1.0</v>
      </c>
      <c r="D12" s="13">
        <f t="shared" ref="D12:D14" si="1">SUM(B12:C12)</f>
        <v>16</v>
      </c>
    </row>
    <row r="13">
      <c r="A13" s="2" t="s">
        <v>17</v>
      </c>
      <c r="B13" s="14">
        <f>B3/(100/1)</f>
        <v>3</v>
      </c>
      <c r="C13" s="12">
        <v>0.5</v>
      </c>
      <c r="D13" s="13">
        <f t="shared" si="1"/>
        <v>3.5</v>
      </c>
    </row>
    <row r="14">
      <c r="A14" s="2" t="s">
        <v>18</v>
      </c>
      <c r="B14" s="14">
        <f>B3/(100/0.5)</f>
        <v>1.5</v>
      </c>
      <c r="C14" s="12">
        <v>0.1</v>
      </c>
      <c r="D14" s="13">
        <f t="shared" si="1"/>
        <v>1.6</v>
      </c>
    </row>
    <row r="15">
      <c r="A15" s="5"/>
      <c r="B15" s="9"/>
      <c r="C15" s="5"/>
      <c r="D15" s="5"/>
    </row>
    <row r="16">
      <c r="A16" s="5" t="str">
        <f>IF(D12&gt;B4,"More Nitrogen required. Refer below for dosing amounts.","Nitrogen is sufficient. No dosing required.")</f>
        <v>Nitrogen is sufficient. No dosing required.</v>
      </c>
      <c r="B16" s="5"/>
      <c r="C16" s="5"/>
      <c r="D16" s="5"/>
    </row>
    <row r="17">
      <c r="A17" s="5" t="str">
        <f>IF(D13&gt;B5,"More Phosphorus required. Refer below for dosing amounts.","Phosphorus is sufficient. No dosing required.")</f>
        <v>More Phosphorus required. Refer below for dosing amounts.</v>
      </c>
      <c r="B17" s="5"/>
      <c r="C17" s="15"/>
      <c r="D17" s="15"/>
    </row>
    <row r="18">
      <c r="A18" s="5" t="str">
        <f>IF(D14&gt;B6,"More Iron required. Refer below for dosing amounts.","Iron is sufficient. No dosing required.")</f>
        <v>More Iron required. Refer below for dosing amounts.</v>
      </c>
      <c r="B18" s="5"/>
      <c r="C18" s="5"/>
      <c r="D18" s="5"/>
    </row>
    <row r="19">
      <c r="A19" s="5"/>
      <c r="B19" s="5"/>
      <c r="C19" s="5"/>
      <c r="D19" s="5"/>
    </row>
    <row r="20">
      <c r="A20" s="16" t="s">
        <v>19</v>
      </c>
      <c r="B20" s="17" t="s">
        <v>20</v>
      </c>
      <c r="C20" s="17" t="s">
        <v>21</v>
      </c>
      <c r="D20" s="18" t="s">
        <v>22</v>
      </c>
    </row>
    <row r="21">
      <c r="A21" s="19" t="s">
        <v>23</v>
      </c>
      <c r="B21" s="20">
        <v>80.0</v>
      </c>
      <c r="C21" s="21">
        <f>17/14</f>
        <v>1.214285714</v>
      </c>
      <c r="D21" s="22">
        <v>6.34</v>
      </c>
    </row>
    <row r="22">
      <c r="A22" s="19" t="s">
        <v>24</v>
      </c>
      <c r="B22" s="20">
        <v>75.0</v>
      </c>
      <c r="C22" s="21">
        <f>164/31</f>
        <v>5.290322581</v>
      </c>
      <c r="D22" s="22">
        <v>18.0</v>
      </c>
    </row>
    <row r="23">
      <c r="A23" s="23" t="s">
        <v>25</v>
      </c>
      <c r="B23" s="24">
        <v>39.0</v>
      </c>
      <c r="C23" s="25">
        <f>162.5/56</f>
        <v>2.901785714</v>
      </c>
      <c r="D23" s="26">
        <v>11.93</v>
      </c>
    </row>
    <row r="24">
      <c r="A24" s="5"/>
      <c r="B24" s="5"/>
      <c r="C24" s="5"/>
      <c r="D24" s="5"/>
    </row>
    <row r="25">
      <c r="A25" s="16" t="s">
        <v>26</v>
      </c>
      <c r="B25" s="27" t="s">
        <v>27</v>
      </c>
      <c r="C25" s="28" t="s">
        <v>28</v>
      </c>
      <c r="D25" s="29" t="s">
        <v>29</v>
      </c>
    </row>
    <row r="26">
      <c r="A26" s="30" t="s">
        <v>30</v>
      </c>
      <c r="B26" s="14">
        <f t="shared" ref="B26:B28" si="2">IF(D12&gt;B4,(D12-B4)*$B$2*8.34*(100/B21)*C21*(1/D21),0)</f>
        <v>0</v>
      </c>
      <c r="C26" s="31">
        <f t="shared" ref="C26:C28" si="3">B26/(24*$B$7)</f>
        <v>0</v>
      </c>
      <c r="D26" s="32">
        <f t="shared" ref="D26:D28" si="4">C26*3785.41</f>
        <v>0</v>
      </c>
    </row>
    <row r="27">
      <c r="A27" s="30" t="s">
        <v>31</v>
      </c>
      <c r="B27" s="14">
        <f t="shared" si="2"/>
        <v>16.34121864</v>
      </c>
      <c r="C27" s="31">
        <f t="shared" si="3"/>
        <v>0.06808841099</v>
      </c>
      <c r="D27" s="32">
        <f t="shared" si="4"/>
        <v>257.7425519</v>
      </c>
    </row>
    <row r="28">
      <c r="A28" s="33" t="s">
        <v>32</v>
      </c>
      <c r="B28" s="34">
        <f t="shared" si="2"/>
        <v>11.44324033</v>
      </c>
      <c r="C28" s="35">
        <f t="shared" si="3"/>
        <v>0.04768016804</v>
      </c>
      <c r="D28" s="36">
        <f t="shared" si="4"/>
        <v>180.4889849</v>
      </c>
    </row>
  </sheetData>
  <mergeCells count="1">
    <mergeCell ref="A1:D1"/>
  </mergeCells>
  <conditionalFormatting sqref="A16:A18">
    <cfRule type="containsText" dxfId="0" priority="1" operator="containsText" text="More">
      <formula>NOT(ISERROR(SEARCH(("More"),(A16))))</formula>
    </cfRule>
  </conditionalFormatting>
  <conditionalFormatting sqref="A16:A18">
    <cfRule type="containsText" dxfId="1" priority="2" operator="containsText" text="sufficient">
      <formula>NOT(ISERROR(SEARCH(("sufficient"),(A16))))</formula>
    </cfRule>
  </conditionalFormatting>
  <drawing r:id="rId1"/>
</worksheet>
</file>