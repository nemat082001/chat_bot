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Extra 1" sheetId="2" r:id="rId5"/>
    <sheet state="visible" name="O&amp;M" sheetId="3" r:id="rId6"/>
  </sheets>
  <definedNames/>
  <calcPr/>
</workbook>
</file>

<file path=xl/sharedStrings.xml><?xml version="1.0" encoding="utf-8"?>
<sst xmlns="http://schemas.openxmlformats.org/spreadsheetml/2006/main" count="110" uniqueCount="86">
  <si>
    <r>
      <rPr>
        <rFont val="Arial"/>
        <b/>
        <color rgb="FFFF0000"/>
        <sz val="12.0"/>
      </rPr>
      <t>Sludge Return Flow</t>
    </r>
    <r>
      <rPr>
        <rFont val="Arial"/>
        <b/>
        <color theme="1"/>
        <sz val="12.0"/>
      </rPr>
      <t xml:space="preserve"> based on Mass Balance Principle : 
</t>
    </r>
    <r>
      <rPr>
        <rFont val="Arial"/>
        <b/>
        <color rgb="FF0000FF"/>
        <sz val="12.0"/>
      </rPr>
      <t>Solids entering Aeration Basin = Solids leaving Aeration Basin</t>
    </r>
  </si>
  <si>
    <t>where,</t>
  </si>
  <si>
    <t>Target F(RAS) = Target RAS Flow (MGD or million gal/day)</t>
  </si>
  <si>
    <t>F(AB) = Total Flow entering Aeration Basins (MGD or million gal/day). This will be computed from the inputs below.</t>
  </si>
  <si>
    <t>SSV = Settled Sludge Volume (mL or milliliters) - 
This is the sludge volume measured after sufficient or ideal settling time in the settleometer</t>
  </si>
  <si>
    <t>V(settleometer) = Volume of Settleometer (L or liters)</t>
  </si>
  <si>
    <t>Guide to selecting the right settling time (for the right RAS concentration)</t>
  </si>
  <si>
    <r>
      <rPr>
        <rFont val="Arial"/>
        <color theme="1"/>
      </rPr>
      <t xml:space="preserve">The standard settling time applied is </t>
    </r>
    <r>
      <rPr>
        <rFont val="Arial"/>
        <b/>
        <color rgb="FFEA4335"/>
      </rPr>
      <t>30 mins</t>
    </r>
  </si>
  <si>
    <t>Guideline values for different sludges :</t>
  </si>
  <si>
    <t>Rapid Settling Sludge : 15-30 mins</t>
  </si>
  <si>
    <t>Normal Settling Sludge : 40-60 mins</t>
  </si>
  <si>
    <t>Slow Settling Sludge : 100-140 mins</t>
  </si>
  <si>
    <t>For more accurate results, you need to develop Setttled Sludge Concentration Curves.</t>
  </si>
  <si>
    <t>Click here for detailed analysis.</t>
  </si>
  <si>
    <t>INPUTS - Enter values for the following where missing :</t>
  </si>
  <si>
    <t>Flows:</t>
  </si>
  <si>
    <r>
      <rPr>
        <rFont val="Arial"/>
        <color theme="1"/>
      </rPr>
      <t xml:space="preserve">Total Flow entering Aeration Basins </t>
    </r>
    <r>
      <rPr>
        <rFont val="Arial"/>
        <b/>
        <color theme="1"/>
      </rPr>
      <t>including</t>
    </r>
    <r>
      <rPr>
        <rFont val="Arial"/>
        <color theme="1"/>
      </rPr>
      <t xml:space="preserve"> RAS (MGD or million gal/day)</t>
    </r>
  </si>
  <si>
    <t>MGD or million gal/day</t>
  </si>
  <si>
    <t>Current RAS Flow (MGD or million gal/day)</t>
  </si>
  <si>
    <t>Other:</t>
  </si>
  <si>
    <t>Ideal settling time considered (minutes)</t>
  </si>
  <si>
    <t>minutes</t>
  </si>
  <si>
    <t>Settled Sludge Volume (SSV) after ideal settling time (mL)</t>
  </si>
  <si>
    <t>mL</t>
  </si>
  <si>
    <t>Volume of Settleometer (L)</t>
  </si>
  <si>
    <t>L</t>
  </si>
  <si>
    <t>Minutes of operation of Secondary WAS pump per hour, on average</t>
  </si>
  <si>
    <t>OUTPUTS</t>
  </si>
  <si>
    <t>MGD (million gallons per day)</t>
  </si>
  <si>
    <t>Gallons per day (GPD)</t>
  </si>
  <si>
    <t>GPM (gallons per minute)</t>
  </si>
  <si>
    <t>Your Target RAS Flow :</t>
  </si>
  <si>
    <t>Your Current RAS Flow :</t>
  </si>
  <si>
    <t>Required change in RAS Flow :</t>
  </si>
  <si>
    <t>Changes in RAS Flow should be no more than 10-15% per day. Modify RAS flow rate as per the schedule below :</t>
  </si>
  <si>
    <t>Required change in MGD 
(million gallons per day)</t>
  </si>
  <si>
    <t>Required change in GPD 
(gallons per day)</t>
  </si>
  <si>
    <t>Required change in GPM 
(gallons per minute)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</si>
  <si>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</si>
  <si>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</si>
  <si>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</si>
  <si>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</si>
  <si>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</si>
  <si>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</si>
  <si>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</si>
  <si>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</si>
  <si>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</si>
  <si>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</si>
  <si>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r>
      <rPr>
        <rFont val="Arial"/>
        <b/>
        <color rgb="FF000000"/>
        <sz val="12.0"/>
      </rPr>
      <t xml:space="preserve">Sludge Return Flow based on Mass Balance Principle : 
</t>
    </r>
    <r>
      <rPr>
        <rFont val="Arial"/>
        <b/>
        <color rgb="FFEA4335"/>
        <sz val="12.0"/>
      </rPr>
      <t>Settled Sludge Concentration Curves</t>
    </r>
  </si>
  <si>
    <r>
      <rPr>
        <rFont val="Arial"/>
        <b/>
        <color theme="1"/>
        <u/>
      </rPr>
      <t xml:space="preserve">Graph of Settled Sludge Conc. (mg/L) vs Time (mins)
</t>
    </r>
    <r>
      <rPr>
        <rFont val="Arial"/>
        <color theme="1"/>
      </rPr>
      <t>This is what your graph would look like, depending on how fast your sludge settles.</t>
    </r>
  </si>
  <si>
    <t>SSC = Settled Sludge Concentration (mg/L)</t>
  </si>
  <si>
    <t>MLSS = Mixed Liquor Suspended Solids (mg/L)</t>
  </si>
  <si>
    <t>Vol(s) = Volume of Settleometer (L)</t>
  </si>
  <si>
    <t>SSV = Settled Sludge Volume (mL) -
This is the sludge volume measured after sufficient settling time in the settleometer</t>
  </si>
  <si>
    <t>Total Flow entering Aeration Basins (MGD or million gal/day)</t>
  </si>
  <si>
    <t>Mixed Liquor Suspended Solids (MLSS)</t>
  </si>
  <si>
    <t>mg/L or ppm</t>
  </si>
  <si>
    <t>Volume of Settleometer (Vol(s))</t>
  </si>
  <si>
    <t>L (Liters)</t>
  </si>
  <si>
    <t>Now, only enter the SSV values in the table below after each of the settling time durations. 
The SSC values will be computed automatically.</t>
  </si>
  <si>
    <t>Your Settled Sludge Concentration Curve below:</t>
  </si>
  <si>
    <t>Settling Time Duration (mins)</t>
  </si>
  <si>
    <t>SSV (mL)</t>
  </si>
  <si>
    <t>SSC (mg/L)</t>
  </si>
  <si>
    <t>Comments</t>
  </si>
  <si>
    <t>INPUTS (Contd.)</t>
  </si>
  <si>
    <t>Your Ideal Return Sludge Flow Rate (RAS) :</t>
  </si>
  <si>
    <t>Locate the "Knee of the Curve" on your graph. 
Record the corresponding time (x-axis) for this Knee or Bend.
Record the corresponding SSC (y-axis) for this Knee or Bend.</t>
  </si>
  <si>
    <t>Your Current Return Sludge Flow Rate (RAS) :</t>
  </si>
  <si>
    <t>Ideal Sludge Settling Time</t>
  </si>
  <si>
    <t>mins</t>
  </si>
  <si>
    <t>Required change in RAS Flow Rate :</t>
  </si>
  <si>
    <t>Ideal Settled Sludge Conc. (SSC)</t>
  </si>
  <si>
    <t>mg/L</t>
  </si>
  <si>
    <t>The SSC recorded here will be your ideal RAS concentration, and the target RAS flow is computed from the formula below:</t>
  </si>
  <si>
    <t>Qr = Return Flow rate (MGD or million gallons per day)</t>
  </si>
  <si>
    <r>
      <rPr>
        <rFont val="Arial"/>
        <color theme="1"/>
      </rPr>
      <t xml:space="preserve">Qi = Influent Flow to AB (MGD) </t>
    </r>
    <r>
      <rPr>
        <rFont val="Arial"/>
        <b/>
        <color theme="1"/>
      </rPr>
      <t>= Primary Effluent Flow - Diverted Flow</t>
    </r>
  </si>
  <si>
    <t>Ideal SSC = Settled Sludge conc. after ideal settling time (mg/L or ppm)</t>
  </si>
  <si>
    <t>MLSS = Mixed Liquor Suspended Solids (mg/L or ppm)</t>
  </si>
  <si>
    <t>Action Items for O&amp;M</t>
  </si>
  <si>
    <t>Ensure the following :</t>
  </si>
  <si>
    <t>Inspection in case of breakdown of Pumps or Motors</t>
  </si>
  <si>
    <t>Strainers aren’t plugged</t>
  </si>
  <si>
    <t>Valves aren’t stuck</t>
  </si>
  <si>
    <t>Lines aren’t clogged or choked</t>
  </si>
  <si>
    <t>Lines aren’t leaking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</si>
</sst>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00"/>
    <numFmt numFmtId="166" formatCode="0.000"/>
  </numFmts>
  <fonts count="18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sz val="12.0"/>
      <color rgb="FF000000"/>
      <name val="Calibri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EA4335"/>
      <name val="Arial"/>
      <scheme val="minor"/>
    </font>
    <font>
      <u/>
      <color rgb="FF0000FF"/>
    </font>
    <font>
      <b/>
      <color rgb="FF6AA84F"/>
      <name val="Arial"/>
      <scheme val="minor"/>
    </font>
    <font>
      <color theme="1"/>
      <name val="Arial"/>
    </font>
    <font>
      <color rgb="FF000000"/>
      <name val="Arial"/>
    </font>
    <font>
      <color rgb="FFFF0000"/>
      <name val="Arial"/>
      <scheme val="minor"/>
    </font>
    <font>
      <color rgb="FF0000FF"/>
      <name val="Arial"/>
      <scheme val="minor"/>
    </font>
    <font>
      <b/>
      <sz val="12.0"/>
      <color rgb="FFEA4335"/>
      <name val="Arial"/>
      <scheme val="minor"/>
    </font>
    <font>
      <color rgb="FFEA4335"/>
      <name val="Arial"/>
      <scheme val="minor"/>
    </font>
    <font>
      <b/>
      <color rgb="FFFF0000"/>
      <name val="Arial"/>
      <scheme val="minor"/>
    </font>
    <font>
      <b/>
      <sz val="12.0"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EA433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1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4" numFmtId="3" xfId="0" applyAlignment="1" applyFont="1" applyNumberFormat="1">
      <alignment vertical="top"/>
    </xf>
    <xf borderId="1" fillId="0" fontId="4" numFmtId="0" xfId="0" applyAlignment="1" applyBorder="1" applyFont="1">
      <alignment vertical="top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2" fontId="9" numFmtId="0" xfId="0" applyAlignment="1" applyFill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3" fontId="4" numFmtId="0" xfId="0" applyAlignment="1" applyFill="1" applyFont="1">
      <alignment readingOrder="0" vertical="top"/>
    </xf>
    <xf borderId="0" fillId="4" fontId="11" numFmtId="3" xfId="0" applyAlignment="1" applyFill="1" applyFont="1" applyNumberFormat="1">
      <alignment horizontal="left" readingOrder="0"/>
    </xf>
    <xf borderId="1" fillId="0" fontId="4" numFmtId="0" xfId="0" applyBorder="1" applyFont="1"/>
    <xf borderId="0" fillId="3" fontId="4" numFmtId="2" xfId="0" applyAlignment="1" applyFont="1" applyNumberFormat="1">
      <alignment readingOrder="0" vertical="top"/>
    </xf>
    <xf borderId="0" fillId="0" fontId="4" numFmtId="3" xfId="0" applyAlignment="1" applyFont="1" applyNumberFormat="1">
      <alignment readingOrder="0" vertical="top"/>
    </xf>
    <xf borderId="0" fillId="0" fontId="10" numFmtId="0" xfId="0" applyAlignment="1" applyFont="1">
      <alignment shrinkToFit="0" vertical="top" wrapText="1"/>
    </xf>
    <xf borderId="0" fillId="3" fontId="10" numFmtId="0" xfId="0" applyAlignment="1" applyFont="1">
      <alignment horizontal="right" vertical="top"/>
    </xf>
    <xf borderId="0" fillId="0" fontId="10" numFmtId="3" xfId="0" applyAlignment="1" applyFont="1" applyNumberFormat="1">
      <alignment vertical="top"/>
    </xf>
    <xf borderId="0" fillId="0" fontId="6" numFmtId="0" xfId="0" applyAlignment="1" applyFont="1">
      <alignment readingOrder="0" vertical="top"/>
    </xf>
    <xf borderId="0" fillId="0" fontId="6" numFmtId="3" xfId="0" applyAlignment="1" applyFont="1" applyNumberFormat="1">
      <alignment readingOrder="0" vertical="top"/>
    </xf>
    <xf borderId="1" fillId="0" fontId="6" numFmtId="0" xfId="0" applyAlignment="1" applyBorder="1" applyFont="1">
      <alignment readingOrder="0" vertical="top"/>
    </xf>
    <xf borderId="0" fillId="5" fontId="4" numFmtId="2" xfId="0" applyAlignment="1" applyFill="1" applyFont="1" applyNumberFormat="1">
      <alignment vertical="top"/>
    </xf>
    <xf borderId="0" fillId="5" fontId="4" numFmtId="3" xfId="0" applyAlignment="1" applyFont="1" applyNumberFormat="1">
      <alignment vertical="top"/>
    </xf>
    <xf borderId="1" fillId="5" fontId="4" numFmtId="164" xfId="0" applyAlignment="1" applyBorder="1" applyFont="1" applyNumberFormat="1">
      <alignment vertical="top"/>
    </xf>
    <xf borderId="0" fillId="5" fontId="4" numFmtId="2" xfId="0" applyAlignment="1" applyFont="1" applyNumberFormat="1">
      <alignment readingOrder="0" vertical="top"/>
    </xf>
    <xf borderId="0" fillId="5" fontId="12" numFmtId="2" xfId="0" applyAlignment="1" applyFont="1" applyNumberFormat="1">
      <alignment vertical="top"/>
    </xf>
    <xf borderId="0" fillId="5" fontId="12" numFmtId="3" xfId="0" applyAlignment="1" applyFont="1" applyNumberFormat="1">
      <alignment vertical="top"/>
    </xf>
    <xf borderId="1" fillId="5" fontId="12" numFmtId="164" xfId="0" applyAlignment="1" applyBorder="1" applyFont="1" applyNumberFormat="1">
      <alignment vertical="top"/>
    </xf>
    <xf borderId="0" fillId="2" fontId="4" numFmtId="0" xfId="0" applyAlignment="1" applyFont="1">
      <alignment vertical="top"/>
    </xf>
    <xf borderId="1" fillId="0" fontId="4" numFmtId="164" xfId="0" applyAlignment="1" applyBorder="1" applyFont="1" applyNumberFormat="1">
      <alignment readingOrder="0" vertical="top"/>
    </xf>
    <xf borderId="0" fillId="0" fontId="12" numFmtId="0" xfId="0" applyAlignment="1" applyFont="1">
      <alignment readingOrder="0" shrinkToFit="0" vertical="top" wrapText="1"/>
    </xf>
    <xf borderId="1" fillId="0" fontId="6" numFmtId="164" xfId="0" applyAlignment="1" applyBorder="1" applyFont="1" applyNumberFormat="1">
      <alignment readingOrder="0" vertical="top"/>
    </xf>
    <xf borderId="0" fillId="0" fontId="13" numFmtId="0" xfId="0" applyAlignment="1" applyFont="1">
      <alignment readingOrder="0" shrinkToFit="0" vertical="top" wrapText="1"/>
    </xf>
    <xf borderId="0" fillId="5" fontId="4" numFmtId="165" xfId="0" applyAlignment="1" applyFont="1" applyNumberFormat="1">
      <alignment vertical="top"/>
    </xf>
    <xf borderId="0" fillId="0" fontId="1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shrinkToFit="0" wrapText="1"/>
    </xf>
    <xf borderId="0" fillId="0" fontId="15" numFmtId="0" xfId="0" applyAlignment="1" applyFont="1">
      <alignment readingOrder="0" shrinkToFit="0" vertical="center" wrapText="1"/>
    </xf>
    <xf borderId="2" fillId="6" fontId="6" numFmtId="0" xfId="0" applyAlignment="1" applyBorder="1" applyFill="1" applyFont="1">
      <alignment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3" fillId="5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readingOrder="0" shrinkToFit="0" vertical="center" wrapText="1"/>
    </xf>
    <xf borderId="4" fillId="5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2" numFmtId="0" xfId="0" applyBorder="1" applyFont="1"/>
    <xf borderId="5" fillId="0" fontId="4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5" fontId="4" numFmtId="0" xfId="0" applyAlignment="1" applyBorder="1" applyFont="1">
      <alignment shrinkToFit="0" vertical="center" wrapText="1"/>
    </xf>
    <xf borderId="5" fillId="0" fontId="2" numFmtId="0" xfId="0" applyBorder="1" applyFont="1"/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0" fillId="0" fontId="6" numFmtId="3" xfId="0" applyAlignment="1" applyFont="1" applyNumberForma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5" fontId="4" numFmtId="166" xfId="0" applyAlignment="1" applyFont="1" applyNumberFormat="1">
      <alignment shrinkToFit="0" vertical="center" wrapText="1"/>
    </xf>
    <xf borderId="0" fillId="5" fontId="4" numFmtId="3" xfId="0" applyAlignment="1" applyFont="1" applyNumberFormat="1">
      <alignment shrinkToFit="0" vertical="center" wrapText="1"/>
    </xf>
    <xf borderId="1" fillId="5" fontId="4" numFmtId="164" xfId="0" applyAlignment="1" applyBorder="1" applyFont="1" applyNumberFormat="1">
      <alignment shrinkToFit="0" vertical="center" wrapText="1"/>
    </xf>
    <xf borderId="0" fillId="5" fontId="4" numFmtId="0" xfId="0" applyAlignment="1" applyFont="1">
      <alignment readingOrder="0" shrinkToFit="0" vertical="top" wrapText="1"/>
    </xf>
    <xf borderId="0" fillId="5" fontId="12" numFmtId="166" xfId="0" applyAlignment="1" applyFont="1" applyNumberFormat="1">
      <alignment shrinkToFit="0" vertical="top" wrapText="1"/>
    </xf>
    <xf borderId="1" fillId="5" fontId="12" numFmtId="164" xfId="0" applyAlignment="1" applyBorder="1" applyFont="1" applyNumberFormat="1">
      <alignment shrinkToFit="0" vertical="top" wrapText="1"/>
    </xf>
    <xf borderId="0" fillId="3" fontId="4" numFmtId="3" xfId="0" applyAlignment="1" applyFont="1" applyNumberFormat="1">
      <alignment readingOrder="0" shrinkToFit="0" vertical="center" wrapText="1"/>
    </xf>
    <xf borderId="0" fillId="0" fontId="16" numFmtId="0" xfId="0" applyAlignment="1" applyFont="1">
      <alignment readingOrder="0"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0" fillId="0" fontId="13" numFmtId="0" xfId="0" applyAlignment="1" applyFont="1">
      <alignment readingOrder="0" shrinkToFit="0" vertical="center" wrapText="1"/>
    </xf>
    <xf borderId="0" fillId="5" fontId="4" numFmtId="165" xfId="0" applyAlignment="1" applyFont="1" applyNumberFormat="1">
      <alignment shrinkToFit="0" vertical="top" wrapText="1"/>
    </xf>
    <xf borderId="0" fillId="5" fontId="4" numFmtId="3" xfId="0" applyAlignment="1" applyFont="1" applyNumberFormat="1">
      <alignment shrinkToFit="0" vertical="top" wrapText="1"/>
    </xf>
    <xf borderId="1" fillId="5" fontId="4" numFmtId="164" xfId="0" applyAlignment="1" applyBorder="1" applyFont="1" applyNumberFormat="1">
      <alignment shrinkToFit="0" vertical="top" wrapText="1"/>
    </xf>
    <xf borderId="0" fillId="0" fontId="1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SSC (mg/L) vs. Settling Time Duration (mins)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'Extra 1'!$A$16:$A$25</c:f>
            </c:strRef>
          </c:cat>
          <c:val>
            <c:numRef>
              <c:f>'Extra 1'!$C$16:$C$25</c:f>
              <c:numCache/>
            </c:numRef>
          </c:val>
          <c:smooth val="0"/>
        </c:ser>
        <c:axId val="1583644178"/>
        <c:axId val="801696710"/>
      </c:lineChart>
      <c:catAx>
        <c:axId val="1583644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Settling Time Duration (mins)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696710"/>
      </c:catAx>
      <c:valAx>
        <c:axId val="801696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SSC (mg/L)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644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61937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14</xdr:row>
      <xdr:rowOff>180975</xdr:rowOff>
    </xdr:from>
    <xdr:ext cx="4143375" cy="2571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323850</xdr:colOff>
      <xdr:row>17</xdr:row>
      <xdr:rowOff>142875</xdr:rowOff>
    </xdr:from>
    <xdr:ext cx="276225" cy="276225"/>
    <xdr:sp>
      <xdr:nvSpPr>
        <xdr:cNvPr id="3" name="Shape 3"/>
        <xdr:cNvSpPr/>
      </xdr:nvSpPr>
      <xdr:spPr>
        <a:xfrm>
          <a:off x="2617325" y="1166525"/>
          <a:ext cx="744900" cy="72540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lgDash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0</xdr:rowOff>
    </xdr:from>
    <xdr:ext cx="2047875" cy="5238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7715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13"/>
    <col customWidth="1" min="2" max="2" width="23.88"/>
    <col customWidth="1" min="3" max="4" width="22.38"/>
  </cols>
  <sheetData>
    <row r="1">
      <c r="A1" s="1" t="s">
        <v>0</v>
      </c>
      <c r="D1" s="2"/>
    </row>
    <row r="2" ht="41.25" customHeight="1">
      <c r="A2" s="3"/>
      <c r="D2" s="2"/>
    </row>
    <row r="3">
      <c r="A3" s="4" t="s">
        <v>1</v>
      </c>
      <c r="D3" s="2"/>
    </row>
    <row r="4">
      <c r="A4" s="4" t="s">
        <v>2</v>
      </c>
      <c r="D4" s="2"/>
    </row>
    <row r="5">
      <c r="A5" s="4" t="s">
        <v>3</v>
      </c>
      <c r="D5" s="2"/>
    </row>
    <row r="6">
      <c r="A6" s="4" t="s">
        <v>4</v>
      </c>
      <c r="D6" s="2"/>
    </row>
    <row r="7">
      <c r="A7" s="4" t="s">
        <v>5</v>
      </c>
      <c r="D7" s="2"/>
    </row>
    <row r="8">
      <c r="A8" s="5"/>
      <c r="D8" s="2"/>
    </row>
    <row r="9">
      <c r="A9" s="6" t="s">
        <v>6</v>
      </c>
      <c r="D9" s="2"/>
    </row>
    <row r="10">
      <c r="A10" s="4" t="s">
        <v>7</v>
      </c>
      <c r="D10" s="2"/>
    </row>
    <row r="11">
      <c r="A11" s="4" t="s">
        <v>8</v>
      </c>
      <c r="D11" s="2"/>
    </row>
    <row r="12">
      <c r="A12" s="7" t="s">
        <v>9</v>
      </c>
      <c r="D12" s="2"/>
    </row>
    <row r="13">
      <c r="A13" s="7" t="s">
        <v>10</v>
      </c>
      <c r="D13" s="2"/>
    </row>
    <row r="14">
      <c r="A14" s="7" t="s">
        <v>11</v>
      </c>
      <c r="B14" s="8"/>
      <c r="C14" s="9"/>
      <c r="D14" s="10"/>
    </row>
    <row r="15">
      <c r="A15" s="5"/>
      <c r="B15" s="8"/>
      <c r="C15" s="9"/>
      <c r="D15" s="10"/>
    </row>
    <row r="16">
      <c r="A16" s="11" t="s">
        <v>12</v>
      </c>
      <c r="B16" s="8"/>
      <c r="C16" s="9"/>
      <c r="D16" s="10"/>
    </row>
    <row r="17">
      <c r="A17" s="12" t="s">
        <v>13</v>
      </c>
      <c r="B17" s="8"/>
      <c r="C17" s="9"/>
      <c r="D17" s="10"/>
    </row>
    <row r="18">
      <c r="A18" s="5"/>
      <c r="B18" s="8"/>
      <c r="C18" s="9"/>
      <c r="D18" s="10"/>
    </row>
    <row r="19">
      <c r="A19" s="6" t="s">
        <v>14</v>
      </c>
      <c r="D19" s="2"/>
    </row>
    <row r="20">
      <c r="A20" s="13" t="s">
        <v>15</v>
      </c>
      <c r="D20" s="2"/>
    </row>
    <row r="21">
      <c r="A21" s="14" t="s">
        <v>16</v>
      </c>
      <c r="B21" s="15">
        <v>0.52</v>
      </c>
      <c r="C21" s="16" t="s">
        <v>17</v>
      </c>
      <c r="D21" s="17"/>
    </row>
    <row r="22">
      <c r="A22" s="4" t="s">
        <v>18</v>
      </c>
      <c r="B22" s="18">
        <v>0.2</v>
      </c>
      <c r="C22" s="16" t="s">
        <v>17</v>
      </c>
      <c r="D22" s="17"/>
    </row>
    <row r="23">
      <c r="A23" s="13" t="s">
        <v>19</v>
      </c>
      <c r="D23" s="2"/>
    </row>
    <row r="24">
      <c r="A24" s="4" t="s">
        <v>20</v>
      </c>
      <c r="B24" s="15">
        <v>30.0</v>
      </c>
      <c r="C24" s="19" t="s">
        <v>21</v>
      </c>
      <c r="D24" s="17"/>
    </row>
    <row r="25">
      <c r="A25" s="4" t="s">
        <v>22</v>
      </c>
      <c r="B25" s="15">
        <v>300.0</v>
      </c>
      <c r="C25" s="19" t="s">
        <v>23</v>
      </c>
      <c r="D25" s="17"/>
    </row>
    <row r="26">
      <c r="A26" s="4" t="s">
        <v>24</v>
      </c>
      <c r="B26" s="15">
        <v>2.0</v>
      </c>
      <c r="C26" s="19" t="s">
        <v>25</v>
      </c>
      <c r="D26" s="17"/>
    </row>
    <row r="27">
      <c r="A27" s="20" t="s">
        <v>26</v>
      </c>
      <c r="B27" s="21">
        <v>20.0</v>
      </c>
      <c r="C27" s="22" t="s">
        <v>21</v>
      </c>
      <c r="D27" s="17"/>
    </row>
    <row r="28">
      <c r="A28" s="5"/>
      <c r="B28" s="8"/>
      <c r="C28" s="9"/>
      <c r="D28" s="10"/>
    </row>
    <row r="29">
      <c r="A29" s="6" t="s">
        <v>27</v>
      </c>
      <c r="B29" s="23" t="s">
        <v>28</v>
      </c>
      <c r="C29" s="24" t="s">
        <v>29</v>
      </c>
      <c r="D29" s="25" t="s">
        <v>30</v>
      </c>
    </row>
    <row r="30">
      <c r="A30" s="4" t="s">
        <v>31</v>
      </c>
      <c r="B30" s="26">
        <f>B21*B25/(B26*1000)</f>
        <v>0.078</v>
      </c>
      <c r="C30" s="27">
        <f t="shared" ref="C30:C31" si="1">IF(B30="","",B30*1000000)</f>
        <v>78000</v>
      </c>
      <c r="D30" s="28">
        <f>C30/(24*60)</f>
        <v>54.16666667</v>
      </c>
    </row>
    <row r="31">
      <c r="A31" s="4" t="s">
        <v>32</v>
      </c>
      <c r="B31" s="29">
        <f>B22</f>
        <v>0.2</v>
      </c>
      <c r="C31" s="27">
        <f t="shared" si="1"/>
        <v>200000</v>
      </c>
      <c r="D31" s="28">
        <f>IF(B31="","",(B31*10^6)/(24*60))</f>
        <v>138.8888889</v>
      </c>
    </row>
    <row r="32">
      <c r="A32" s="4" t="s">
        <v>33</v>
      </c>
      <c r="B32" s="30">
        <f t="shared" ref="B32:D32" si="2">IF(OR(B30="",B31=""),"",B30-B31)</f>
        <v>-0.122</v>
      </c>
      <c r="C32" s="31">
        <f t="shared" si="2"/>
        <v>-122000</v>
      </c>
      <c r="D32" s="32">
        <f t="shared" si="2"/>
        <v>-84.72222222</v>
      </c>
    </row>
    <row r="33">
      <c r="A33" s="4"/>
      <c r="B33" s="33"/>
      <c r="C33" s="19"/>
      <c r="D33" s="34"/>
    </row>
    <row r="34">
      <c r="A34" s="35" t="s">
        <v>34</v>
      </c>
      <c r="B34" s="23" t="s">
        <v>35</v>
      </c>
      <c r="C34" s="23" t="s">
        <v>36</v>
      </c>
      <c r="D34" s="36" t="s">
        <v>37</v>
      </c>
    </row>
    <row r="35">
      <c r="A35" s="37" t="s">
        <v>38</v>
      </c>
      <c r="B35" s="38">
        <f t="shared" ref="B35:D35" si="3">IF(B32="","",
IF(B32=0,"",
IF(ABS(B$32)&lt;0.125*B$31,B$32,0.125*B$31*B$32/ABS(B$32))))</f>
        <v>-0.025</v>
      </c>
      <c r="C35" s="27">
        <f t="shared" si="3"/>
        <v>-25000</v>
      </c>
      <c r="D35" s="28">
        <f t="shared" si="3"/>
        <v>-17.36111111</v>
      </c>
    </row>
    <row r="36">
      <c r="A36" s="37" t="s">
        <v>39</v>
      </c>
      <c r="B36" s="38">
        <f t="shared" ref="B36:D36" si="4">IF(B35="","",
IF(B$32-B35=0,"",
IF(ABS(B$32-B35)&lt;0.125*(B$31+B35),B$32-B35,
0.125*(B$31+B35)*B$32/ABS(B$32))))</f>
        <v>-0.021875</v>
      </c>
      <c r="C36" s="27">
        <f t="shared" si="4"/>
        <v>-21875</v>
      </c>
      <c r="D36" s="28">
        <f t="shared" si="4"/>
        <v>-15.19097222</v>
      </c>
    </row>
    <row r="37">
      <c r="A37" s="37" t="s">
        <v>40</v>
      </c>
      <c r="B37" s="38">
        <f t="shared" ref="B37:D37" si="5">IF(B36="","",
IF(B$32-B35-B36=0,"",
IF(ABS(B$32-B35-B36)&lt;0.125*(B$31+B35+B36),B$32-B35-B36,
0.125*(B$31+B35+B36)*B$32/ABS(B$32))))</f>
        <v>-0.019140625</v>
      </c>
      <c r="C37" s="27">
        <f t="shared" si="5"/>
        <v>-19140.625</v>
      </c>
      <c r="D37" s="28">
        <f t="shared" si="5"/>
        <v>-13.29210069</v>
      </c>
    </row>
    <row r="38">
      <c r="A38" s="37" t="s">
        <v>41</v>
      </c>
      <c r="B38" s="38">
        <f t="shared" ref="B38:D38" si="6">IF(B37="","",
IF(B$32-B35-B36-B37=0,"",
IF(ABS(B$32-B35-B36-B37)&lt;0.125*(B$31+B35+B36+B37),B$32-B35-B36-B37,
0.125*(B$31+B35+B36+B37)*B$32/ABS(B$32))))</f>
        <v>-0.01674804688</v>
      </c>
      <c r="C38" s="27">
        <f t="shared" si="6"/>
        <v>-16748.04688</v>
      </c>
      <c r="D38" s="28">
        <f t="shared" si="6"/>
        <v>-11.63058811</v>
      </c>
    </row>
    <row r="39">
      <c r="A39" s="37" t="s">
        <v>42</v>
      </c>
      <c r="B39" s="38">
        <f t="shared" ref="B39:D39" si="7">IF(B38="","",
IF(B$32-B35-B36-B37-B38=0,"",
IF(ABS(B$32-B35-B36-B37-B38)&lt;0.125*(B$31+B35+B36+B37+B38),B$32-B35-B36-B37-B38,
0.125*(B$31+B35+B36+B37+B38)*B$32/ABS(B$32))))</f>
        <v>-0.01465454102</v>
      </c>
      <c r="C39" s="27">
        <f t="shared" si="7"/>
        <v>-14654.54102</v>
      </c>
      <c r="D39" s="28">
        <f t="shared" si="7"/>
        <v>-10.17676459</v>
      </c>
    </row>
    <row r="40">
      <c r="A40" s="37" t="s">
        <v>43</v>
      </c>
      <c r="B40" s="38">
        <f t="shared" ref="B40:D40" si="8">IF(B39="","",
IF(B$32-B35-B36-B37-B38-B39=0,"",
IF(ABS(B$32-B35-B36-B37-B38-B39)&lt;0.125*(B$31+B35+B36+B37+B38+B39),B$32-B35-B36-B37-B38-B39,
0.125*(B$31+B35+B36+B37+B38+B39)*B$32/ABS(B$32))))</f>
        <v>-0.01282272339</v>
      </c>
      <c r="C40" s="27">
        <f t="shared" si="8"/>
        <v>-12822.72339</v>
      </c>
      <c r="D40" s="28">
        <f t="shared" si="8"/>
        <v>-8.90466902</v>
      </c>
    </row>
    <row r="41">
      <c r="A41" s="37" t="s">
        <v>44</v>
      </c>
      <c r="B41" s="38">
        <f t="shared" ref="B41:D41" si="9">IF(B40="","",
IF(B$32-B35-B36-B37-B38-B39-B40=0,"",
IF(ABS(B$32-B35-B36-B37-B38-B39-B40)&lt;0.125*(B$31+B35+B36+B37+B38+B39+B40),B$32-B35-B36-B37-B38-B39-B40,
0.125*(B$31+B35+B36+B37+B38+B39+B40)*B$32/ABS(B$32))))</f>
        <v>-0.01121988297</v>
      </c>
      <c r="C41" s="27">
        <f t="shared" si="9"/>
        <v>-11219.88297</v>
      </c>
      <c r="D41" s="28">
        <f t="shared" si="9"/>
        <v>-7.791585392</v>
      </c>
    </row>
    <row r="42">
      <c r="A42" s="37" t="s">
        <v>45</v>
      </c>
      <c r="B42" s="38">
        <f t="shared" ref="B42:D42" si="10">IF(B41="","",
IF(B$32-B35-B36-B37-B38-B39-B40-B41=0,"",
IF(ABS(B$32-B35-B36-B37-B38-B39-B40-B41)&lt;0.125*(B$31+B35+B36+B37+B38+B39+B40+B41),B$32-B35-B36-B37-B38-B39-B40-B41,
0.125*(B$31+B35+B36+B37+B38+B39+B40+B41)*B$32/ABS(B$32))))</f>
        <v>-0.0005391807556</v>
      </c>
      <c r="C42" s="27">
        <f t="shared" si="10"/>
        <v>-539.1807556</v>
      </c>
      <c r="D42" s="28">
        <f t="shared" si="10"/>
        <v>-0.3744310803</v>
      </c>
    </row>
    <row r="43">
      <c r="A43" s="37" t="s">
        <v>46</v>
      </c>
      <c r="B43" s="38" t="str">
        <f t="shared" ref="B43:D43" si="11">IF(B42="","",
IF(B$32-B35-B36-B37-B38-B39-B40-B41-B42=0,"",
IF(ABS(B$32-B35-B36-B37-B38-B39-B40-B41-B42)&lt;0.125*(B$31+B35+B36+B37+B38+B39+B40+B41+B42),B$32-B35-B36-B37-B38-B39-B40-B41-B42,
0.125*(B$31+B35+B36+B37+B38+B39+B40+B41+B42)*B$32/ABS(B$32))))</f>
        <v/>
      </c>
      <c r="C43" s="27" t="str">
        <f t="shared" si="11"/>
        <v/>
      </c>
      <c r="D43" s="28" t="str">
        <f t="shared" si="11"/>
        <v/>
      </c>
    </row>
    <row r="44">
      <c r="A44" s="37" t="s">
        <v>47</v>
      </c>
      <c r="B44" s="38" t="str">
        <f t="shared" ref="B44:D44" si="12">IF(B43="","",
IF(B$32-B35-B36-B37-B38-B39-B40-B41-B42-B43=0,"",
IF(ABS(B$32-B35-B36-B37-B38-B39-B40-B41-B42-B43)&lt;0.125*(B$31+B35+B36+B37+B38+B39+B40+B41+B42+B43),B$32-B35-B36-B37-B38-B39-B40-B41-B42-B43,
0.125*(B$31+B35+B36+B37+B38+B39+B40+B41+B42+B43)*B$32/ABS(B$32))))</f>
        <v/>
      </c>
      <c r="C44" s="27" t="str">
        <f t="shared" si="12"/>
        <v/>
      </c>
      <c r="D44" s="28" t="str">
        <f t="shared" si="12"/>
        <v/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20:D20"/>
    <mergeCell ref="A23:D23"/>
    <mergeCell ref="A8:D8"/>
    <mergeCell ref="A9:D9"/>
    <mergeCell ref="A10:D10"/>
    <mergeCell ref="A11:D11"/>
    <mergeCell ref="A12:D12"/>
    <mergeCell ref="A13:D13"/>
    <mergeCell ref="A19:D19"/>
  </mergeCells>
  <hyperlinks>
    <hyperlink display="Click here for detailed analysis." location="'Extra 1'!A1" ref="A1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63"/>
    <col customWidth="1" min="2" max="2" width="23.88"/>
    <col customWidth="1" min="3" max="4" width="22.38"/>
    <col customWidth="1" min="5" max="5" width="3.5"/>
    <col customWidth="1" min="8" max="8" width="15.5"/>
    <col customWidth="1" min="9" max="9" width="13.63"/>
  </cols>
  <sheetData>
    <row r="1">
      <c r="A1" s="39" t="s">
        <v>48</v>
      </c>
    </row>
    <row r="2" ht="41.25" customHeight="1">
      <c r="A2" s="40"/>
      <c r="B2" s="40"/>
      <c r="C2" s="40"/>
      <c r="D2" s="41"/>
      <c r="E2" s="40"/>
      <c r="F2" s="42" t="s">
        <v>49</v>
      </c>
    </row>
    <row r="3">
      <c r="A3" s="42" t="s">
        <v>1</v>
      </c>
      <c r="B3" s="40"/>
      <c r="C3" s="40"/>
      <c r="D3" s="41"/>
      <c r="E3" s="40"/>
      <c r="F3" s="40"/>
    </row>
    <row r="4">
      <c r="A4" s="42" t="s">
        <v>50</v>
      </c>
      <c r="B4" s="40"/>
      <c r="C4" s="40"/>
      <c r="D4" s="41"/>
      <c r="E4" s="40"/>
    </row>
    <row r="5">
      <c r="A5" s="42" t="s">
        <v>51</v>
      </c>
      <c r="B5" s="40"/>
      <c r="C5" s="40"/>
      <c r="D5" s="41"/>
      <c r="E5" s="40"/>
    </row>
    <row r="6">
      <c r="A6" s="42" t="s">
        <v>52</v>
      </c>
      <c r="B6" s="40"/>
      <c r="C6" s="40"/>
      <c r="D6" s="41"/>
      <c r="E6" s="40"/>
    </row>
    <row r="7">
      <c r="A7" s="42" t="s">
        <v>53</v>
      </c>
      <c r="B7" s="40"/>
      <c r="C7" s="40"/>
      <c r="D7" s="41"/>
      <c r="E7" s="40"/>
    </row>
    <row r="8">
      <c r="A8" s="40"/>
      <c r="B8" s="40"/>
      <c r="C8" s="40"/>
      <c r="D8" s="41"/>
      <c r="E8" s="40"/>
    </row>
    <row r="9">
      <c r="A9" s="43" t="s">
        <v>14</v>
      </c>
      <c r="D9" s="2"/>
      <c r="E9" s="40"/>
    </row>
    <row r="10">
      <c r="A10" s="42" t="s">
        <v>54</v>
      </c>
      <c r="B10" s="44">
        <v>0.5</v>
      </c>
      <c r="C10" s="42" t="s">
        <v>17</v>
      </c>
      <c r="D10" s="45"/>
      <c r="E10" s="40"/>
    </row>
    <row r="11">
      <c r="A11" s="42" t="s">
        <v>55</v>
      </c>
      <c r="B11" s="44">
        <v>2500.0</v>
      </c>
      <c r="C11" s="42" t="s">
        <v>56</v>
      </c>
      <c r="D11" s="45"/>
      <c r="E11" s="40"/>
    </row>
    <row r="12">
      <c r="A12" s="42" t="s">
        <v>57</v>
      </c>
      <c r="B12" s="44">
        <v>2.0</v>
      </c>
      <c r="C12" s="42" t="s">
        <v>58</v>
      </c>
      <c r="D12" s="45"/>
      <c r="E12" s="40"/>
    </row>
    <row r="13">
      <c r="A13" s="40"/>
      <c r="B13" s="40"/>
      <c r="C13" s="40"/>
      <c r="D13" s="41"/>
      <c r="E13" s="40"/>
      <c r="F13" s="40"/>
      <c r="G13" s="40"/>
      <c r="H13" s="40"/>
      <c r="I13" s="40"/>
    </row>
    <row r="14">
      <c r="A14" s="46" t="s">
        <v>59</v>
      </c>
      <c r="D14" s="2"/>
      <c r="E14" s="40"/>
      <c r="F14" s="46" t="s">
        <v>60</v>
      </c>
    </row>
    <row r="15">
      <c r="A15" s="47" t="s">
        <v>61</v>
      </c>
      <c r="B15" s="47" t="s">
        <v>62</v>
      </c>
      <c r="C15" s="47" t="s">
        <v>63</v>
      </c>
      <c r="D15" s="47" t="s">
        <v>64</v>
      </c>
      <c r="E15" s="40"/>
      <c r="F15" s="40"/>
    </row>
    <row r="16">
      <c r="A16" s="48">
        <v>0.0</v>
      </c>
      <c r="B16" s="49">
        <v>2000.0</v>
      </c>
      <c r="C16" s="50">
        <f t="shared" ref="C16:C25" si="1">IF(B16="","",ROUND(B$11*B$12*1000/B16,0))</f>
        <v>2500</v>
      </c>
      <c r="D16" s="51"/>
      <c r="E16" s="40"/>
    </row>
    <row r="17">
      <c r="A17" s="48">
        <v>5.0</v>
      </c>
      <c r="B17" s="49">
        <v>1500.0</v>
      </c>
      <c r="C17" s="50">
        <f t="shared" si="1"/>
        <v>3333</v>
      </c>
      <c r="D17" s="51"/>
      <c r="E17" s="40"/>
    </row>
    <row r="18">
      <c r="A18" s="48">
        <v>10.0</v>
      </c>
      <c r="B18" s="49">
        <v>1200.0</v>
      </c>
      <c r="C18" s="50">
        <f t="shared" si="1"/>
        <v>4167</v>
      </c>
      <c r="D18" s="51"/>
      <c r="E18" s="40"/>
    </row>
    <row r="19">
      <c r="A19" s="48">
        <v>15.0</v>
      </c>
      <c r="B19" s="49">
        <v>1000.0</v>
      </c>
      <c r="C19" s="50">
        <f t="shared" si="1"/>
        <v>5000</v>
      </c>
      <c r="D19" s="51"/>
      <c r="E19" s="40"/>
    </row>
    <row r="20">
      <c r="A20" s="48">
        <v>20.0</v>
      </c>
      <c r="B20" s="49">
        <v>850.0</v>
      </c>
      <c r="C20" s="50">
        <f t="shared" si="1"/>
        <v>5882</v>
      </c>
      <c r="D20" s="51"/>
      <c r="E20" s="40"/>
    </row>
    <row r="21">
      <c r="A21" s="48">
        <v>25.0</v>
      </c>
      <c r="B21" s="49">
        <v>700.0</v>
      </c>
      <c r="C21" s="50">
        <f t="shared" si="1"/>
        <v>7143</v>
      </c>
      <c r="D21" s="51"/>
      <c r="E21" s="40"/>
    </row>
    <row r="22">
      <c r="A22" s="48">
        <v>30.0</v>
      </c>
      <c r="B22" s="49">
        <v>600.0</v>
      </c>
      <c r="C22" s="50">
        <f t="shared" si="1"/>
        <v>8333</v>
      </c>
      <c r="D22" s="51"/>
      <c r="E22" s="40"/>
    </row>
    <row r="23">
      <c r="A23" s="48">
        <v>40.0</v>
      </c>
      <c r="B23" s="49">
        <v>580.0</v>
      </c>
      <c r="C23" s="50">
        <f t="shared" si="1"/>
        <v>8621</v>
      </c>
      <c r="D23" s="51"/>
      <c r="E23" s="40"/>
    </row>
    <row r="24">
      <c r="A24" s="48">
        <v>50.0</v>
      </c>
      <c r="B24" s="49">
        <v>570.0</v>
      </c>
      <c r="C24" s="50">
        <f t="shared" si="1"/>
        <v>8772</v>
      </c>
      <c r="D24" s="51"/>
      <c r="E24" s="40"/>
    </row>
    <row r="25">
      <c r="A25" s="52">
        <v>60.0</v>
      </c>
      <c r="B25" s="53">
        <v>565.0</v>
      </c>
      <c r="C25" s="54">
        <f t="shared" si="1"/>
        <v>8850</v>
      </c>
      <c r="D25" s="55"/>
      <c r="E25" s="40"/>
    </row>
    <row r="26">
      <c r="A26" s="48">
        <v>90.0</v>
      </c>
      <c r="B26" s="56"/>
      <c r="C26" s="50"/>
      <c r="D26" s="57"/>
      <c r="E26" s="40"/>
    </row>
    <row r="27">
      <c r="A27" s="48">
        <v>120.0</v>
      </c>
      <c r="B27" s="56"/>
      <c r="C27" s="50"/>
      <c r="D27" s="58"/>
      <c r="E27" s="40"/>
    </row>
    <row r="28">
      <c r="A28" s="48">
        <v>150.0</v>
      </c>
      <c r="B28" s="56"/>
      <c r="C28" s="50"/>
      <c r="D28" s="58"/>
      <c r="E28" s="40"/>
    </row>
    <row r="29">
      <c r="A29" s="48">
        <v>180.0</v>
      </c>
      <c r="B29" s="56"/>
      <c r="C29" s="50"/>
      <c r="D29" s="58"/>
      <c r="E29" s="40"/>
    </row>
    <row r="30">
      <c r="A30" s="59">
        <v>240.0</v>
      </c>
      <c r="B30" s="60"/>
      <c r="C30" s="61"/>
      <c r="D30" s="62"/>
      <c r="E30" s="40"/>
    </row>
    <row r="31">
      <c r="A31" s="63"/>
      <c r="B31" s="64"/>
      <c r="C31" s="64"/>
      <c r="D31" s="65"/>
      <c r="E31" s="64"/>
      <c r="F31" s="66"/>
      <c r="G31" s="66"/>
      <c r="H31" s="64"/>
      <c r="I31" s="66"/>
    </row>
    <row r="32">
      <c r="A32" s="67" t="s">
        <v>27</v>
      </c>
      <c r="B32" s="7" t="s">
        <v>28</v>
      </c>
      <c r="C32" s="68" t="s">
        <v>29</v>
      </c>
      <c r="D32" s="69" t="s">
        <v>30</v>
      </c>
      <c r="E32" s="64"/>
      <c r="F32" s="43" t="s">
        <v>65</v>
      </c>
    </row>
    <row r="33">
      <c r="A33" s="42" t="s">
        <v>66</v>
      </c>
      <c r="B33" s="70">
        <f>IF(OR(B10="",B11="",B12="",H35=""),"",(B10*B11)/(H35-B11))</f>
        <v>0.106058035</v>
      </c>
      <c r="C33" s="71">
        <f t="shared" ref="C33:C35" si="2">IF(B33="","",B33*1000000)</f>
        <v>106058.035</v>
      </c>
      <c r="D33" s="72">
        <f t="shared" ref="D33:D34" si="3">IF(B33="","",(B33*10^6)/(24*60))</f>
        <v>73.65141316</v>
      </c>
      <c r="E33" s="64"/>
      <c r="F33" s="46" t="s">
        <v>67</v>
      </c>
    </row>
    <row r="34">
      <c r="A34" s="4" t="s">
        <v>68</v>
      </c>
      <c r="B34" s="73">
        <v>0.085</v>
      </c>
      <c r="C34" s="71">
        <f t="shared" si="2"/>
        <v>85000</v>
      </c>
      <c r="D34" s="72">
        <f t="shared" si="3"/>
        <v>59.02777778</v>
      </c>
      <c r="E34" s="64"/>
      <c r="F34" s="42" t="s">
        <v>69</v>
      </c>
      <c r="H34" s="44">
        <v>30.0</v>
      </c>
      <c r="I34" s="42" t="s">
        <v>70</v>
      </c>
    </row>
    <row r="35">
      <c r="A35" s="4" t="s">
        <v>71</v>
      </c>
      <c r="B35" s="74">
        <f>IF(OR(B33="",B34=""),"",B33-B34)</f>
        <v>0.02105803496</v>
      </c>
      <c r="C35" s="71">
        <f t="shared" si="2"/>
        <v>21058.03496</v>
      </c>
      <c r="D35" s="75">
        <f>IF(OR(D33="",D34=""),"",D33-D34)</f>
        <v>14.62363539</v>
      </c>
      <c r="E35" s="64"/>
      <c r="F35" s="42" t="s">
        <v>72</v>
      </c>
      <c r="H35" s="76">
        <v>14286.0</v>
      </c>
      <c r="I35" s="42" t="s">
        <v>73</v>
      </c>
    </row>
    <row r="36">
      <c r="A36" s="77"/>
      <c r="B36" s="7"/>
      <c r="C36" s="7"/>
      <c r="D36" s="78"/>
      <c r="E36" s="64"/>
      <c r="F36" s="79" t="s">
        <v>74</v>
      </c>
    </row>
    <row r="37">
      <c r="A37" s="35" t="s">
        <v>34</v>
      </c>
      <c r="B37" s="7" t="s">
        <v>35</v>
      </c>
      <c r="C37" s="7" t="s">
        <v>36</v>
      </c>
      <c r="D37" s="78" t="s">
        <v>37</v>
      </c>
      <c r="E37" s="64"/>
      <c r="F37" s="42"/>
    </row>
    <row r="38">
      <c r="A38" s="37" t="s">
        <v>38</v>
      </c>
      <c r="B38" s="80">
        <f t="shared" ref="B38:D38" si="4">IF(B35="","",
IF(B35=0,"",
IF(ABS(B$35)&lt;0.125*B$34,B$35,0.125*B$34*B$35/ABS(B$35))))</f>
        <v>0.010625</v>
      </c>
      <c r="C38" s="81">
        <f t="shared" si="4"/>
        <v>10625</v>
      </c>
      <c r="D38" s="82">
        <f t="shared" si="4"/>
        <v>7.378472222</v>
      </c>
      <c r="E38" s="64"/>
      <c r="F38" s="4" t="s">
        <v>1</v>
      </c>
    </row>
    <row r="39">
      <c r="A39" s="37" t="s">
        <v>39</v>
      </c>
      <c r="B39" s="80">
        <f t="shared" ref="B39:D39" si="5">IF(B38="","",
IF(B$35-B38=0,"",
IF(ABS(B$35-B38)&lt;0.125*(B$34+B38),B$35-B38,
0.125*(B$34+B38)*B$35/ABS(B$35))))</f>
        <v>0.01043303496</v>
      </c>
      <c r="C39" s="81">
        <f t="shared" si="5"/>
        <v>10433.03496</v>
      </c>
      <c r="D39" s="82">
        <f t="shared" si="5"/>
        <v>7.245163164</v>
      </c>
      <c r="E39" s="64"/>
      <c r="F39" s="4" t="s">
        <v>75</v>
      </c>
    </row>
    <row r="40">
      <c r="A40" s="37" t="s">
        <v>40</v>
      </c>
      <c r="B40" s="80" t="str">
        <f t="shared" ref="B40:D40" si="6">IF(B39="","",
IF(B$35-B38-B39=0,"",
IF(ABS(B$35-B38-B39)&lt;0.125*(B$34+B38+B39),B$35-B38-B39,
0.125*(B$34+B38+B39)*B$35/ABS(B$35))))</f>
        <v/>
      </c>
      <c r="C40" s="81" t="str">
        <f t="shared" si="6"/>
        <v/>
      </c>
      <c r="D40" s="82" t="str">
        <f t="shared" si="6"/>
        <v/>
      </c>
      <c r="E40" s="64"/>
      <c r="F40" s="4" t="s">
        <v>76</v>
      </c>
    </row>
    <row r="41">
      <c r="A41" s="37" t="s">
        <v>41</v>
      </c>
      <c r="B41" s="80" t="str">
        <f t="shared" ref="B41:D41" si="7">IF(B40="","",
IF(B$35-B38-B39-B40=0,"",
IF(ABS(B$35-B38-B39-B40)&lt;0.125*(B$34+B38+B39+B40),B$35-B38-B39-B40,
0.125*(B$34+B38+B39+B40)*B$35/ABS(B$35))))</f>
        <v/>
      </c>
      <c r="C41" s="81" t="str">
        <f t="shared" si="7"/>
        <v/>
      </c>
      <c r="D41" s="82" t="str">
        <f t="shared" si="7"/>
        <v/>
      </c>
      <c r="E41" s="64"/>
      <c r="F41" s="42" t="s">
        <v>77</v>
      </c>
    </row>
    <row r="42">
      <c r="A42" s="37" t="s">
        <v>42</v>
      </c>
      <c r="B42" s="80" t="str">
        <f t="shared" ref="B42:D42" si="8">IF(B41="","",
IF(B$35-B38-B39-B40-B41=0,"",
IF(ABS(B$35-B38-B39-B40-B41)&lt;0.125*(B$34+B38+B39+B40+B41),B$35-B38-B39-B40-B41,
0.125*(B$34+B38+B39+B40+B41)*B$35/ABS(B$35))))</f>
        <v/>
      </c>
      <c r="C42" s="81" t="str">
        <f t="shared" si="8"/>
        <v/>
      </c>
      <c r="D42" s="82" t="str">
        <f t="shared" si="8"/>
        <v/>
      </c>
      <c r="E42" s="64"/>
      <c r="F42" s="42" t="s">
        <v>78</v>
      </c>
    </row>
    <row r="43">
      <c r="A43" s="37" t="s">
        <v>43</v>
      </c>
      <c r="B43" s="80" t="str">
        <f t="shared" ref="B43:D43" si="9">IF(B42="","",
IF(B$35-B38-B39-B40-B41-B42=0,"",
IF(ABS(B$35-B38-B39-B40-B41-B42)&lt;0.125*(B$34+B38+B39+B40+B41+B42),B$35-B38-B39-B40-B41-B42,
0.125*(B$34+B38+B39+B40+B41+B42)*B$35/ABS(B$35))))</f>
        <v/>
      </c>
      <c r="C43" s="81" t="str">
        <f t="shared" si="9"/>
        <v/>
      </c>
      <c r="D43" s="82" t="str">
        <f t="shared" si="9"/>
        <v/>
      </c>
      <c r="E43" s="64"/>
      <c r="F43" s="42"/>
      <c r="G43" s="42"/>
      <c r="H43" s="64"/>
      <c r="I43" s="42"/>
    </row>
    <row r="44">
      <c r="A44" s="37" t="s">
        <v>44</v>
      </c>
      <c r="B44" s="80" t="str">
        <f t="shared" ref="B44:D44" si="10">IF(B43="","",
IF(B$35-B38-B39-B40-B41-B42-B43=0,"",
IF(ABS(B$35-B38-B39-B40-B41-B42-B43)&lt;0.125*(B$34+B38+B39+B40+B41+B42+B43),B$35-B38-B39-B40-B41-B42-B43,
0.125*(B$34+B38+B39+B40+B41+B42+B43)*B$35/ABS(B$35))))</f>
        <v/>
      </c>
      <c r="C44" s="81" t="str">
        <f t="shared" si="10"/>
        <v/>
      </c>
      <c r="D44" s="82" t="str">
        <f t="shared" si="10"/>
        <v/>
      </c>
      <c r="E44" s="64"/>
      <c r="F44" s="42"/>
      <c r="G44" s="42"/>
      <c r="H44" s="64"/>
      <c r="I44" s="42"/>
    </row>
    <row r="45">
      <c r="A45" s="37" t="s">
        <v>45</v>
      </c>
      <c r="B45" s="80" t="str">
        <f t="shared" ref="B45:D45" si="11">IF(B44="","",
IF(B$35-B38-B39-B40-B41-B42-B43-B44=0,"",
IF(ABS(B$35-B38-B39-B40-B41-B42-B43-B44)&lt;0.125*(B$34+B38+B39+B40+B41+B42+B43+B44),B$35-B38-B39-B40-B41-B42-B43-B44,
0.125*(B$34+B38+B39+B40+B41+B42+B43+B44)*B$35/ABS(B$35))))</f>
        <v/>
      </c>
      <c r="C45" s="81" t="str">
        <f t="shared" si="11"/>
        <v/>
      </c>
      <c r="D45" s="82" t="str">
        <f t="shared" si="11"/>
        <v/>
      </c>
      <c r="E45" s="64"/>
      <c r="F45" s="42"/>
      <c r="G45" s="42"/>
      <c r="H45" s="64"/>
      <c r="I45" s="42"/>
    </row>
    <row r="46">
      <c r="A46" s="37" t="s">
        <v>46</v>
      </c>
      <c r="B46" s="80" t="str">
        <f t="shared" ref="B46:D46" si="12">IF(B45="","",
IF(B$35-B38-B39-B40-B41-B42-B43-B44-B45=0,"",
IF(ABS(B$35-B38-B39-B40-B41-B42-B43-B44-B45)&lt;0.125*(B$34+B38+B39+B40+B41+B42+B43+B44+B45),B$35-B38-B39-B40-B41-B42-B43-B44-B45,
0.125*(B$34+B38+B39+B40+B41+B42+B43+B44+B45)*B$35/ABS(B$35))))</f>
        <v/>
      </c>
      <c r="C46" s="81" t="str">
        <f t="shared" si="12"/>
        <v/>
      </c>
      <c r="D46" s="82" t="str">
        <f t="shared" si="12"/>
        <v/>
      </c>
      <c r="E46" s="64"/>
      <c r="F46" s="42"/>
      <c r="G46" s="42"/>
      <c r="H46" s="64"/>
      <c r="I46" s="42"/>
    </row>
    <row r="47">
      <c r="A47" s="37" t="s">
        <v>47</v>
      </c>
      <c r="B47" s="80" t="str">
        <f t="shared" ref="B47:D47" si="13">IF(B46="","",
IF(B$35-B38-B39-B40-B41-B42-B43-B44-B45-B46=0,"",
IF(ABS(B$35-B38-B39-B40-B41-B42-B43-B44-B45-B46)&lt;0.125*(B$34+B38+B39+B40+B41+B42+B43+B44+B45+B46),B$35-B38-B39-B40-B41-B42-B43-B44-B45-B46,
0.125*(B$34+B38+B39+B40+B41+B42+B43+B44+B45+B46)*B$35/ABS(B$35))))</f>
        <v/>
      </c>
      <c r="C47" s="81" t="str">
        <f t="shared" si="13"/>
        <v/>
      </c>
      <c r="D47" s="82" t="str">
        <f t="shared" si="13"/>
        <v/>
      </c>
      <c r="E47" s="64"/>
      <c r="F47" s="42"/>
      <c r="G47" s="42"/>
      <c r="H47" s="64"/>
      <c r="I47" s="42"/>
    </row>
  </sheetData>
  <mergeCells count="19">
    <mergeCell ref="A1:I1"/>
    <mergeCell ref="F2:I2"/>
    <mergeCell ref="F3:I12"/>
    <mergeCell ref="A9:D9"/>
    <mergeCell ref="A14:D14"/>
    <mergeCell ref="F14:I14"/>
    <mergeCell ref="D26:D30"/>
    <mergeCell ref="F38:I38"/>
    <mergeCell ref="F39:I39"/>
    <mergeCell ref="F40:I40"/>
    <mergeCell ref="F41:I41"/>
    <mergeCell ref="F42:I42"/>
    <mergeCell ref="F15:I30"/>
    <mergeCell ref="F32:I32"/>
    <mergeCell ref="F33:I33"/>
    <mergeCell ref="F34:G34"/>
    <mergeCell ref="F35:G35"/>
    <mergeCell ref="F36:I36"/>
    <mergeCell ref="F37:I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83" t="s">
        <v>79</v>
      </c>
    </row>
    <row r="2">
      <c r="A2" s="84" t="s">
        <v>80</v>
      </c>
    </row>
    <row r="3">
      <c r="A3" s="85" t="s">
        <v>81</v>
      </c>
    </row>
    <row r="4">
      <c r="A4" s="85" t="s">
        <v>82</v>
      </c>
    </row>
    <row r="5">
      <c r="A5" s="85" t="s">
        <v>83</v>
      </c>
    </row>
    <row r="6">
      <c r="A6" s="85" t="s">
        <v>84</v>
      </c>
    </row>
    <row r="7">
      <c r="A7" s="85" t="s">
        <v>85</v>
      </c>
    </row>
  </sheetData>
  <drawing r:id="rId1"/>
</worksheet>
</file>