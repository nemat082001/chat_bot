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-Solution" sheetId="1" r:id="rId4"/>
    <sheet state="visible" name="Draft" sheetId="2" r:id="rId5"/>
    <sheet state="visible" name="Solution Codes" sheetId="3" r:id="rId6"/>
  </sheets>
  <definedNames/>
  <calcPr/>
</workbook>
</file>

<file path=xl/sharedStrings.xml><?xml version="1.0" encoding="utf-8"?>
<sst xmlns="http://schemas.openxmlformats.org/spreadsheetml/2006/main" count="89" uniqueCount="63">
  <si>
    <t>CODE</t>
  </si>
  <si>
    <t>CAUSE</t>
  </si>
  <si>
    <t>SOLUTION CODES</t>
  </si>
  <si>
    <t>L1</t>
  </si>
  <si>
    <t>Secondary Effluent Stream</t>
  </si>
  <si>
    <t>L2</t>
  </si>
  <si>
    <t>Diverted Sidestream (Bypassing Secondary Treatment)</t>
  </si>
  <si>
    <t>L3</t>
  </si>
  <si>
    <t>Aeration Basin</t>
  </si>
  <si>
    <t>L4</t>
  </si>
  <si>
    <t>Distribution Channel (Aeration Basin Outlet to Splitter Box)</t>
  </si>
  <si>
    <t>L5</t>
  </si>
  <si>
    <t>Distribution Channel (Splitter Box to Secondary Clarifier Center Well)</t>
  </si>
  <si>
    <t>L6</t>
  </si>
  <si>
    <t>Secondary Clarifier</t>
  </si>
  <si>
    <t>L7</t>
  </si>
  <si>
    <t>Primary Treatment Stage</t>
  </si>
  <si>
    <t>L8</t>
  </si>
  <si>
    <t>Sludge Handling Operations</t>
  </si>
  <si>
    <t>SOLUTION</t>
  </si>
  <si>
    <t>Spills / Slug Loads</t>
  </si>
  <si>
    <t>O&amp;M - General</t>
  </si>
  <si>
    <t>O&amp;M - Pre/Primary treatment</t>
  </si>
  <si>
    <t>O&amp;M - Sludge Thickening/ Dewatering Operations</t>
  </si>
  <si>
    <t>O&amp;M - Anaerobic Digester</t>
  </si>
  <si>
    <t>ID</t>
  </si>
  <si>
    <t>S1</t>
  </si>
  <si>
    <t>RAS</t>
  </si>
  <si>
    <t>S2</t>
  </si>
  <si>
    <t>WAS</t>
  </si>
  <si>
    <t>S3</t>
  </si>
  <si>
    <t>Aeration</t>
  </si>
  <si>
    <t>S4</t>
  </si>
  <si>
    <t>Acid Dosing</t>
  </si>
  <si>
    <t>S5</t>
  </si>
  <si>
    <t>Alkali Dosing</t>
  </si>
  <si>
    <t>S6</t>
  </si>
  <si>
    <t>Nutrient Dosing</t>
  </si>
  <si>
    <t>S7</t>
  </si>
  <si>
    <t>Polymer Dosing</t>
  </si>
  <si>
    <t>S8</t>
  </si>
  <si>
    <t>Chlorine Dosing</t>
  </si>
  <si>
    <t>S9</t>
  </si>
  <si>
    <t>Odor Control</t>
  </si>
  <si>
    <t>S10</t>
  </si>
  <si>
    <t>DO Supplementation</t>
  </si>
  <si>
    <t>S11</t>
  </si>
  <si>
    <t>Bioaugmentation</t>
  </si>
  <si>
    <t>S12</t>
  </si>
  <si>
    <t>Hydraulics</t>
  </si>
  <si>
    <t>S13</t>
  </si>
  <si>
    <t>Foam Control</t>
  </si>
  <si>
    <t>S14</t>
  </si>
  <si>
    <t>Temperature Control</t>
  </si>
  <si>
    <t>S15</t>
  </si>
  <si>
    <t>S16</t>
  </si>
  <si>
    <t>S17</t>
  </si>
  <si>
    <t>O&amp;M - Aeration Basin</t>
  </si>
  <si>
    <t>S18</t>
  </si>
  <si>
    <t>O&amp;M - Clarifier</t>
  </si>
  <si>
    <t>S19</t>
  </si>
  <si>
    <t>S20</t>
  </si>
  <si>
    <t>S21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</si>
</sst>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rgb="FFFF0000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  <font>
      <b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0" fillId="3" fontId="4" numFmtId="0" xfId="0" applyFill="1" applyFont="1"/>
    <xf borderId="0" fillId="2" fontId="5" numFmtId="0" xfId="0" applyAlignment="1" applyFont="1">
      <alignment vertical="center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3" numFmtId="0" xfId="0" applyAlignment="1" applyFont="1">
      <alignment vertical="bottom"/>
    </xf>
    <xf borderId="0" fillId="4" fontId="7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88"/>
    <col customWidth="1" min="2" max="2" width="50.5"/>
    <col customWidth="1" min="3" max="9" width="4.5"/>
    <col customWidth="1" min="10" max="11" width="3.88"/>
  </cols>
  <sheetData>
    <row r="1">
      <c r="A1" s="1" t="s">
        <v>0</v>
      </c>
      <c r="B1" s="1" t="s">
        <v>1</v>
      </c>
      <c r="C1" s="2" t="s">
        <v>2</v>
      </c>
      <c r="K1" s="1"/>
    </row>
    <row r="2">
      <c r="A2" s="3" t="s">
        <v>3</v>
      </c>
      <c r="B2" s="4" t="s">
        <v>4</v>
      </c>
      <c r="C2" s="5" t="str">
        <f t="array" ref="C2">IFERROR(INDEX('Solution Codes'!$A$2:$A9,MATCH(Draft!C2,'Solution Codes'!$B$2:$B9,0)))</f>
        <v>S15</v>
      </c>
      <c r="D2" s="5" t="str">
        <f t="array" ref="D2">IFERROR(INDEX('Solution Codes'!$A$2:$A9,MATCH(Draft!D2,'Solution Codes'!$B$2:$B9,0)))</f>
        <v/>
      </c>
      <c r="E2" s="5" t="str">
        <f t="array" ref="E2">IFERROR(INDEX('Solution Codes'!$A$2:$A9,MATCH(Draft!E2,'Solution Codes'!$B$2:$B9,0)))</f>
        <v/>
      </c>
      <c r="F2" s="5" t="str">
        <f t="array" ref="F2">IFERROR(INDEX('Solution Codes'!$A$2:$A9,MATCH(Draft!F2,'Solution Codes'!$B$2:$B9,0)))</f>
        <v/>
      </c>
      <c r="G2" s="5" t="str">
        <f t="array" ref="G2">IFERROR(INDEX('Solution Codes'!$A$2:$A9,MATCH(Draft!G2,'Solution Codes'!$B$2:$B9,0)))</f>
        <v/>
      </c>
      <c r="H2" s="5" t="str">
        <f t="array" ref="H2">IFERROR(INDEX('Solution Codes'!$A$2:$A9,MATCH(Draft!H2,'Solution Codes'!$B$2:$B9,0)))</f>
        <v/>
      </c>
      <c r="I2" s="5" t="str">
        <f t="array" ref="I2">IFERROR(INDEX('Solution Codes'!$A$2:$A9,MATCH(Draft!I2,'Solution Codes'!$B$2:$B9,0)))</f>
        <v/>
      </c>
      <c r="J2" s="5" t="str">
        <f t="array" ref="J2">IFERROR(INDEX('Solution Codes'!$A$2:$A9,MATCH(Draft!J2,'Solution Codes'!$B$2:$B9,0)))</f>
        <v/>
      </c>
      <c r="K2" s="5" t="str">
        <f t="array" ref="K2">IFERROR(INDEX('Solution Codes'!$A$2:$A9,MATCH(Draft!K2,'Solution Codes'!$B$2:$B9,0)))</f>
        <v/>
      </c>
    </row>
    <row r="3">
      <c r="A3" s="3" t="s">
        <v>5</v>
      </c>
      <c r="B3" s="4" t="s">
        <v>6</v>
      </c>
      <c r="C3" s="5" t="str">
        <f t="array" ref="C3">IFERROR(INDEX('Solution Codes'!$A$2:$A9,MATCH(Draft!C3,'Solution Codes'!$B$2:$B9,0)))</f>
        <v>S15</v>
      </c>
      <c r="D3" s="5" t="str">
        <f t="array" ref="D3">IFERROR(INDEX('Solution Codes'!$A$2:$A9,MATCH(Draft!D3,'Solution Codes'!$B$2:$B9,0)))</f>
        <v/>
      </c>
      <c r="E3" s="5" t="str">
        <f t="array" ref="E3">IFERROR(INDEX('Solution Codes'!$A$2:$A9,MATCH(Draft!E3,'Solution Codes'!$B$2:$B9,0)))</f>
        <v/>
      </c>
      <c r="F3" s="5" t="str">
        <f t="array" ref="F3">IFERROR(INDEX('Solution Codes'!$A$2:$A9,MATCH(Draft!F3,'Solution Codes'!$B$2:$B9,0)))</f>
        <v/>
      </c>
      <c r="G3" s="5" t="str">
        <f t="array" ref="G3">IFERROR(INDEX('Solution Codes'!$A$2:$A9,MATCH(Draft!G3,'Solution Codes'!$B$2:$B9,0)))</f>
        <v/>
      </c>
      <c r="H3" s="5" t="str">
        <f t="array" ref="H3">IFERROR(INDEX('Solution Codes'!$A$2:$A9,MATCH(Draft!H3,'Solution Codes'!$B$2:$B9,0)))</f>
        <v/>
      </c>
      <c r="I3" s="5" t="str">
        <f t="array" ref="I3">IFERROR(INDEX('Solution Codes'!$A$2:$A9,MATCH(Draft!I3,'Solution Codes'!$B$2:$B9,0)))</f>
        <v/>
      </c>
      <c r="J3" s="5" t="str">
        <f t="array" ref="J3">IFERROR(INDEX('Solution Codes'!$A$2:$A9,MATCH(Draft!J3,'Solution Codes'!$B$2:$B9,0)))</f>
        <v/>
      </c>
      <c r="K3" s="5" t="str">
        <f t="array" ref="K3">IFERROR(INDEX('Solution Codes'!$A$2:$A9,MATCH(Draft!K3,'Solution Codes'!$B$2:$B9,0)))</f>
        <v/>
      </c>
    </row>
    <row r="4">
      <c r="A4" s="3" t="s">
        <v>7</v>
      </c>
      <c r="B4" s="4" t="s">
        <v>8</v>
      </c>
      <c r="C4" s="5" t="str">
        <f t="array" ref="C4">IFERROR(INDEX('Solution Codes'!$A$2:$A9,MATCH(Draft!C4,'Solution Codes'!$B$2:$B9,0)))</f>
        <v/>
      </c>
      <c r="D4" s="5" t="str">
        <f t="array" ref="D4">IFERROR(INDEX('Solution Codes'!$A$2:$A9,MATCH(Draft!D4,'Solution Codes'!$B$2:$B9,0)))</f>
        <v/>
      </c>
      <c r="E4" s="5" t="str">
        <f t="array" ref="E4">IFERROR(INDEX('Solution Codes'!$A$2:$A9,MATCH(Draft!E4,'Solution Codes'!$B$2:$B9,0)))</f>
        <v/>
      </c>
      <c r="F4" s="5" t="str">
        <f t="array" ref="F4">IFERROR(INDEX('Solution Codes'!$A$2:$A9,MATCH(Draft!F4,'Solution Codes'!$B$2:$B9,0)))</f>
        <v/>
      </c>
      <c r="G4" s="5" t="str">
        <f t="array" ref="G4">IFERROR(INDEX('Solution Codes'!$A$2:$A9,MATCH(Draft!G4,'Solution Codes'!$B$2:$B9,0)))</f>
        <v/>
      </c>
      <c r="H4" s="5" t="str">
        <f t="array" ref="H4">IFERROR(INDEX('Solution Codes'!$A$2:$A9,MATCH(Draft!H4,'Solution Codes'!$B$2:$B9,0)))</f>
        <v/>
      </c>
      <c r="I4" s="5" t="str">
        <f t="array" ref="I4">IFERROR(INDEX('Solution Codes'!$A$2:$A9,MATCH(Draft!I4,'Solution Codes'!$B$2:$B9,0)))</f>
        <v/>
      </c>
      <c r="J4" s="5" t="str">
        <f t="array" ref="J4">IFERROR(INDEX('Solution Codes'!$A$2:$A9,MATCH(Draft!J4,'Solution Codes'!$B$2:$B9,0)))</f>
        <v/>
      </c>
      <c r="K4" s="5" t="str">
        <f t="array" ref="K4">IFERROR(INDEX('Solution Codes'!$A$2:$A9,MATCH(Draft!K4,'Solution Codes'!$B$2:$B9,0)))</f>
        <v/>
      </c>
    </row>
    <row r="5">
      <c r="A5" s="3" t="s">
        <v>9</v>
      </c>
      <c r="B5" s="4" t="s">
        <v>10</v>
      </c>
      <c r="C5" s="5" t="str">
        <f t="array" ref="C5">IFERROR(INDEX('Solution Codes'!$A$2:$A9,MATCH(Draft!C5,'Solution Codes'!$B$2:$B9,0)))</f>
        <v>S21</v>
      </c>
      <c r="D5" s="5" t="str">
        <f t="array" ref="D5">IFERROR(INDEX('Solution Codes'!$A$2:$A9,MATCH(Draft!D5,'Solution Codes'!$B$2:$B9,0)))</f>
        <v/>
      </c>
      <c r="E5" s="5" t="str">
        <f t="array" ref="E5">IFERROR(INDEX('Solution Codes'!$A$2:$A9,MATCH(Draft!E5,'Solution Codes'!$B$2:$B9,0)))</f>
        <v/>
      </c>
      <c r="F5" s="5" t="str">
        <f t="array" ref="F5">IFERROR(INDEX('Solution Codes'!$A$2:$A9,MATCH(Draft!F5,'Solution Codes'!$B$2:$B9,0)))</f>
        <v/>
      </c>
      <c r="G5" s="5" t="str">
        <f t="array" ref="G5">IFERROR(INDEX('Solution Codes'!$A$2:$A9,MATCH(Draft!G5,'Solution Codes'!$B$2:$B9,0)))</f>
        <v/>
      </c>
      <c r="H5" s="5" t="str">
        <f t="array" ref="H5">IFERROR(INDEX('Solution Codes'!$A$2:$A9,MATCH(Draft!H5,'Solution Codes'!$B$2:$B9,0)))</f>
        <v/>
      </c>
      <c r="I5" s="5" t="str">
        <f t="array" ref="I5">IFERROR(INDEX('Solution Codes'!$A$2:$A9,MATCH(Draft!I5,'Solution Codes'!$B$2:$B9,0)))</f>
        <v/>
      </c>
      <c r="J5" s="5" t="str">
        <f t="array" ref="J5">IFERROR(INDEX('Solution Codes'!$A$2:$A9,MATCH(Draft!J5,'Solution Codes'!$B$2:$B9,0)))</f>
        <v/>
      </c>
      <c r="K5" s="5" t="str">
        <f t="array" ref="K5">IFERROR(INDEX('Solution Codes'!$A$2:$A9,MATCH(Draft!K5,'Solution Codes'!$B$2:$B9,0)))</f>
        <v/>
      </c>
    </row>
    <row r="6">
      <c r="A6" s="3" t="s">
        <v>11</v>
      </c>
      <c r="B6" s="4" t="s">
        <v>12</v>
      </c>
      <c r="C6" s="5" t="str">
        <f t="array" ref="C6">IFERROR(INDEX('Solution Codes'!$A$2:$A9,MATCH(Draft!C6,'Solution Codes'!$B$2:$B9,0)))</f>
        <v>S21</v>
      </c>
      <c r="D6" s="5" t="str">
        <f t="array" ref="D6">IFERROR(INDEX('Solution Codes'!$A$2:$A9,MATCH(Draft!D6,'Solution Codes'!$B$2:$B9,0)))</f>
        <v/>
      </c>
      <c r="E6" s="5" t="str">
        <f t="array" ref="E6">IFERROR(INDEX('Solution Codes'!$A$2:$A9,MATCH(Draft!E6,'Solution Codes'!$B$2:$B9,0)))</f>
        <v/>
      </c>
      <c r="F6" s="5" t="str">
        <f t="array" ref="F6">IFERROR(INDEX('Solution Codes'!$A$2:$A9,MATCH(Draft!F6,'Solution Codes'!$B$2:$B9,0)))</f>
        <v/>
      </c>
      <c r="G6" s="5" t="str">
        <f t="array" ref="G6">IFERROR(INDEX('Solution Codes'!$A$2:$A9,MATCH(Draft!G6,'Solution Codes'!$B$2:$B9,0)))</f>
        <v/>
      </c>
      <c r="H6" s="5" t="str">
        <f t="array" ref="H6">IFERROR(INDEX('Solution Codes'!$A$2:$A9,MATCH(Draft!H6,'Solution Codes'!$B$2:$B9,0)))</f>
        <v/>
      </c>
      <c r="I6" s="5" t="str">
        <f t="array" ref="I6">IFERROR(INDEX('Solution Codes'!$A$2:$A9,MATCH(Draft!I6,'Solution Codes'!$B$2:$B9,0)))</f>
        <v/>
      </c>
      <c r="J6" s="5" t="str">
        <f t="array" ref="J6">IFERROR(INDEX('Solution Codes'!$A$2:$A9,MATCH(Draft!J6,'Solution Codes'!$B$2:$B9,0)))</f>
        <v/>
      </c>
      <c r="K6" s="5" t="str">
        <f t="array" ref="K6">IFERROR(INDEX('Solution Codes'!$A$2:$A9,MATCH(Draft!K6,'Solution Codes'!$B$2:$B9,0)))</f>
        <v/>
      </c>
    </row>
    <row r="7">
      <c r="A7" s="3" t="s">
        <v>13</v>
      </c>
      <c r="B7" s="4" t="s">
        <v>14</v>
      </c>
      <c r="C7" s="5" t="str">
        <f t="array" ref="C7">IFERROR(INDEX('Solution Codes'!$A$2:$A9,MATCH(Draft!C7,'Solution Codes'!$B$2:$B9,0)))</f>
        <v/>
      </c>
      <c r="D7" s="5" t="str">
        <f t="array" ref="D7">IFERROR(INDEX('Solution Codes'!$A$2:$A9,MATCH(Draft!D7,'Solution Codes'!$B$2:$B9,0)))</f>
        <v/>
      </c>
      <c r="E7" s="5" t="str">
        <f t="array" ref="E7">IFERROR(INDEX('Solution Codes'!$A$2:$A9,MATCH(Draft!E7,'Solution Codes'!$B$2:$B9,0)))</f>
        <v/>
      </c>
      <c r="F7" s="5" t="str">
        <f t="array" ref="F7">IFERROR(INDEX('Solution Codes'!$A$2:$A9,MATCH(Draft!F7,'Solution Codes'!$B$2:$B9,0)))</f>
        <v/>
      </c>
      <c r="G7" s="5" t="str">
        <f t="array" ref="G7">IFERROR(INDEX('Solution Codes'!$A$2:$A9,MATCH(Draft!G7,'Solution Codes'!$B$2:$B9,0)))</f>
        <v/>
      </c>
      <c r="H7" s="5" t="str">
        <f t="array" ref="H7">IFERROR(INDEX('Solution Codes'!$A$2:$A9,MATCH(Draft!H7,'Solution Codes'!$B$2:$B9,0)))</f>
        <v/>
      </c>
      <c r="I7" s="5" t="str">
        <f t="array" ref="I7">IFERROR(INDEX('Solution Codes'!$A$2:$A9,MATCH(Draft!I7,'Solution Codes'!$B$2:$B9,0)))</f>
        <v/>
      </c>
      <c r="J7" s="5" t="str">
        <f t="array" ref="J7">IFERROR(INDEX('Solution Codes'!$A$2:$A9,MATCH(Draft!J7,'Solution Codes'!$B$2:$B9,0)))</f>
        <v/>
      </c>
      <c r="K7" s="5" t="str">
        <f t="array" ref="K7">IFERROR(INDEX('Solution Codes'!$A$2:$A9,MATCH(Draft!K7,'Solution Codes'!$B$2:$B9,0)))</f>
        <v/>
      </c>
    </row>
    <row r="8">
      <c r="A8" s="3" t="s">
        <v>15</v>
      </c>
      <c r="B8" s="4" t="s">
        <v>16</v>
      </c>
      <c r="C8" s="5" t="str">
        <f t="array" ref="C8">IFERROR(INDEX('Solution Codes'!$A$2:$A9,MATCH(Draft!C8,'Solution Codes'!$B$2:$B9,0)))</f>
        <v>S16</v>
      </c>
      <c r="D8" s="5" t="str">
        <f t="array" ref="D8">IFERROR(INDEX('Solution Codes'!$A$2:$A9,MATCH(Draft!D8,'Solution Codes'!$B$2:$B9,0)))</f>
        <v/>
      </c>
      <c r="E8" s="5" t="str">
        <f t="array" ref="E8">IFERROR(INDEX('Solution Codes'!$A$2:$A9,MATCH(Draft!E8,'Solution Codes'!$B$2:$B9,0)))</f>
        <v/>
      </c>
      <c r="F8" s="5" t="str">
        <f t="array" ref="F8">IFERROR(INDEX('Solution Codes'!$A$2:$A9,MATCH(Draft!F8,'Solution Codes'!$B$2:$B9,0)))</f>
        <v/>
      </c>
      <c r="G8" s="5" t="str">
        <f t="array" ref="G8">IFERROR(INDEX('Solution Codes'!$A$2:$A9,MATCH(Draft!G8,'Solution Codes'!$B$2:$B9,0)))</f>
        <v/>
      </c>
      <c r="H8" s="5" t="str">
        <f t="array" ref="H8">IFERROR(INDEX('Solution Codes'!$A$2:$A9,MATCH(Draft!H8,'Solution Codes'!$B$2:$B9,0)))</f>
        <v/>
      </c>
      <c r="I8" s="5" t="str">
        <f t="array" ref="I8">IFERROR(INDEX('Solution Codes'!$A$2:$A9,MATCH(Draft!I8,'Solution Codes'!$B$2:$B9,0)))</f>
        <v/>
      </c>
      <c r="J8" s="5" t="str">
        <f t="array" ref="J8">IFERROR(INDEX('Solution Codes'!$A$2:$A9,MATCH(Draft!J8,'Solution Codes'!$B$2:$B9,0)))</f>
        <v/>
      </c>
      <c r="K8" s="5" t="str">
        <f t="array" ref="K8">IFERROR(INDEX('Solution Codes'!$A$2:$A9,MATCH(Draft!K8,'Solution Codes'!$B$2:$B9,0)))</f>
        <v/>
      </c>
    </row>
    <row r="9">
      <c r="A9" s="3" t="s">
        <v>17</v>
      </c>
      <c r="B9" s="4" t="s">
        <v>18</v>
      </c>
      <c r="C9" s="5" t="str">
        <f t="array" ref="C9">IFERROR(INDEX('Solution Codes'!$A$2:$A9,MATCH(Draft!C9,'Solution Codes'!$B$2:$B9,0)))</f>
        <v>S19</v>
      </c>
      <c r="D9" s="5"/>
      <c r="E9" s="5" t="str">
        <f t="array" ref="E9">IFERROR(INDEX('Solution Codes'!$A$2:$A9,MATCH(Draft!E9,'Solution Codes'!$B$2:$B9,0)))</f>
        <v/>
      </c>
      <c r="F9" s="5" t="str">
        <f t="array" ref="F9">IFERROR(INDEX('Solution Codes'!$A$2:$A9,MATCH(Draft!F9,'Solution Codes'!$B$2:$B9,0)))</f>
        <v/>
      </c>
      <c r="G9" s="5" t="str">
        <f t="array" ref="G9">IFERROR(INDEX('Solution Codes'!$A$2:$A9,MATCH(Draft!G9,'Solution Codes'!$B$2:$B9,0)))</f>
        <v/>
      </c>
      <c r="H9" s="5" t="str">
        <f t="array" ref="H9">IFERROR(INDEX('Solution Codes'!$A$2:$A9,MATCH(Draft!H9,'Solution Codes'!$B$2:$B9,0)))</f>
        <v/>
      </c>
      <c r="I9" s="5" t="str">
        <f t="array" ref="I9">IFERROR(INDEX('Solution Codes'!$A$2:$A9,MATCH(Draft!I9,'Solution Codes'!$B$2:$B9,0)))</f>
        <v/>
      </c>
      <c r="J9" s="5" t="str">
        <f t="array" ref="J9">IFERROR(INDEX('Solution Codes'!$A$2:$A9,MATCH(Draft!J9,'Solution Codes'!$B$2:$B9,0)))</f>
        <v/>
      </c>
      <c r="K9" s="5" t="str">
        <f t="array" ref="K9">IFERROR(INDEX('Solution Codes'!$A$2:$A9,MATCH(Draft!K9,'Solution Codes'!$B$2:$B9,0)))</f>
        <v/>
      </c>
    </row>
  </sheetData>
  <mergeCells count="1">
    <mergeCell ref="C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88"/>
    <col customWidth="1" min="2" max="2" width="50.5"/>
    <col customWidth="1" min="3" max="4" width="18.88"/>
  </cols>
  <sheetData>
    <row r="1">
      <c r="A1" s="6" t="s">
        <v>0</v>
      </c>
      <c r="B1" s="7" t="s">
        <v>1</v>
      </c>
      <c r="C1" s="8" t="s">
        <v>19</v>
      </c>
    </row>
    <row r="2">
      <c r="A2" s="3" t="s">
        <v>3</v>
      </c>
      <c r="B2" s="4" t="s">
        <v>4</v>
      </c>
      <c r="C2" s="9" t="s">
        <v>20</v>
      </c>
      <c r="D2" s="10"/>
    </row>
    <row r="3">
      <c r="A3" s="3" t="s">
        <v>5</v>
      </c>
      <c r="B3" s="4" t="s">
        <v>6</v>
      </c>
      <c r="C3" s="9" t="s">
        <v>20</v>
      </c>
      <c r="D3" s="10"/>
    </row>
    <row r="4">
      <c r="A4" s="3" t="s">
        <v>7</v>
      </c>
      <c r="B4" s="4" t="s">
        <v>8</v>
      </c>
      <c r="C4" s="10"/>
      <c r="D4" s="10"/>
    </row>
    <row r="5">
      <c r="A5" s="3" t="s">
        <v>9</v>
      </c>
      <c r="B5" s="4" t="s">
        <v>10</v>
      </c>
      <c r="C5" s="9" t="s">
        <v>21</v>
      </c>
      <c r="D5" s="10"/>
    </row>
    <row r="6">
      <c r="A6" s="3" t="s">
        <v>11</v>
      </c>
      <c r="B6" s="4" t="s">
        <v>12</v>
      </c>
      <c r="C6" s="9" t="s">
        <v>21</v>
      </c>
      <c r="D6" s="10"/>
    </row>
    <row r="7">
      <c r="A7" s="3" t="s">
        <v>13</v>
      </c>
      <c r="B7" s="4" t="s">
        <v>14</v>
      </c>
      <c r="C7" s="10"/>
      <c r="D7" s="10"/>
    </row>
    <row r="8">
      <c r="A8" s="3" t="s">
        <v>15</v>
      </c>
      <c r="B8" s="4" t="s">
        <v>16</v>
      </c>
      <c r="C8" s="9" t="s">
        <v>22</v>
      </c>
      <c r="D8" s="10"/>
    </row>
    <row r="9">
      <c r="A9" s="3" t="s">
        <v>17</v>
      </c>
      <c r="B9" s="4" t="s">
        <v>18</v>
      </c>
      <c r="C9" s="9" t="s">
        <v>23</v>
      </c>
      <c r="D9" s="9" t="s">
        <v>24</v>
      </c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43.0"/>
  </cols>
  <sheetData>
    <row r="1">
      <c r="A1" s="11" t="s">
        <v>25</v>
      </c>
      <c r="B1" s="11" t="s">
        <v>19</v>
      </c>
    </row>
    <row r="2">
      <c r="A2" s="12" t="s">
        <v>26</v>
      </c>
      <c r="B2" s="13" t="s">
        <v>27</v>
      </c>
    </row>
    <row r="3">
      <c r="A3" s="12" t="s">
        <v>28</v>
      </c>
      <c r="B3" s="13" t="s">
        <v>29</v>
      </c>
    </row>
    <row r="4">
      <c r="A4" s="12" t="s">
        <v>30</v>
      </c>
      <c r="B4" s="13" t="s">
        <v>31</v>
      </c>
    </row>
    <row r="5">
      <c r="A5" s="12" t="s">
        <v>32</v>
      </c>
      <c r="B5" s="12" t="s">
        <v>33</v>
      </c>
    </row>
    <row r="6">
      <c r="A6" s="12" t="s">
        <v>34</v>
      </c>
      <c r="B6" s="13" t="s">
        <v>35</v>
      </c>
    </row>
    <row r="7">
      <c r="A7" s="12" t="s">
        <v>36</v>
      </c>
      <c r="B7" s="14" t="s">
        <v>37</v>
      </c>
    </row>
    <row r="8">
      <c r="A8" s="12" t="s">
        <v>38</v>
      </c>
      <c r="B8" s="14" t="s">
        <v>39</v>
      </c>
    </row>
    <row r="9">
      <c r="A9" s="12" t="s">
        <v>40</v>
      </c>
      <c r="B9" s="14" t="s">
        <v>41</v>
      </c>
    </row>
    <row r="10">
      <c r="A10" s="12" t="s">
        <v>42</v>
      </c>
      <c r="B10" s="13" t="s">
        <v>43</v>
      </c>
    </row>
    <row r="11">
      <c r="A11" s="12" t="s">
        <v>44</v>
      </c>
      <c r="B11" s="13" t="s">
        <v>45</v>
      </c>
    </row>
    <row r="12">
      <c r="A12" s="12" t="s">
        <v>46</v>
      </c>
      <c r="B12" s="13" t="s">
        <v>47</v>
      </c>
    </row>
    <row r="13">
      <c r="A13" s="12" t="s">
        <v>48</v>
      </c>
      <c r="B13" s="12" t="s">
        <v>49</v>
      </c>
    </row>
    <row r="14">
      <c r="A14" s="12" t="s">
        <v>50</v>
      </c>
      <c r="B14" s="12" t="s">
        <v>51</v>
      </c>
    </row>
    <row r="15">
      <c r="A15" s="12" t="s">
        <v>52</v>
      </c>
      <c r="B15" s="12" t="s">
        <v>53</v>
      </c>
    </row>
    <row r="16">
      <c r="A16" s="12" t="s">
        <v>54</v>
      </c>
      <c r="B16" s="12" t="s">
        <v>20</v>
      </c>
    </row>
    <row r="17">
      <c r="A17" s="12" t="s">
        <v>55</v>
      </c>
      <c r="B17" s="15" t="s">
        <v>22</v>
      </c>
    </row>
    <row r="18">
      <c r="A18" s="12" t="s">
        <v>56</v>
      </c>
      <c r="B18" s="12" t="s">
        <v>57</v>
      </c>
    </row>
    <row r="19">
      <c r="A19" s="12" t="s">
        <v>58</v>
      </c>
      <c r="B19" s="12" t="s">
        <v>59</v>
      </c>
    </row>
    <row r="20">
      <c r="A20" s="12" t="s">
        <v>60</v>
      </c>
      <c r="B20" s="12" t="s">
        <v>23</v>
      </c>
    </row>
    <row r="21">
      <c r="A21" s="12" t="s">
        <v>61</v>
      </c>
      <c r="B21" s="12" t="s">
        <v>24</v>
      </c>
    </row>
    <row r="22">
      <c r="A22" s="12" t="s">
        <v>62</v>
      </c>
      <c r="B22" s="12" t="s">
        <v>21</v>
      </c>
    </row>
  </sheetData>
  <drawing r:id="rId1"/>
</worksheet>
</file>