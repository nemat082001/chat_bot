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s" sheetId="1" r:id="rId4"/>
    <sheet state="visible" name="Location Codes" sheetId="2" r:id="rId5"/>
    <sheet state="visible" name="LOGIC" sheetId="3" r:id="rId6"/>
  </sheets>
  <definedNames/>
  <calcPr/>
  <extLst>
    <ext uri="GoogleSheetsCustomDataVersion2">
      <go:sheetsCustomData xmlns:go="http://customooxmlschemas.google.com/" r:id="rId7" roundtripDataChecksum="+CyTo7J2O2nV8cm6TvNtOkDUWU8ReIYhrghnrjF+X18="/>
    </ext>
  </extLst>
</workbook>
</file>

<file path=xl/sharedStrings.xml><?xml version="1.0" encoding="utf-8"?>
<sst xmlns="http://schemas.openxmlformats.org/spreadsheetml/2006/main" count="261" uniqueCount="127">
  <si>
    <t>ENTER Flow and TSS values for the following Monitoring Locations</t>
  </si>
  <si>
    <t>Monitoring Location</t>
  </si>
  <si>
    <t>Flow</t>
  </si>
  <si>
    <t>TSS conc.</t>
  </si>
  <si>
    <t>TSS amount</t>
  </si>
  <si>
    <t>Inference</t>
  </si>
  <si>
    <t>MGD</t>
  </si>
  <si>
    <t>mg/L or ppm</t>
  </si>
  <si>
    <t>lbs / day</t>
  </si>
  <si>
    <t>Panel 1</t>
  </si>
  <si>
    <t>Panel 2</t>
  </si>
  <si>
    <t>TSS Discharge Limit :</t>
  </si>
  <si>
    <t>Tertiary Effluent</t>
  </si>
  <si>
    <t>Tertiary Bypass Sidestream</t>
  </si>
  <si>
    <t>Tertiary Treatment Stage Outlet</t>
  </si>
  <si>
    <t>Secondary Effluent</t>
  </si>
  <si>
    <t>Secondary Bypass Sidestream</t>
  </si>
  <si>
    <t>Filtrate from Sludge Thickening 
(to tertiary treatment)</t>
  </si>
  <si>
    <t>Secondary / Final Clarifier Weirs</t>
  </si>
  <si>
    <t>Secondary / Final Clarifier Center Well</t>
  </si>
  <si>
    <t>Splitter Box (Distribution Line)</t>
  </si>
  <si>
    <t>Aeration Basin Outlet - Supernatant</t>
  </si>
  <si>
    <t>Primary Effluent</t>
  </si>
  <si>
    <t>RAS</t>
  </si>
  <si>
    <t>WAS (secondary)</t>
  </si>
  <si>
    <t>Primary Bypass Sidestream</t>
  </si>
  <si>
    <t>Filtrate from Sludge Thickening 
(to secondary treatment)</t>
  </si>
  <si>
    <t>Primary Clarifier Weirs</t>
  </si>
  <si>
    <t>Filtrate from Sludge Thickening 
(to primary treatment)</t>
  </si>
  <si>
    <t>Raw Influent</t>
  </si>
  <si>
    <t>WAS (primary)</t>
  </si>
  <si>
    <t>#</t>
  </si>
  <si>
    <t>LOCATION</t>
  </si>
  <si>
    <t>CODE</t>
  </si>
  <si>
    <t>Secondary Effluent Stream</t>
  </si>
  <si>
    <t>L1</t>
  </si>
  <si>
    <t>Diverted Sidestream (Bypassing Secondary Treatment)</t>
  </si>
  <si>
    <t>L2</t>
  </si>
  <si>
    <t>Aeration Basin</t>
  </si>
  <si>
    <t>L3</t>
  </si>
  <si>
    <t>Distribution Channel (Aeration Basin Outlet to Splitter Box)</t>
  </si>
  <si>
    <t>L4</t>
  </si>
  <si>
    <t>Distribution Channel (Splitter Box to Secondary Clarifier Center Well)</t>
  </si>
  <si>
    <t>L5</t>
  </si>
  <si>
    <t>Secondary Clarifier</t>
  </si>
  <si>
    <t>L6</t>
  </si>
  <si>
    <t>Primary Treatment Stage</t>
  </si>
  <si>
    <t>L7</t>
  </si>
  <si>
    <t>Sludge Handling Operations</t>
  </si>
  <si>
    <t>L8</t>
  </si>
  <si>
    <t>L9</t>
  </si>
  <si>
    <t>PROBLEM CODE</t>
  </si>
  <si>
    <t>VISUAL - 1 : Discharge Limit, Effluent</t>
  </si>
  <si>
    <t>BACK</t>
  </si>
  <si>
    <t>NEXT</t>
  </si>
  <si>
    <t>Visual - 2 : Effluent, Contributing Streams</t>
  </si>
  <si>
    <t>Visual - 3 : Contributing Streams, Primary Effluent (or) Raw Influent</t>
  </si>
  <si>
    <t>Visual - 4 : Secondary Treatment Investigation : Aeration Basin Supernatant</t>
  </si>
  <si>
    <t>DISPLAY CELLS
(in Order specified)</t>
  </si>
  <si>
    <t>IF</t>
  </si>
  <si>
    <t>THEN - Display on Panel 1 (Col E)</t>
  </si>
  <si>
    <t>LOCATIONS for Inspection</t>
  </si>
  <si>
    <t>IF-0
(from Datasheet)</t>
  </si>
  <si>
    <t>IF-1</t>
  </si>
  <si>
    <t>IF-2</t>
  </si>
  <si>
    <t>THEN - Display on Panel 2 (Col F)</t>
  </si>
  <si>
    <t>WQSS1</t>
  </si>
  <si>
    <t>A1:F3, A4:F4, A5:F5</t>
  </si>
  <si>
    <t>WQSS2</t>
  </si>
  <si>
    <t>A1:F3, A4:F4, A7:F7</t>
  </si>
  <si>
    <t>WQSS3</t>
  </si>
  <si>
    <t>A1:F3, A4:F4, A8:F8</t>
  </si>
  <si>
    <t>IF (OR(D4="",D8=""))</t>
  </si>
  <si>
    <t>&lt; BLANK &gt;</t>
  </si>
  <si>
    <t>3. Training &amp; Verification &gt; Results Page</t>
  </si>
  <si>
    <t>&gt;&gt;</t>
  </si>
  <si>
    <t>IF (AND(Datasheet &gt; Facility &gt; C22 = "Yes"), OR((Datasheet &gt; Facility &gt; C28 = "Tertiary"),(Datasheet &gt; Facility &gt; C28 = "Discharged to Final Effluent"))</t>
  </si>
  <si>
    <t>A1:F3, A8:F8, A11:F11, A9:F10</t>
  </si>
  <si>
    <t>"&amp;D11*100/D8&amp;" % of solids in the final effluent are from the secondary treatment unit.
"&amp;D9*100/D8&amp;" % of solids in the final effluent are from the diverted sidestream.
"&amp;D10*100/D8&amp;" % of solids in the final effluent are from sludge dewatering.</t>
  </si>
  <si>
    <t>NESTED
IF(SUM(D9:D11) &lt; 0.95*D8)</t>
  </si>
  <si>
    <t>Your effluent has got more solids than what's going into it. This means :
1. There's a slug discharge (spill) downstream, (and/or)
2. You might have to check your readings, or redo the monitoring.</t>
  </si>
  <si>
    <t>Secondary Effluent Line</t>
  </si>
  <si>
    <t>&lt;&lt;</t>
  </si>
  <si>
    <t>IF (Datasheet &gt; Facility &gt; C25 = "Primary Effluent")</t>
  </si>
  <si>
    <t>A1:F3, A11:F11, A9:F10, A15:F15</t>
  </si>
  <si>
    <t>NESTED
IF((D15 - D11)*100 / D15) &gt;= 80</t>
  </si>
  <si>
    <t>Your secondary treatment unit is removing "&amp;(D15 - D11)*100 / D15&amp;" % of solids entering it.</t>
  </si>
  <si>
    <t>NON-NESTED
IF(C9&gt;C15)</t>
  </si>
  <si>
    <t>Your sidestream from the primary effluent has got more solids than what's going into it. This means :
1. There's a slug discharge (spill) in the sidestream, (and/or)
2. You might have to check your readings, or redo the monitoring.</t>
  </si>
  <si>
    <t>Sidestream bypassing secondary treatment</t>
  </si>
  <si>
    <t>Skip to Visual - 5 (Secondary Treatment Efficiency &gt; 80%)</t>
  </si>
  <si>
    <t>ELSE</t>
  </si>
  <si>
    <t>Filtrate line from sludge dewatering, to final effluent</t>
  </si>
  <si>
    <t>A1:F3, A11:F11, A14:F14, A15:F15</t>
  </si>
  <si>
    <t>Take a few mixed liquor samples. Allow settling for 60 minutes. Remove supernatant. Measure average TSS of supernatant from the samples.</t>
  </si>
  <si>
    <t>NESTED
AND (IF(C11 &gt; 1.1*C14), C14 &lt;= 0.2*C15)</t>
  </si>
  <si>
    <t>The Aeration Basin is working fine. The problem is being caused by the distribution channel and/or final clarifiers, which are :
1. Shearing the flocs (and/or)
2. Not allowing enough time for the flocs to settle</t>
  </si>
  <si>
    <t>NESTED
AND (IF(C11 &gt; 1.1*C14), C14 &gt; 0.2*C15)</t>
  </si>
  <si>
    <t>A good part of the problem is your distribution channel and/or final clarifiers, which are :
1. Shearing the flocs (and/or)
2. Not allowing enough time for the flocs to settle
The Aeration Basin functioning also needs to be looked at.</t>
  </si>
  <si>
    <t>NESTED
IF(0.9*C14 &lt; C11 &lt; 1.1*C14)</t>
  </si>
  <si>
    <t>Your bugs aren't forming enough flocs, so there's likely to be a process upset.</t>
  </si>
  <si>
    <t>NESTED
IF(C11 &lt; 0.9*C14)</t>
  </si>
  <si>
    <t>Your bugs aren't forming enough flocs, so there's likely to be a process upset. It's unlikely your Aeration Basin supernatant has a lot more TSS than at the Final Clarifier Weirs :
1. Check for errors in your monitoring and testing
2. It's possible your Polymer addition is making up for the bugs not flocking together, but this usually makes a process upset worse!</t>
  </si>
  <si>
    <t>IF (Datasheet &gt; Facility &gt; C25 = "Raw Influent")</t>
  </si>
  <si>
    <t>A1:F3, A11:F11, A9:F10, A22:F22</t>
  </si>
  <si>
    <t>Your primary + secondary treatment units, combined are removing "&amp;(D22 - D11)*100 / D22&amp;" % of solids entering the system.</t>
  </si>
  <si>
    <t>NON-NESTED
IF(C9&gt;C22)</t>
  </si>
  <si>
    <t>Your sidestream from the raw influent has got more solids than what's going into it. This means :
1. There's a slug discharge (spill) in the sidestream, (and/or)
2. You might have to check your readings, or redo the monitoring.</t>
  </si>
  <si>
    <t>Sidestream bypassing primary treatment</t>
  </si>
  <si>
    <t>SKIP to Visual - 5 (since Primary+Secondary Treatment Efficiency &gt; 80%)</t>
  </si>
  <si>
    <t>IF (C4 &gt;= C8)</t>
  </si>
  <si>
    <t>Your TSS is within the discharge limit. You might want to recheck your readings.</t>
  </si>
  <si>
    <t>ELIF (Datasheet &gt; Facility &gt; C22 = "Yes")</t>
  </si>
  <si>
    <t>A1:F3, A8:F8, A11:F11, A9:F9</t>
  </si>
  <si>
    <t>"&amp;D11*100/D8&amp;" % of solids in the final effluent are from the secondary treatment unit.
"&amp;D9*100/D8&amp;" % of solids in the final effluent are from the diverted sidestream.</t>
  </si>
  <si>
    <t>NESTED
IF(SUM(D9,D11) &lt; 0.95*D8)</t>
  </si>
  <si>
    <t>SKIP to Visual - 5 (since Secondary Treatment Efficiency &gt; 80%)</t>
  </si>
  <si>
    <t>ELIF (OR((Datasheet &gt; Facility &gt; C28 = "Tertiary"),(Datasheet &gt; Facility &gt; C28 = "Discharged to Final Effluent")))</t>
  </si>
  <si>
    <t>A1:F3, A8:F8, A11:F11, A10:F10</t>
  </si>
  <si>
    <t>"&amp;D11*100/D8&amp;" % of solids in the final effluent are from the secondary treatment unit.
"&amp;D10*100/D8&amp;" % of solids in the final effluent are from sludge dewatering.</t>
  </si>
  <si>
    <t>NESTED
IF(SUM(D10,D11) &lt; 0.95*D8)</t>
  </si>
  <si>
    <t>A1:F3, A11:F11, A15:F15</t>
  </si>
  <si>
    <t>IF (D4 &lt; D8)</t>
  </si>
  <si>
    <t>You're going over the discharge limit by "&amp;D5-D4&amp;" lbs per day</t>
  </si>
  <si>
    <t>A1:F3, A8:F8, A11:F11</t>
  </si>
  <si>
    <t>"&amp;D11*100/D8&amp;" % of solids in the final effluent are from the secondary treatment unit</t>
  </si>
  <si>
    <t>NESTED
IF(D11 &lt; 0.95*D8)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</si>
</sst>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FF0000"/>
      <name val="Arial"/>
    </font>
    <font/>
    <font>
      <b/>
      <sz val="11.0"/>
      <color theme="1"/>
      <name val="Arial"/>
    </font>
    <font>
      <b/>
      <color theme="1"/>
      <name val="Arial"/>
    </font>
    <font>
      <color theme="1"/>
      <name val="Arial"/>
    </font>
    <font>
      <b/>
      <sz val="10.0"/>
      <color theme="1"/>
      <name val="Arial"/>
    </font>
    <font>
      <b/>
      <sz val="10.0"/>
      <color rgb="FFFF0000"/>
      <name val="Arial"/>
    </font>
    <font>
      <b/>
      <sz val="10.0"/>
      <color rgb="FF0000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5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medium">
        <color rgb="FFFF0000"/>
      </bottom>
    </border>
    <border>
      <bottom style="medium">
        <color rgb="FFFF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1" fillId="0" fontId="2" numFmtId="0" xfId="0" applyBorder="1" applyFont="1"/>
    <xf borderId="2" fillId="2" fontId="3" numFmtId="0" xfId="0" applyAlignment="1" applyBorder="1" applyFill="1" applyFont="1">
      <alignment shrinkToFit="0" vertical="center" wrapText="1"/>
    </xf>
    <xf borderId="3" fillId="2" fontId="3" numFmtId="3" xfId="0" applyAlignment="1" applyBorder="1" applyFont="1" applyNumberFormat="1">
      <alignment shrinkToFit="0" vertical="center" wrapText="1"/>
    </xf>
    <xf borderId="3" fillId="2" fontId="3" numFmtId="3" xfId="0" applyAlignment="1" applyBorder="1" applyFont="1" applyNumberFormat="1">
      <alignment vertical="center"/>
    </xf>
    <xf borderId="4" fillId="2" fontId="3" numFmtId="0" xfId="0" applyAlignment="1" applyBorder="1" applyFont="1">
      <alignment vertical="center"/>
    </xf>
    <xf borderId="5" fillId="0" fontId="2" numFmtId="0" xfId="0" applyBorder="1" applyFont="1"/>
    <xf borderId="6" fillId="0" fontId="2" numFmtId="0" xfId="0" applyBorder="1" applyFont="1"/>
    <xf borderId="7" fillId="2" fontId="3" numFmtId="3" xfId="0" applyAlignment="1" applyBorder="1" applyFont="1" applyNumberFormat="1">
      <alignment shrinkToFit="0" vertical="center" wrapText="1"/>
    </xf>
    <xf borderId="7" fillId="2" fontId="3" numFmtId="3" xfId="0" applyAlignment="1" applyBorder="1" applyFont="1" applyNumberFormat="1">
      <alignment vertical="center"/>
    </xf>
    <xf borderId="7" fillId="2" fontId="3" numFmtId="0" xfId="0" applyAlignment="1" applyBorder="1" applyFont="1">
      <alignment vertical="center"/>
    </xf>
    <xf borderId="8" fillId="3" fontId="4" numFmtId="0" xfId="0" applyAlignment="1" applyBorder="1" applyFill="1" applyFont="1">
      <alignment shrinkToFit="0" vertical="top" wrapText="1"/>
    </xf>
    <xf borderId="9" fillId="4" fontId="5" numFmtId="3" xfId="0" applyAlignment="1" applyBorder="1" applyFill="1" applyFont="1" applyNumberFormat="1">
      <alignment shrinkToFit="0" vertical="top" wrapText="1"/>
    </xf>
    <xf borderId="9" fillId="4" fontId="5" numFmtId="3" xfId="0" applyAlignment="1" applyBorder="1" applyFont="1" applyNumberFormat="1">
      <alignment shrinkToFit="0" vertical="top" wrapText="0"/>
    </xf>
    <xf borderId="9" fillId="4" fontId="5" numFmtId="3" xfId="0" applyAlignment="1" applyBorder="1" applyFont="1" applyNumberFormat="1">
      <alignment vertical="top"/>
    </xf>
    <xf borderId="8" fillId="4" fontId="5" numFmtId="3" xfId="0" applyAlignment="1" applyBorder="1" applyFont="1" applyNumberFormat="1">
      <alignment vertical="top"/>
    </xf>
    <xf borderId="1" fillId="3" fontId="5" numFmtId="0" xfId="0" applyAlignment="1" applyBorder="1" applyFont="1">
      <alignment shrinkToFit="0" vertical="top" wrapText="1"/>
    </xf>
    <xf borderId="0" fillId="5" fontId="5" numFmtId="3" xfId="0" applyAlignment="1" applyFill="1" applyFont="1" applyNumberFormat="1">
      <alignment shrinkToFit="0" vertical="top" wrapText="1"/>
    </xf>
    <xf borderId="0" fillId="5" fontId="5" numFmtId="3" xfId="0" applyAlignment="1" applyFont="1" applyNumberFormat="1">
      <alignment vertical="top"/>
    </xf>
    <xf borderId="0" fillId="3" fontId="5" numFmtId="3" xfId="0" applyAlignment="1" applyFont="1" applyNumberFormat="1">
      <alignment vertical="top"/>
    </xf>
    <xf borderId="1" fillId="3" fontId="5" numFmtId="0" xfId="0" applyAlignment="1" applyBorder="1" applyFont="1">
      <alignment vertical="top"/>
    </xf>
    <xf borderId="1" fillId="0" fontId="5" numFmtId="0" xfId="0" applyBorder="1" applyFont="1"/>
    <xf borderId="10" fillId="2" fontId="4" numFmtId="0" xfId="0" applyAlignment="1" applyBorder="1" applyFont="1">
      <alignment horizontal="center" vertical="center"/>
    </xf>
    <xf borderId="6" fillId="2" fontId="4" numFmtId="0" xfId="0" applyAlignment="1" applyBorder="1" applyFont="1">
      <alignment vertical="center"/>
    </xf>
    <xf borderId="11" fillId="2" fontId="4" numFmtId="0" xfId="0" applyAlignment="1" applyBorder="1" applyFont="1">
      <alignment vertical="center"/>
    </xf>
    <xf borderId="1" fillId="0" fontId="5" numFmtId="0" xfId="0" applyAlignment="1" applyBorder="1" applyFont="1">
      <alignment horizontal="center" vertical="center"/>
    </xf>
    <xf borderId="12" fillId="0" fontId="5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2" fillId="2" fontId="6" numFmtId="0" xfId="0" applyAlignment="1" applyBorder="1" applyFont="1">
      <alignment shrinkToFit="0" vertical="center" wrapText="1"/>
    </xf>
    <xf borderId="4" fillId="5" fontId="6" numFmtId="0" xfId="0" applyAlignment="1" applyBorder="1" applyFont="1">
      <alignment shrinkToFit="0" vertical="center" wrapText="1"/>
    </xf>
    <xf borderId="14" fillId="0" fontId="2" numFmtId="0" xfId="0" applyBorder="1" applyFont="1"/>
    <xf borderId="2" fillId="2" fontId="7" numFmtId="0" xfId="0" applyAlignment="1" applyBorder="1" applyFont="1">
      <alignment shrinkToFit="0" vertical="center" wrapText="1"/>
    </xf>
    <xf borderId="2" fillId="2" fontId="8" numFmtId="0" xfId="0" applyAlignment="1" applyBorder="1" applyFont="1">
      <alignment shrinkToFit="0" vertical="center" wrapText="1"/>
    </xf>
    <xf borderId="4" fillId="6" fontId="6" numFmtId="0" xfId="0" applyAlignment="1" applyBorder="1" applyFill="1" applyFont="1">
      <alignment shrinkToFit="0" vertical="center" wrapText="1"/>
    </xf>
    <xf borderId="4" fillId="7" fontId="6" numFmtId="0" xfId="0" applyAlignment="1" applyBorder="1" applyFill="1" applyFont="1">
      <alignment shrinkToFit="0" vertical="center" wrapText="1"/>
    </xf>
    <xf borderId="14" fillId="8" fontId="6" numFmtId="0" xfId="0" applyAlignment="1" applyBorder="1" applyFill="1" applyFont="1">
      <alignment shrinkToFit="0" vertical="center" wrapText="1"/>
    </xf>
    <xf borderId="6" fillId="5" fontId="6" numFmtId="0" xfId="0" applyAlignment="1" applyBorder="1" applyFont="1">
      <alignment shrinkToFit="0" vertical="center" wrapText="1"/>
    </xf>
    <xf borderId="7" fillId="5" fontId="6" numFmtId="0" xfId="0" applyAlignment="1" applyBorder="1" applyFont="1">
      <alignment shrinkToFit="0" vertical="center" wrapText="1"/>
    </xf>
    <xf borderId="6" fillId="6" fontId="6" numFmtId="0" xfId="0" applyAlignment="1" applyBorder="1" applyFont="1">
      <alignment shrinkToFit="0" vertical="center" wrapText="1"/>
    </xf>
    <xf borderId="7" fillId="6" fontId="6" numFmtId="0" xfId="0" applyAlignment="1" applyBorder="1" applyFont="1">
      <alignment shrinkToFit="0" vertical="center" wrapText="1"/>
    </xf>
    <xf borderId="6" fillId="7" fontId="6" numFmtId="0" xfId="0" applyAlignment="1" applyBorder="1" applyFont="1">
      <alignment shrinkToFit="0" vertical="center" wrapText="1"/>
    </xf>
    <xf borderId="7" fillId="7" fontId="6" numFmtId="0" xfId="0" applyAlignment="1" applyBorder="1" applyFont="1">
      <alignment shrinkToFit="0" vertical="center" wrapText="1"/>
    </xf>
    <xf borderId="6" fillId="8" fontId="6" numFmtId="0" xfId="0" applyAlignment="1" applyBorder="1" applyFont="1">
      <alignment shrinkToFit="0" vertical="center" wrapText="1"/>
    </xf>
    <xf borderId="7" fillId="8" fontId="6" numFmtId="0" xfId="0" applyAlignment="1" applyBorder="1" applyFont="1">
      <alignment shrinkToFit="0" vertical="center" wrapText="1"/>
    </xf>
    <xf borderId="1" fillId="3" fontId="5" numFmtId="0" xfId="0" applyAlignment="1" applyBorder="1" applyFont="1">
      <alignment shrinkToFit="0" vertical="top" wrapText="0"/>
    </xf>
    <xf borderId="0" fillId="3" fontId="5" numFmtId="0" xfId="0" applyAlignment="1" applyFont="1">
      <alignment shrinkToFit="0" vertical="top" wrapText="0"/>
    </xf>
    <xf borderId="13" fillId="3" fontId="5" numFmtId="0" xfId="0" applyAlignment="1" applyBorder="1" applyFont="1">
      <alignment shrinkToFit="0" vertical="top" wrapText="0"/>
    </xf>
    <xf borderId="0" fillId="0" fontId="5" numFmtId="0" xfId="0" applyAlignment="1" applyFont="1">
      <alignment shrinkToFit="0" wrapText="0"/>
    </xf>
    <xf borderId="1" fillId="0" fontId="5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3.38"/>
    <col customWidth="1" min="2" max="2" width="11.25"/>
    <col customWidth="1" min="3" max="3" width="12.38"/>
    <col customWidth="1" min="4" max="4" width="13.75"/>
    <col customWidth="1" min="5" max="5" width="11.13"/>
    <col customWidth="1" min="6" max="6" width="10.25"/>
  </cols>
  <sheetData>
    <row r="1" ht="15.75" customHeight="1">
      <c r="A1" s="1" t="s">
        <v>0</v>
      </c>
      <c r="F1" s="2"/>
    </row>
    <row r="2" ht="15.7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7"/>
    </row>
    <row r="3" ht="15.75" customHeight="1">
      <c r="A3" s="8"/>
      <c r="B3" s="9" t="s">
        <v>6</v>
      </c>
      <c r="C3" s="10" t="s">
        <v>7</v>
      </c>
      <c r="D3" s="10" t="s">
        <v>8</v>
      </c>
      <c r="E3" s="11" t="s">
        <v>9</v>
      </c>
      <c r="F3" s="11" t="s">
        <v>10</v>
      </c>
    </row>
    <row r="4" ht="15.75" customHeight="1">
      <c r="A4" s="12" t="s">
        <v>11</v>
      </c>
      <c r="B4" s="13" t="str">
        <f>IFERROR(__xludf.DUMMYFUNCTION("IFS (
IMPORTRANGE(""https://docs.google.com/spreadsheets/d/1pyTumWWTzgrTd3iDow3_t8ylCGDlYLnTTu_hZkHw8aM/edit#gid=0"",""Facility!C4"") = ""Tertiary"",B5,
IMPORTRANGE(""https://docs.google.com/spreadsheets/d/1pyTumWWTzgrTd3iDow3_t8ylCGDlYLnTTu_hZkHw8aM/edit"&amp;"#gid=0"",""Facility!C4"") = ""Secondary"",B9,
IMPORTRANGE(""https://docs.google.com/spreadsheets/d/1pyTumWWTzgrTd3iDow3_t8ylCGDlYLnTTu_hZkHw8aM/edit#gid=0"",""Facility!C4"") = ""Primary"",B15,
IMPORTRANGE(""https://docs.google.com/spreadsheets/d/1pyTumWWT"&amp;"zgrTd3iDow3_t8ylCGDlYLnTTu_hZkHw8aM/edit#gid=0"",""C4 = ''""),"""")"),"#REF!")</f>
        <v>#REF!</v>
      </c>
      <c r="C4" s="14" t="str">
        <f>IFERROR(__xludf.DUMMYFUNCTION("IMPORTRANGE(""https://docs.google.com/spreadsheets/d/14CKxeHzvkBxpfHajX8vaWhgrJ3yGPvIPJQthrcLINrQ/edit#gid=458085517"",""Results!B10"")"),"#REF!")</f>
        <v>#REF!</v>
      </c>
      <c r="D4" s="15" t="str">
        <f t="shared" ref="D4:D13" si="1">IF(OR(B4="",C4=""),"",IFS(
$B$3="MGD",ROUND(B4*C4*8.34,0),
$B$3="gal/day",ROUND(B4*C4*8.34*(10^-6),0),
$B$3="gal/min",ROUND(B4*C4*8.34*(10^-6)*(1/24)*(1/60),0),))</f>
        <v>#REF!</v>
      </c>
      <c r="E4" s="15" t="str">
        <f>IF(OR(B4="",C4=""),"","Your discharge permit allows a maximum of "&amp;D4&amp;" lbs of solids in your final effluent, per day")</f>
        <v>#REF!</v>
      </c>
      <c r="F4" s="16"/>
    </row>
    <row r="5" ht="15.75" customHeight="1">
      <c r="A5" s="17" t="s">
        <v>12</v>
      </c>
      <c r="B5" s="18"/>
      <c r="C5" s="19"/>
      <c r="D5" s="20" t="str">
        <f t="shared" si="1"/>
        <v/>
      </c>
      <c r="E5" s="20"/>
      <c r="F5" s="21"/>
    </row>
    <row r="6" ht="15.75" customHeight="1">
      <c r="A6" s="17" t="s">
        <v>13</v>
      </c>
      <c r="B6" s="18"/>
      <c r="C6" s="19"/>
      <c r="D6" s="20" t="str">
        <f t="shared" si="1"/>
        <v/>
      </c>
      <c r="E6" s="20"/>
      <c r="F6" s="21"/>
    </row>
    <row r="7" ht="15.75" customHeight="1">
      <c r="A7" s="17" t="s">
        <v>14</v>
      </c>
      <c r="B7" s="18"/>
      <c r="C7" s="19"/>
      <c r="D7" s="20" t="str">
        <f t="shared" si="1"/>
        <v/>
      </c>
      <c r="E7" s="20"/>
      <c r="F7" s="21"/>
    </row>
    <row r="8" ht="15.75" customHeight="1">
      <c r="A8" s="17" t="s">
        <v>15</v>
      </c>
      <c r="B8" s="18"/>
      <c r="C8" s="19"/>
      <c r="D8" s="20" t="str">
        <f t="shared" si="1"/>
        <v/>
      </c>
      <c r="E8" s="20" t="str">
        <f>IFS(
OR(D4="",D8=""),"",
C4&gt;=C8,"Your TSS is within limits",
D4&lt;D8,"You're going over the discharge limit by "&amp;D8-D4&amp;" lbs per day")</f>
        <v>#REF!</v>
      </c>
      <c r="F8" s="21"/>
    </row>
    <row r="9" ht="15.75" customHeight="1">
      <c r="A9" s="17" t="s">
        <v>16</v>
      </c>
      <c r="B9" s="18"/>
      <c r="C9" s="19"/>
      <c r="D9" s="20" t="str">
        <f t="shared" si="1"/>
        <v/>
      </c>
      <c r="E9" s="20"/>
      <c r="F9" s="21"/>
    </row>
    <row r="10" ht="27.75" customHeight="1">
      <c r="A10" s="17" t="s">
        <v>17</v>
      </c>
      <c r="B10" s="18"/>
      <c r="C10" s="19"/>
      <c r="D10" s="20" t="str">
        <f t="shared" si="1"/>
        <v/>
      </c>
      <c r="E10" s="20"/>
      <c r="F10" s="21"/>
    </row>
    <row r="11" ht="15.75" customHeight="1">
      <c r="A11" s="17" t="s">
        <v>18</v>
      </c>
      <c r="B11" s="18"/>
      <c r="C11" s="19"/>
      <c r="D11" s="20" t="str">
        <f t="shared" si="1"/>
        <v/>
      </c>
      <c r="E11" s="20"/>
      <c r="F11" s="21"/>
    </row>
    <row r="12" ht="15.75" customHeight="1">
      <c r="A12" s="22" t="s">
        <v>19</v>
      </c>
      <c r="B12" s="18"/>
      <c r="C12" s="19"/>
      <c r="D12" s="20" t="str">
        <f t="shared" si="1"/>
        <v/>
      </c>
      <c r="E12" s="20"/>
      <c r="F12" s="21"/>
    </row>
    <row r="13" ht="15.75" customHeight="1">
      <c r="A13" s="22" t="s">
        <v>20</v>
      </c>
      <c r="B13" s="18"/>
      <c r="C13" s="19"/>
      <c r="D13" s="20" t="str">
        <f t="shared" si="1"/>
        <v/>
      </c>
      <c r="E13" s="20"/>
      <c r="F13" s="21"/>
    </row>
    <row r="14" ht="15.75" customHeight="1">
      <c r="A14" s="17" t="s">
        <v>21</v>
      </c>
      <c r="B14" s="18"/>
      <c r="C14" s="19"/>
      <c r="D14" s="20"/>
      <c r="E14" s="20"/>
      <c r="F14" s="21"/>
    </row>
    <row r="15" ht="15.75" customHeight="1">
      <c r="A15" s="17" t="s">
        <v>22</v>
      </c>
      <c r="B15" s="18"/>
      <c r="C15" s="19"/>
      <c r="D15" s="20" t="str">
        <f t="shared" ref="D15:D22" si="2">IF(OR(B15="",C15=""),"",IFS(
$B$3="MGD",ROUND(B15*C15*8.34,0),
$B$3="gal/day",ROUND(B15*C15*8.34*(10^-6),0),
$B$3="gal/min",ROUND(B15*C15*8.34*(10^-6)*(1/24)*(1/60),0),))</f>
        <v/>
      </c>
      <c r="E15" s="20"/>
      <c r="F15" s="21"/>
    </row>
    <row r="16" ht="15.75" customHeight="1">
      <c r="A16" s="17" t="s">
        <v>23</v>
      </c>
      <c r="B16" s="18"/>
      <c r="C16" s="19"/>
      <c r="D16" s="20" t="str">
        <f t="shared" si="2"/>
        <v/>
      </c>
      <c r="E16" s="20"/>
      <c r="F16" s="21"/>
    </row>
    <row r="17" ht="15.75" customHeight="1">
      <c r="A17" s="17" t="s">
        <v>24</v>
      </c>
      <c r="B17" s="18"/>
      <c r="C17" s="19"/>
      <c r="D17" s="20" t="str">
        <f t="shared" si="2"/>
        <v/>
      </c>
      <c r="E17" s="20"/>
      <c r="F17" s="21"/>
    </row>
    <row r="18" ht="15.75" customHeight="1">
      <c r="A18" s="17" t="s">
        <v>25</v>
      </c>
      <c r="B18" s="18"/>
      <c r="C18" s="19"/>
      <c r="D18" s="20" t="str">
        <f t="shared" si="2"/>
        <v/>
      </c>
      <c r="E18" s="20"/>
      <c r="F18" s="21"/>
    </row>
    <row r="19" ht="27.75" customHeight="1">
      <c r="A19" s="17" t="s">
        <v>26</v>
      </c>
      <c r="B19" s="18"/>
      <c r="C19" s="19"/>
      <c r="D19" s="20" t="str">
        <f t="shared" si="2"/>
        <v/>
      </c>
      <c r="E19" s="20"/>
      <c r="F19" s="21"/>
    </row>
    <row r="20" ht="15.75" customHeight="1">
      <c r="A20" s="17" t="s">
        <v>27</v>
      </c>
      <c r="B20" s="18"/>
      <c r="C20" s="19"/>
      <c r="D20" s="20" t="str">
        <f t="shared" si="2"/>
        <v/>
      </c>
      <c r="E20" s="20"/>
      <c r="F20" s="21"/>
    </row>
    <row r="21" ht="27.75" customHeight="1">
      <c r="A21" s="17" t="s">
        <v>28</v>
      </c>
      <c r="B21" s="18"/>
      <c r="C21" s="19"/>
      <c r="D21" s="20" t="str">
        <f t="shared" si="2"/>
        <v/>
      </c>
      <c r="E21" s="20"/>
      <c r="F21" s="21"/>
    </row>
    <row r="22" ht="15.75" customHeight="1">
      <c r="A22" s="17" t="s">
        <v>29</v>
      </c>
      <c r="B22" s="18"/>
      <c r="C22" s="19"/>
      <c r="D22" s="20" t="str">
        <f t="shared" si="2"/>
        <v/>
      </c>
      <c r="E22" s="20"/>
      <c r="F22" s="21"/>
    </row>
    <row r="23" ht="15.75" customHeight="1">
      <c r="A23" s="22" t="s">
        <v>30</v>
      </c>
      <c r="B23" s="18"/>
      <c r="C23" s="19"/>
      <c r="D23" s="20" t="str">
        <f>IF(OR(B23="",C23=""),"",IFS(
$B$3="MGD",ROUND(B23*C23*8.34,0),
$B$3="gal / day",ROUND(B23*C23*8.34*(10^-6),0),
$B$3="gal / min",ROUND(B23*C23*8.34*(10^-6)*(1/24)*(1/60),0),))</f>
        <v/>
      </c>
      <c r="E23" s="20"/>
      <c r="F23" s="2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A3"/>
    <mergeCell ref="E2:F2"/>
  </mergeCells>
  <dataValidations>
    <dataValidation type="list" allowBlank="1" showInputMessage="1" showErrorMessage="1" prompt="Select from the options below." sqref="B3">
      <formula1>"MGD,gal/day,gal/min"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50.5"/>
    <col customWidth="1" min="3" max="6" width="12.63"/>
  </cols>
  <sheetData>
    <row r="1" ht="15.75" customHeight="1">
      <c r="A1" s="23" t="s">
        <v>31</v>
      </c>
      <c r="B1" s="24" t="s">
        <v>32</v>
      </c>
      <c r="C1" s="25" t="s">
        <v>33</v>
      </c>
    </row>
    <row r="2" ht="15.75" customHeight="1">
      <c r="A2" s="26">
        <v>1.0</v>
      </c>
      <c r="B2" s="27" t="s">
        <v>34</v>
      </c>
      <c r="C2" s="28" t="s">
        <v>35</v>
      </c>
    </row>
    <row r="3" ht="15.75" customHeight="1">
      <c r="A3" s="26">
        <v>2.0</v>
      </c>
      <c r="B3" s="27" t="s">
        <v>36</v>
      </c>
      <c r="C3" s="28" t="s">
        <v>37</v>
      </c>
    </row>
    <row r="4" ht="15.75" customHeight="1">
      <c r="A4" s="26">
        <v>3.0</v>
      </c>
      <c r="B4" s="27" t="s">
        <v>38</v>
      </c>
      <c r="C4" s="28" t="s">
        <v>39</v>
      </c>
    </row>
    <row r="5" ht="15.75" customHeight="1">
      <c r="A5" s="26">
        <v>4.0</v>
      </c>
      <c r="B5" s="27" t="s">
        <v>40</v>
      </c>
      <c r="C5" s="28" t="s">
        <v>41</v>
      </c>
    </row>
    <row r="6" ht="15.75" customHeight="1">
      <c r="A6" s="26">
        <v>5.0</v>
      </c>
      <c r="B6" s="27" t="s">
        <v>42</v>
      </c>
      <c r="C6" s="28" t="s">
        <v>43</v>
      </c>
    </row>
    <row r="7" ht="15.75" customHeight="1">
      <c r="A7" s="26">
        <v>6.0</v>
      </c>
      <c r="B7" s="27" t="s">
        <v>44</v>
      </c>
      <c r="C7" s="28" t="s">
        <v>45</v>
      </c>
    </row>
    <row r="8" ht="15.75" customHeight="1">
      <c r="A8" s="26">
        <v>7.0</v>
      </c>
      <c r="B8" s="27" t="s">
        <v>46</v>
      </c>
      <c r="C8" s="28" t="s">
        <v>47</v>
      </c>
    </row>
    <row r="9" ht="15.75" customHeight="1">
      <c r="A9" s="26">
        <v>8.0</v>
      </c>
      <c r="B9" s="27" t="s">
        <v>48</v>
      </c>
      <c r="C9" s="28" t="s">
        <v>49</v>
      </c>
    </row>
    <row r="10" ht="61.5" customHeight="1">
      <c r="A10" s="26">
        <v>9.0</v>
      </c>
      <c r="B10" s="27" t="s">
        <v>29</v>
      </c>
      <c r="C10" s="28" t="s">
        <v>50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9.38"/>
    <col customWidth="1" min="2" max="2" width="30.63"/>
    <col customWidth="1" min="3" max="3" width="16.75"/>
    <col customWidth="1" min="4" max="4" width="59.75"/>
    <col customWidth="1" min="5" max="5" width="10.75"/>
    <col customWidth="1" min="6" max="6" width="38.5"/>
    <col customWidth="1" min="7" max="7" width="6.25"/>
    <col customWidth="1" min="8" max="8" width="112.13"/>
    <col customWidth="1" min="9" max="9" width="25.0"/>
    <col customWidth="1" min="10" max="10" width="4.0"/>
    <col customWidth="1" min="11" max="11" width="64.5"/>
    <col customWidth="1" min="12" max="12" width="22.75"/>
    <col customWidth="1" min="13" max="13" width="53.5"/>
    <col customWidth="1" min="14" max="14" width="38.63"/>
    <col customWidth="1" min="15" max="15" width="5.88"/>
    <col customWidth="1" min="16" max="16" width="5.5"/>
    <col customWidth="1" min="17" max="17" width="54.25"/>
    <col customWidth="1" min="18" max="18" width="26.0"/>
    <col customWidth="1" min="19" max="19" width="24.75"/>
    <col customWidth="1" min="20" max="20" width="94.13"/>
    <col customWidth="1" min="21" max="21" width="12.0"/>
    <col customWidth="1" min="22" max="22" width="74.63"/>
    <col customWidth="1" min="23" max="23" width="33.0"/>
    <col customWidth="1" min="24" max="24" width="5.88"/>
    <col customWidth="1" min="25" max="25" width="5.5"/>
    <col customWidth="1" min="26" max="26" width="60.88"/>
    <col customWidth="1" min="27" max="27" width="4.0"/>
    <col customWidth="1" min="28" max="28" width="105.5"/>
    <col customWidth="1" min="29" max="29" width="32.38"/>
    <col customWidth="1" min="30" max="30" width="129.88"/>
    <col customWidth="1" min="31" max="31" width="12.0"/>
    <col customWidth="1" min="32" max="32" width="5.88"/>
    <col customWidth="1" min="33" max="33" width="5.5"/>
  </cols>
  <sheetData>
    <row r="1" ht="15.75" customHeight="1">
      <c r="A1" s="29" t="s">
        <v>51</v>
      </c>
      <c r="B1" s="30" t="s">
        <v>52</v>
      </c>
      <c r="C1" s="31"/>
      <c r="D1" s="31"/>
      <c r="E1" s="7"/>
      <c r="F1" s="32" t="s">
        <v>53</v>
      </c>
      <c r="G1" s="33" t="s">
        <v>54</v>
      </c>
      <c r="H1" s="34" t="s">
        <v>55</v>
      </c>
      <c r="I1" s="31"/>
      <c r="J1" s="31"/>
      <c r="K1" s="31"/>
      <c r="L1" s="31"/>
      <c r="M1" s="31"/>
      <c r="N1" s="7"/>
      <c r="O1" s="32" t="s">
        <v>53</v>
      </c>
      <c r="P1" s="33" t="s">
        <v>54</v>
      </c>
      <c r="Q1" s="35" t="s">
        <v>56</v>
      </c>
      <c r="R1" s="31"/>
      <c r="S1" s="31"/>
      <c r="T1" s="31"/>
      <c r="U1" s="31"/>
      <c r="V1" s="31"/>
      <c r="W1" s="7"/>
      <c r="X1" s="32" t="s">
        <v>53</v>
      </c>
      <c r="Y1" s="33" t="s">
        <v>54</v>
      </c>
      <c r="Z1" s="36" t="s">
        <v>57</v>
      </c>
      <c r="AA1" s="31"/>
      <c r="AB1" s="31"/>
      <c r="AC1" s="31"/>
      <c r="AD1" s="31"/>
      <c r="AE1" s="7"/>
      <c r="AF1" s="32" t="s">
        <v>53</v>
      </c>
      <c r="AG1" s="33" t="s">
        <v>54</v>
      </c>
    </row>
    <row r="2" ht="15.75" customHeight="1">
      <c r="A2" s="8"/>
      <c r="B2" s="37" t="s">
        <v>58</v>
      </c>
      <c r="C2" s="38" t="s">
        <v>59</v>
      </c>
      <c r="D2" s="38" t="s">
        <v>60</v>
      </c>
      <c r="E2" s="38" t="s">
        <v>61</v>
      </c>
      <c r="F2" s="8"/>
      <c r="G2" s="8"/>
      <c r="H2" s="39" t="s">
        <v>62</v>
      </c>
      <c r="I2" s="39" t="s">
        <v>58</v>
      </c>
      <c r="J2" s="40" t="s">
        <v>63</v>
      </c>
      <c r="K2" s="40" t="s">
        <v>60</v>
      </c>
      <c r="L2" s="40" t="s">
        <v>64</v>
      </c>
      <c r="M2" s="40" t="s">
        <v>65</v>
      </c>
      <c r="N2" s="40" t="s">
        <v>61</v>
      </c>
      <c r="O2" s="8"/>
      <c r="P2" s="8"/>
      <c r="Q2" s="41" t="s">
        <v>62</v>
      </c>
      <c r="R2" s="41" t="s">
        <v>58</v>
      </c>
      <c r="S2" s="42" t="s">
        <v>63</v>
      </c>
      <c r="T2" s="42" t="s">
        <v>60</v>
      </c>
      <c r="U2" s="42" t="s">
        <v>64</v>
      </c>
      <c r="V2" s="42" t="s">
        <v>65</v>
      </c>
      <c r="W2" s="42" t="s">
        <v>61</v>
      </c>
      <c r="X2" s="8"/>
      <c r="Y2" s="8"/>
      <c r="Z2" s="43" t="s">
        <v>58</v>
      </c>
      <c r="AA2" s="44" t="s">
        <v>63</v>
      </c>
      <c r="AB2" s="44" t="s">
        <v>60</v>
      </c>
      <c r="AC2" s="44" t="s">
        <v>64</v>
      </c>
      <c r="AD2" s="44" t="s">
        <v>65</v>
      </c>
      <c r="AE2" s="44" t="s">
        <v>61</v>
      </c>
      <c r="AF2" s="8"/>
      <c r="AG2" s="8"/>
    </row>
    <row r="3" ht="15.75" customHeight="1">
      <c r="A3" s="45" t="s">
        <v>66</v>
      </c>
      <c r="B3" s="46" t="s">
        <v>67</v>
      </c>
      <c r="C3" s="46"/>
      <c r="D3" s="46"/>
      <c r="E3" s="46"/>
      <c r="F3" s="47"/>
      <c r="G3" s="45"/>
      <c r="H3" s="46"/>
      <c r="I3" s="46"/>
      <c r="J3" s="46"/>
      <c r="K3" s="46"/>
      <c r="L3" s="46"/>
      <c r="M3" s="46"/>
      <c r="N3" s="46"/>
      <c r="O3" s="47"/>
      <c r="P3" s="45"/>
      <c r="Q3" s="46"/>
      <c r="R3" s="46"/>
      <c r="S3" s="46"/>
      <c r="T3" s="46"/>
      <c r="U3" s="46"/>
      <c r="V3" s="46"/>
      <c r="W3" s="46"/>
      <c r="X3" s="47"/>
      <c r="Y3" s="45"/>
      <c r="Z3" s="46"/>
      <c r="AA3" s="46"/>
      <c r="AB3" s="46"/>
      <c r="AC3" s="46"/>
      <c r="AD3" s="46"/>
      <c r="AE3" s="46"/>
      <c r="AF3" s="47"/>
      <c r="AG3" s="45"/>
    </row>
    <row r="4" ht="15.75" customHeight="1">
      <c r="A4" s="45" t="s">
        <v>68</v>
      </c>
      <c r="B4" s="46" t="s">
        <v>69</v>
      </c>
      <c r="C4" s="46"/>
      <c r="D4" s="46"/>
      <c r="E4" s="46"/>
      <c r="F4" s="47"/>
      <c r="G4" s="45"/>
      <c r="H4" s="46"/>
      <c r="I4" s="46"/>
      <c r="J4" s="46"/>
      <c r="K4" s="46"/>
      <c r="L4" s="46"/>
      <c r="M4" s="46"/>
      <c r="N4" s="46"/>
      <c r="O4" s="47"/>
      <c r="P4" s="45"/>
      <c r="Q4" s="46"/>
      <c r="R4" s="46"/>
      <c r="S4" s="46"/>
      <c r="T4" s="46"/>
      <c r="U4" s="46"/>
      <c r="V4" s="46"/>
      <c r="W4" s="46"/>
      <c r="X4" s="47"/>
      <c r="Y4" s="45"/>
      <c r="Z4" s="46"/>
      <c r="AA4" s="46"/>
      <c r="AB4" s="46"/>
      <c r="AC4" s="46"/>
      <c r="AD4" s="46"/>
      <c r="AE4" s="46"/>
      <c r="AF4" s="47"/>
      <c r="AG4" s="45"/>
    </row>
    <row r="5" ht="15.75" customHeight="1">
      <c r="A5" s="45" t="s">
        <v>70</v>
      </c>
      <c r="B5" s="46" t="s">
        <v>71</v>
      </c>
      <c r="C5" s="46" t="s">
        <v>72</v>
      </c>
      <c r="D5" s="46" t="s">
        <v>73</v>
      </c>
      <c r="E5" s="46"/>
      <c r="F5" s="47" t="s">
        <v>74</v>
      </c>
      <c r="G5" s="45" t="s">
        <v>75</v>
      </c>
      <c r="H5" s="46" t="s">
        <v>76</v>
      </c>
      <c r="I5" s="46" t="s">
        <v>77</v>
      </c>
      <c r="J5" s="46"/>
      <c r="K5" s="48" t="s">
        <v>78</v>
      </c>
      <c r="L5" s="46" t="s">
        <v>79</v>
      </c>
      <c r="M5" s="46" t="s">
        <v>80</v>
      </c>
      <c r="N5" s="46" t="s">
        <v>81</v>
      </c>
      <c r="O5" s="47" t="s">
        <v>82</v>
      </c>
      <c r="P5" s="45" t="s">
        <v>75</v>
      </c>
      <c r="Q5" s="46" t="s">
        <v>83</v>
      </c>
      <c r="R5" s="46" t="s">
        <v>84</v>
      </c>
      <c r="S5" s="46" t="s">
        <v>85</v>
      </c>
      <c r="T5" s="48" t="s">
        <v>86</v>
      </c>
      <c r="U5" s="46" t="s">
        <v>87</v>
      </c>
      <c r="V5" s="46" t="s">
        <v>88</v>
      </c>
      <c r="W5" s="46" t="s">
        <v>89</v>
      </c>
      <c r="X5" s="47" t="s">
        <v>82</v>
      </c>
      <c r="Y5" s="45" t="s">
        <v>75</v>
      </c>
      <c r="Z5" s="46" t="s">
        <v>90</v>
      </c>
      <c r="AA5" s="46"/>
      <c r="AB5" s="48"/>
      <c r="AC5" s="46"/>
      <c r="AD5" s="46"/>
      <c r="AE5" s="46"/>
      <c r="AF5" s="47" t="s">
        <v>82</v>
      </c>
      <c r="AG5" s="45" t="s">
        <v>75</v>
      </c>
    </row>
    <row r="6" ht="15.75" customHeight="1">
      <c r="A6" s="49"/>
      <c r="B6" s="48"/>
      <c r="C6" s="46"/>
      <c r="D6" s="46"/>
      <c r="E6" s="46"/>
      <c r="F6" s="47"/>
      <c r="G6" s="45"/>
      <c r="H6" s="46"/>
      <c r="I6" s="46"/>
      <c r="J6" s="46"/>
      <c r="K6" s="48"/>
      <c r="L6" s="46" t="s">
        <v>91</v>
      </c>
      <c r="M6" s="46"/>
      <c r="N6" s="46" t="s">
        <v>92</v>
      </c>
      <c r="O6" s="47"/>
      <c r="P6" s="45"/>
      <c r="Q6" s="46"/>
      <c r="R6" s="46"/>
      <c r="S6" s="46" t="s">
        <v>91</v>
      </c>
      <c r="T6" s="48" t="s">
        <v>86</v>
      </c>
      <c r="U6" s="46" t="s">
        <v>91</v>
      </c>
      <c r="V6" s="46"/>
      <c r="W6" s="46"/>
      <c r="X6" s="47"/>
      <c r="Y6" s="45"/>
      <c r="Z6" s="46" t="s">
        <v>93</v>
      </c>
      <c r="AA6" s="46"/>
      <c r="AB6" s="48" t="s">
        <v>94</v>
      </c>
      <c r="AC6" s="46" t="s">
        <v>95</v>
      </c>
      <c r="AD6" s="46" t="s">
        <v>96</v>
      </c>
      <c r="AE6" s="46"/>
      <c r="AF6" s="47"/>
      <c r="AG6" s="45"/>
    </row>
    <row r="7" ht="15.75" customHeight="1">
      <c r="A7" s="49"/>
      <c r="B7" s="48"/>
      <c r="C7" s="46"/>
      <c r="D7" s="46"/>
      <c r="E7" s="46"/>
      <c r="F7" s="47"/>
      <c r="G7" s="45"/>
      <c r="H7" s="46"/>
      <c r="I7" s="46"/>
      <c r="J7" s="46"/>
      <c r="K7" s="48"/>
      <c r="L7" s="46"/>
      <c r="M7" s="46"/>
      <c r="N7" s="46"/>
      <c r="O7" s="47"/>
      <c r="P7" s="45"/>
      <c r="Q7" s="46"/>
      <c r="R7" s="46"/>
      <c r="S7" s="46"/>
      <c r="T7" s="48"/>
      <c r="U7" s="46"/>
      <c r="V7" s="46"/>
      <c r="W7" s="48"/>
      <c r="X7" s="47"/>
      <c r="Y7" s="45"/>
      <c r="Z7" s="46"/>
      <c r="AA7" s="46"/>
      <c r="AB7" s="48"/>
      <c r="AC7" s="46" t="s">
        <v>97</v>
      </c>
      <c r="AD7" s="46" t="s">
        <v>98</v>
      </c>
      <c r="AE7" s="48"/>
      <c r="AF7" s="47"/>
      <c r="AG7" s="45"/>
    </row>
    <row r="8" ht="15.75" customHeight="1">
      <c r="A8" s="49"/>
      <c r="B8" s="48"/>
      <c r="C8" s="46"/>
      <c r="D8" s="46"/>
      <c r="E8" s="46"/>
      <c r="F8" s="47"/>
      <c r="G8" s="45"/>
      <c r="H8" s="46"/>
      <c r="I8" s="46"/>
      <c r="J8" s="46"/>
      <c r="K8" s="48"/>
      <c r="L8" s="46"/>
      <c r="M8" s="46"/>
      <c r="N8" s="46"/>
      <c r="O8" s="47"/>
      <c r="P8" s="45"/>
      <c r="Q8" s="46"/>
      <c r="R8" s="46"/>
      <c r="S8" s="46"/>
      <c r="T8" s="48"/>
      <c r="U8" s="46"/>
      <c r="V8" s="46"/>
      <c r="W8" s="48"/>
      <c r="X8" s="47"/>
      <c r="Y8" s="45"/>
      <c r="Z8" s="46"/>
      <c r="AA8" s="46"/>
      <c r="AB8" s="48"/>
      <c r="AC8" s="46" t="s">
        <v>99</v>
      </c>
      <c r="AD8" s="46" t="s">
        <v>100</v>
      </c>
      <c r="AE8" s="48"/>
      <c r="AF8" s="47"/>
      <c r="AG8" s="45"/>
    </row>
    <row r="9" ht="15.75" customHeight="1">
      <c r="A9" s="49"/>
      <c r="B9" s="48"/>
      <c r="C9" s="46"/>
      <c r="D9" s="46"/>
      <c r="E9" s="46"/>
      <c r="F9" s="47"/>
      <c r="G9" s="45"/>
      <c r="H9" s="46"/>
      <c r="I9" s="46"/>
      <c r="J9" s="46"/>
      <c r="K9" s="48"/>
      <c r="L9" s="46"/>
      <c r="M9" s="46"/>
      <c r="N9" s="46"/>
      <c r="O9" s="47"/>
      <c r="P9" s="45"/>
      <c r="Q9" s="46"/>
      <c r="R9" s="46"/>
      <c r="S9" s="46"/>
      <c r="T9" s="48"/>
      <c r="U9" s="46"/>
      <c r="V9" s="46"/>
      <c r="W9" s="48"/>
      <c r="X9" s="47"/>
      <c r="Y9" s="45"/>
      <c r="Z9" s="46"/>
      <c r="AA9" s="46"/>
      <c r="AB9" s="48"/>
      <c r="AC9" s="46" t="s">
        <v>101</v>
      </c>
      <c r="AD9" s="46" t="s">
        <v>102</v>
      </c>
      <c r="AE9" s="48"/>
      <c r="AF9" s="47"/>
      <c r="AG9" s="45"/>
    </row>
    <row r="10" ht="15.75" customHeight="1">
      <c r="A10" s="49"/>
      <c r="B10" s="48"/>
      <c r="C10" s="46"/>
      <c r="D10" s="46"/>
      <c r="E10" s="46"/>
      <c r="F10" s="47"/>
      <c r="G10" s="45"/>
      <c r="H10" s="46"/>
      <c r="I10" s="46"/>
      <c r="J10" s="46"/>
      <c r="K10" s="48"/>
      <c r="L10" s="46"/>
      <c r="M10" s="46"/>
      <c r="N10" s="46"/>
      <c r="O10" s="47"/>
      <c r="P10" s="45"/>
      <c r="Q10" s="46" t="s">
        <v>103</v>
      </c>
      <c r="R10" s="46" t="s">
        <v>104</v>
      </c>
      <c r="S10" s="46" t="s">
        <v>85</v>
      </c>
      <c r="T10" s="48" t="s">
        <v>105</v>
      </c>
      <c r="U10" s="46" t="s">
        <v>106</v>
      </c>
      <c r="V10" s="46" t="s">
        <v>107</v>
      </c>
      <c r="W10" s="48" t="s">
        <v>108</v>
      </c>
      <c r="X10" s="47"/>
      <c r="Y10" s="45"/>
      <c r="Z10" s="46" t="s">
        <v>109</v>
      </c>
      <c r="AA10" s="46"/>
      <c r="AB10" s="48"/>
      <c r="AC10" s="46"/>
      <c r="AD10" s="46"/>
      <c r="AE10" s="48"/>
      <c r="AF10" s="47"/>
      <c r="AG10" s="45"/>
    </row>
    <row r="11" ht="15.75" customHeight="1">
      <c r="A11" s="49"/>
      <c r="B11" s="48"/>
      <c r="C11" s="46"/>
      <c r="D11" s="46"/>
      <c r="E11" s="46"/>
      <c r="F11" s="47"/>
      <c r="G11" s="45"/>
      <c r="H11" s="46"/>
      <c r="I11" s="46"/>
      <c r="J11" s="46"/>
      <c r="K11" s="48"/>
      <c r="L11" s="46"/>
      <c r="M11" s="46"/>
      <c r="N11" s="46"/>
      <c r="O11" s="47"/>
      <c r="P11" s="45"/>
      <c r="Q11" s="46"/>
      <c r="R11" s="46"/>
      <c r="S11" s="46" t="s">
        <v>91</v>
      </c>
      <c r="T11" s="48" t="s">
        <v>105</v>
      </c>
      <c r="U11" s="46" t="s">
        <v>91</v>
      </c>
      <c r="V11" s="46"/>
      <c r="W11" s="46"/>
      <c r="X11" s="47"/>
      <c r="Y11" s="45"/>
      <c r="Z11" s="46" t="s">
        <v>93</v>
      </c>
      <c r="AA11" s="46"/>
      <c r="AB11" s="48" t="s">
        <v>94</v>
      </c>
      <c r="AC11" s="46" t="s">
        <v>95</v>
      </c>
      <c r="AD11" s="46" t="s">
        <v>96</v>
      </c>
      <c r="AE11" s="46"/>
      <c r="AF11" s="47"/>
      <c r="AG11" s="45"/>
    </row>
    <row r="12" ht="15.75" customHeight="1">
      <c r="A12" s="49"/>
      <c r="B12" s="48"/>
      <c r="C12" s="46"/>
      <c r="D12" s="46"/>
      <c r="E12" s="46"/>
      <c r="F12" s="47"/>
      <c r="G12" s="45"/>
      <c r="H12" s="46"/>
      <c r="I12" s="46"/>
      <c r="J12" s="46"/>
      <c r="K12" s="48"/>
      <c r="L12" s="46"/>
      <c r="M12" s="46"/>
      <c r="N12" s="46"/>
      <c r="O12" s="47"/>
      <c r="P12" s="45"/>
      <c r="Q12" s="46"/>
      <c r="R12" s="46"/>
      <c r="S12" s="46"/>
      <c r="T12" s="48"/>
      <c r="U12" s="46"/>
      <c r="V12" s="46"/>
      <c r="W12" s="46"/>
      <c r="X12" s="47"/>
      <c r="Y12" s="45"/>
      <c r="Z12" s="46"/>
      <c r="AA12" s="46"/>
      <c r="AB12" s="48"/>
      <c r="AC12" s="46" t="s">
        <v>97</v>
      </c>
      <c r="AD12" s="46" t="s">
        <v>98</v>
      </c>
      <c r="AE12" s="46"/>
      <c r="AF12" s="47"/>
      <c r="AG12" s="45"/>
    </row>
    <row r="13" ht="15.75" customHeight="1">
      <c r="A13" s="49"/>
      <c r="B13" s="48"/>
      <c r="C13" s="46"/>
      <c r="D13" s="46"/>
      <c r="E13" s="46"/>
      <c r="F13" s="47"/>
      <c r="G13" s="45"/>
      <c r="H13" s="46"/>
      <c r="I13" s="46"/>
      <c r="J13" s="46"/>
      <c r="K13" s="48"/>
      <c r="L13" s="46"/>
      <c r="M13" s="46"/>
      <c r="N13" s="46"/>
      <c r="O13" s="47"/>
      <c r="P13" s="45"/>
      <c r="Q13" s="46"/>
      <c r="R13" s="46"/>
      <c r="S13" s="46"/>
      <c r="T13" s="48"/>
      <c r="U13" s="46"/>
      <c r="V13" s="46"/>
      <c r="W13" s="46"/>
      <c r="X13" s="47"/>
      <c r="Y13" s="45"/>
      <c r="Z13" s="46"/>
      <c r="AA13" s="46"/>
      <c r="AB13" s="48"/>
      <c r="AC13" s="46" t="s">
        <v>99</v>
      </c>
      <c r="AD13" s="46" t="s">
        <v>100</v>
      </c>
      <c r="AE13" s="46"/>
      <c r="AF13" s="47"/>
      <c r="AG13" s="45"/>
    </row>
    <row r="14" ht="15.75" customHeight="1">
      <c r="A14" s="49"/>
      <c r="B14" s="48"/>
      <c r="C14" s="46"/>
      <c r="D14" s="46"/>
      <c r="E14" s="46"/>
      <c r="F14" s="47"/>
      <c r="G14" s="45"/>
      <c r="H14" s="46"/>
      <c r="I14" s="46"/>
      <c r="J14" s="46"/>
      <c r="K14" s="48"/>
      <c r="L14" s="46"/>
      <c r="M14" s="46"/>
      <c r="N14" s="46"/>
      <c r="O14" s="47"/>
      <c r="P14" s="45"/>
      <c r="Q14" s="46"/>
      <c r="R14" s="46"/>
      <c r="S14" s="46"/>
      <c r="T14" s="48"/>
      <c r="U14" s="46"/>
      <c r="V14" s="46"/>
      <c r="W14" s="46"/>
      <c r="X14" s="47"/>
      <c r="Y14" s="45"/>
      <c r="Z14" s="46"/>
      <c r="AA14" s="46"/>
      <c r="AB14" s="48"/>
      <c r="AC14" s="46" t="s">
        <v>101</v>
      </c>
      <c r="AD14" s="46" t="s">
        <v>102</v>
      </c>
      <c r="AE14" s="46"/>
      <c r="AF14" s="47"/>
      <c r="AG14" s="45"/>
    </row>
    <row r="15" ht="15.75" customHeight="1">
      <c r="A15" s="49"/>
      <c r="B15" s="48"/>
      <c r="C15" s="46" t="s">
        <v>110</v>
      </c>
      <c r="D15" s="46" t="s">
        <v>111</v>
      </c>
      <c r="E15" s="46"/>
      <c r="F15" s="47" t="s">
        <v>74</v>
      </c>
      <c r="G15" s="45" t="s">
        <v>75</v>
      </c>
      <c r="H15" s="46" t="s">
        <v>112</v>
      </c>
      <c r="I15" s="46" t="s">
        <v>113</v>
      </c>
      <c r="J15" s="46"/>
      <c r="K15" s="48" t="s">
        <v>114</v>
      </c>
      <c r="L15" s="46" t="s">
        <v>115</v>
      </c>
      <c r="M15" s="46" t="s">
        <v>80</v>
      </c>
      <c r="N15" s="46" t="s">
        <v>81</v>
      </c>
      <c r="O15" s="47" t="s">
        <v>82</v>
      </c>
      <c r="P15" s="45" t="s">
        <v>75</v>
      </c>
      <c r="Q15" s="46" t="s">
        <v>83</v>
      </c>
      <c r="R15" s="46" t="s">
        <v>84</v>
      </c>
      <c r="S15" s="46" t="s">
        <v>85</v>
      </c>
      <c r="T15" s="48" t="s">
        <v>86</v>
      </c>
      <c r="U15" s="46"/>
      <c r="V15" s="46"/>
      <c r="W15" s="46"/>
      <c r="X15" s="47" t="s">
        <v>82</v>
      </c>
      <c r="Y15" s="45" t="s">
        <v>75</v>
      </c>
      <c r="Z15" s="46" t="s">
        <v>116</v>
      </c>
      <c r="AA15" s="46"/>
      <c r="AB15" s="48"/>
      <c r="AC15" s="46"/>
      <c r="AD15" s="46"/>
      <c r="AE15" s="46"/>
      <c r="AF15" s="47" t="s">
        <v>82</v>
      </c>
      <c r="AG15" s="45" t="s">
        <v>75</v>
      </c>
    </row>
    <row r="16" ht="15.75" customHeight="1">
      <c r="A16" s="49"/>
      <c r="B16" s="48"/>
      <c r="C16" s="46"/>
      <c r="D16" s="46"/>
      <c r="E16" s="46"/>
      <c r="F16" s="47"/>
      <c r="G16" s="45"/>
      <c r="H16" s="46"/>
      <c r="I16" s="46"/>
      <c r="J16" s="46"/>
      <c r="K16" s="48"/>
      <c r="L16" s="46" t="s">
        <v>91</v>
      </c>
      <c r="M16" s="46"/>
      <c r="N16" s="46"/>
      <c r="O16" s="47"/>
      <c r="P16" s="45"/>
      <c r="Q16" s="46"/>
      <c r="R16" s="46"/>
      <c r="S16" s="46" t="s">
        <v>91</v>
      </c>
      <c r="T16" s="48" t="s">
        <v>86</v>
      </c>
      <c r="U16" s="46"/>
      <c r="V16" s="46"/>
      <c r="W16" s="46"/>
      <c r="X16" s="47"/>
      <c r="Y16" s="45"/>
      <c r="Z16" s="46" t="s">
        <v>93</v>
      </c>
      <c r="AA16" s="46"/>
      <c r="AB16" s="48" t="s">
        <v>94</v>
      </c>
      <c r="AC16" s="46" t="s">
        <v>95</v>
      </c>
      <c r="AD16" s="46" t="s">
        <v>96</v>
      </c>
      <c r="AE16" s="46"/>
      <c r="AF16" s="47"/>
      <c r="AG16" s="45"/>
    </row>
    <row r="17" ht="15.75" customHeight="1">
      <c r="A17" s="49"/>
      <c r="B17" s="48"/>
      <c r="C17" s="46"/>
      <c r="D17" s="46"/>
      <c r="E17" s="46"/>
      <c r="F17" s="47"/>
      <c r="G17" s="45"/>
      <c r="H17" s="46"/>
      <c r="I17" s="46"/>
      <c r="J17" s="46"/>
      <c r="K17" s="48"/>
      <c r="L17" s="46"/>
      <c r="M17" s="46"/>
      <c r="N17" s="46"/>
      <c r="O17" s="47"/>
      <c r="P17" s="45"/>
      <c r="Q17" s="46"/>
      <c r="R17" s="46"/>
      <c r="S17" s="46"/>
      <c r="T17" s="48"/>
      <c r="U17" s="46"/>
      <c r="V17" s="46"/>
      <c r="W17" s="46"/>
      <c r="X17" s="47"/>
      <c r="Y17" s="45"/>
      <c r="Z17" s="46"/>
      <c r="AA17" s="46"/>
      <c r="AB17" s="48"/>
      <c r="AC17" s="46" t="s">
        <v>97</v>
      </c>
      <c r="AD17" s="46" t="s">
        <v>98</v>
      </c>
      <c r="AE17" s="46"/>
      <c r="AF17" s="47"/>
      <c r="AG17" s="45"/>
    </row>
    <row r="18" ht="15.75" customHeight="1">
      <c r="A18" s="49"/>
      <c r="B18" s="48"/>
      <c r="C18" s="46"/>
      <c r="D18" s="46"/>
      <c r="E18" s="46"/>
      <c r="F18" s="47"/>
      <c r="G18" s="45"/>
      <c r="H18" s="46"/>
      <c r="I18" s="46"/>
      <c r="J18" s="46"/>
      <c r="K18" s="48"/>
      <c r="L18" s="46"/>
      <c r="M18" s="46"/>
      <c r="N18" s="46"/>
      <c r="O18" s="47"/>
      <c r="P18" s="45"/>
      <c r="Q18" s="46"/>
      <c r="R18" s="46"/>
      <c r="S18" s="46"/>
      <c r="T18" s="48"/>
      <c r="U18" s="46"/>
      <c r="V18" s="46"/>
      <c r="W18" s="46"/>
      <c r="X18" s="47"/>
      <c r="Y18" s="45"/>
      <c r="Z18" s="46"/>
      <c r="AA18" s="46"/>
      <c r="AB18" s="48"/>
      <c r="AC18" s="46" t="s">
        <v>99</v>
      </c>
      <c r="AD18" s="46" t="s">
        <v>100</v>
      </c>
      <c r="AE18" s="46"/>
      <c r="AF18" s="47"/>
      <c r="AG18" s="45"/>
    </row>
    <row r="19" ht="15.75" customHeight="1">
      <c r="A19" s="49"/>
      <c r="B19" s="48"/>
      <c r="C19" s="46"/>
      <c r="D19" s="46"/>
      <c r="E19" s="46"/>
      <c r="F19" s="47"/>
      <c r="G19" s="45"/>
      <c r="H19" s="46"/>
      <c r="I19" s="46"/>
      <c r="J19" s="46"/>
      <c r="K19" s="48"/>
      <c r="L19" s="46"/>
      <c r="M19" s="46"/>
      <c r="N19" s="46"/>
      <c r="O19" s="47"/>
      <c r="P19" s="45"/>
      <c r="Q19" s="46"/>
      <c r="R19" s="46"/>
      <c r="S19" s="46"/>
      <c r="T19" s="48"/>
      <c r="U19" s="46"/>
      <c r="V19" s="46"/>
      <c r="W19" s="46"/>
      <c r="X19" s="47"/>
      <c r="Y19" s="45"/>
      <c r="Z19" s="46"/>
      <c r="AA19" s="46"/>
      <c r="AB19" s="48"/>
      <c r="AC19" s="46" t="s">
        <v>101</v>
      </c>
      <c r="AD19" s="46" t="s">
        <v>102</v>
      </c>
      <c r="AE19" s="46"/>
      <c r="AF19" s="47"/>
      <c r="AG19" s="45"/>
    </row>
    <row r="20" ht="15.75" customHeight="1">
      <c r="A20" s="49"/>
      <c r="B20" s="48"/>
      <c r="C20" s="46"/>
      <c r="D20" s="46"/>
      <c r="E20" s="46"/>
      <c r="F20" s="47"/>
      <c r="G20" s="45"/>
      <c r="H20" s="46"/>
      <c r="I20" s="46"/>
      <c r="J20" s="46"/>
      <c r="K20" s="48"/>
      <c r="L20" s="46"/>
      <c r="M20" s="46"/>
      <c r="N20" s="46"/>
      <c r="O20" s="47"/>
      <c r="P20" s="45"/>
      <c r="Q20" s="46" t="s">
        <v>103</v>
      </c>
      <c r="R20" s="46" t="s">
        <v>104</v>
      </c>
      <c r="S20" s="46" t="s">
        <v>85</v>
      </c>
      <c r="T20" s="48" t="s">
        <v>105</v>
      </c>
      <c r="U20" s="46"/>
      <c r="V20" s="46"/>
      <c r="W20" s="46"/>
      <c r="X20" s="47"/>
      <c r="Y20" s="45"/>
      <c r="Z20" s="46" t="s">
        <v>109</v>
      </c>
      <c r="AA20" s="46"/>
      <c r="AB20" s="48"/>
      <c r="AC20" s="46"/>
      <c r="AD20" s="46"/>
      <c r="AE20" s="46"/>
      <c r="AF20" s="47"/>
      <c r="AG20" s="45"/>
    </row>
    <row r="21" ht="15.75" customHeight="1">
      <c r="A21" s="49"/>
      <c r="B21" s="48"/>
      <c r="C21" s="46"/>
      <c r="D21" s="46"/>
      <c r="E21" s="46"/>
      <c r="F21" s="47"/>
      <c r="G21" s="45"/>
      <c r="H21" s="46"/>
      <c r="I21" s="46"/>
      <c r="J21" s="46"/>
      <c r="K21" s="48"/>
      <c r="L21" s="46"/>
      <c r="M21" s="46"/>
      <c r="N21" s="46"/>
      <c r="O21" s="47"/>
      <c r="P21" s="45"/>
      <c r="Q21" s="46"/>
      <c r="R21" s="46"/>
      <c r="S21" s="46" t="s">
        <v>91</v>
      </c>
      <c r="T21" s="48" t="s">
        <v>105</v>
      </c>
      <c r="U21" s="46"/>
      <c r="V21" s="46"/>
      <c r="W21" s="46"/>
      <c r="X21" s="47"/>
      <c r="Y21" s="45"/>
      <c r="Z21" s="46" t="s">
        <v>93</v>
      </c>
      <c r="AA21" s="46"/>
      <c r="AB21" s="48" t="s">
        <v>94</v>
      </c>
      <c r="AC21" s="46" t="s">
        <v>95</v>
      </c>
      <c r="AD21" s="46" t="s">
        <v>96</v>
      </c>
      <c r="AE21" s="46"/>
      <c r="AF21" s="47"/>
      <c r="AG21" s="45"/>
    </row>
    <row r="22" ht="15.75" customHeight="1">
      <c r="A22" s="49"/>
      <c r="B22" s="48"/>
      <c r="C22" s="46"/>
      <c r="D22" s="46"/>
      <c r="E22" s="46"/>
      <c r="F22" s="47"/>
      <c r="G22" s="45"/>
      <c r="H22" s="46"/>
      <c r="I22" s="46"/>
      <c r="J22" s="46"/>
      <c r="K22" s="48"/>
      <c r="L22" s="46"/>
      <c r="M22" s="46"/>
      <c r="N22" s="46"/>
      <c r="O22" s="47"/>
      <c r="P22" s="45"/>
      <c r="Q22" s="46"/>
      <c r="R22" s="46"/>
      <c r="S22" s="46"/>
      <c r="T22" s="48"/>
      <c r="U22" s="46"/>
      <c r="V22" s="46"/>
      <c r="W22" s="46"/>
      <c r="X22" s="47"/>
      <c r="Y22" s="45"/>
      <c r="Z22" s="46"/>
      <c r="AA22" s="46"/>
      <c r="AB22" s="48"/>
      <c r="AC22" s="46" t="s">
        <v>97</v>
      </c>
      <c r="AD22" s="46" t="s">
        <v>98</v>
      </c>
      <c r="AE22" s="46"/>
      <c r="AF22" s="47"/>
      <c r="AG22" s="45"/>
    </row>
    <row r="23" ht="15.75" customHeight="1">
      <c r="A23" s="49"/>
      <c r="B23" s="48"/>
      <c r="C23" s="46"/>
      <c r="D23" s="46"/>
      <c r="E23" s="46"/>
      <c r="F23" s="47"/>
      <c r="G23" s="45"/>
      <c r="H23" s="46"/>
      <c r="I23" s="46"/>
      <c r="J23" s="46"/>
      <c r="K23" s="48"/>
      <c r="L23" s="46"/>
      <c r="M23" s="46"/>
      <c r="N23" s="46"/>
      <c r="O23" s="47"/>
      <c r="P23" s="45"/>
      <c r="Q23" s="46"/>
      <c r="R23" s="46"/>
      <c r="S23" s="46"/>
      <c r="T23" s="48"/>
      <c r="U23" s="46"/>
      <c r="V23" s="46"/>
      <c r="W23" s="46"/>
      <c r="X23" s="47"/>
      <c r="Y23" s="45"/>
      <c r="Z23" s="46"/>
      <c r="AA23" s="46"/>
      <c r="AB23" s="48"/>
      <c r="AC23" s="46" t="s">
        <v>99</v>
      </c>
      <c r="AD23" s="46" t="s">
        <v>100</v>
      </c>
      <c r="AE23" s="46"/>
      <c r="AF23" s="47"/>
      <c r="AG23" s="45"/>
    </row>
    <row r="24" ht="15.75" customHeight="1">
      <c r="A24" s="49"/>
      <c r="B24" s="48"/>
      <c r="C24" s="46"/>
      <c r="D24" s="46"/>
      <c r="E24" s="46"/>
      <c r="F24" s="47"/>
      <c r="G24" s="45"/>
      <c r="H24" s="46"/>
      <c r="I24" s="46"/>
      <c r="J24" s="46"/>
      <c r="K24" s="48"/>
      <c r="L24" s="46"/>
      <c r="M24" s="46"/>
      <c r="N24" s="46"/>
      <c r="O24" s="47"/>
      <c r="P24" s="45"/>
      <c r="Q24" s="46"/>
      <c r="R24" s="46"/>
      <c r="S24" s="46"/>
      <c r="T24" s="48"/>
      <c r="U24" s="46"/>
      <c r="V24" s="46"/>
      <c r="W24" s="46"/>
      <c r="X24" s="47"/>
      <c r="Y24" s="45"/>
      <c r="Z24" s="46"/>
      <c r="AA24" s="46"/>
      <c r="AB24" s="48"/>
      <c r="AC24" s="46" t="s">
        <v>101</v>
      </c>
      <c r="AD24" s="46" t="s">
        <v>102</v>
      </c>
      <c r="AE24" s="46"/>
      <c r="AF24" s="47"/>
      <c r="AG24" s="45"/>
    </row>
    <row r="25" ht="15.75" customHeight="1">
      <c r="A25" s="49"/>
      <c r="B25" s="48"/>
      <c r="C25" s="46"/>
      <c r="D25" s="46"/>
      <c r="E25" s="46"/>
      <c r="F25" s="47"/>
      <c r="G25" s="45"/>
      <c r="H25" s="46" t="s">
        <v>117</v>
      </c>
      <c r="I25" s="46" t="s">
        <v>118</v>
      </c>
      <c r="J25" s="46"/>
      <c r="K25" s="48" t="s">
        <v>119</v>
      </c>
      <c r="L25" s="46" t="s">
        <v>120</v>
      </c>
      <c r="M25" s="46"/>
      <c r="N25" s="46"/>
      <c r="O25" s="47"/>
      <c r="P25" s="45"/>
      <c r="Q25" s="46"/>
      <c r="R25" s="46" t="s">
        <v>121</v>
      </c>
      <c r="S25" s="46" t="s">
        <v>85</v>
      </c>
      <c r="T25" s="48" t="s">
        <v>86</v>
      </c>
      <c r="U25" s="46"/>
      <c r="V25" s="46"/>
      <c r="W25" s="46"/>
      <c r="X25" s="47"/>
      <c r="Y25" s="45"/>
      <c r="Z25" s="46" t="s">
        <v>116</v>
      </c>
      <c r="AA25" s="46"/>
      <c r="AB25" s="48"/>
      <c r="AC25" s="46"/>
      <c r="AD25" s="46"/>
      <c r="AE25" s="46"/>
      <c r="AF25" s="47"/>
      <c r="AG25" s="45"/>
    </row>
    <row r="26" ht="15.75" customHeight="1">
      <c r="A26" s="49"/>
      <c r="B26" s="48"/>
      <c r="C26" s="46"/>
      <c r="D26" s="46"/>
      <c r="E26" s="46"/>
      <c r="F26" s="47"/>
      <c r="G26" s="45"/>
      <c r="H26" s="46"/>
      <c r="I26" s="46"/>
      <c r="J26" s="46"/>
      <c r="K26" s="48"/>
      <c r="L26" s="46" t="s">
        <v>91</v>
      </c>
      <c r="M26" s="46"/>
      <c r="N26" s="46" t="s">
        <v>92</v>
      </c>
      <c r="O26" s="47"/>
      <c r="P26" s="45"/>
      <c r="Q26" s="46"/>
      <c r="R26" s="46"/>
      <c r="S26" s="46" t="s">
        <v>91</v>
      </c>
      <c r="T26" s="48" t="s">
        <v>86</v>
      </c>
      <c r="U26" s="46"/>
      <c r="V26" s="46"/>
      <c r="W26" s="46"/>
      <c r="X26" s="47"/>
      <c r="Y26" s="45"/>
      <c r="Z26" s="46" t="s">
        <v>93</v>
      </c>
      <c r="AA26" s="46"/>
      <c r="AB26" s="48" t="s">
        <v>94</v>
      </c>
      <c r="AC26" s="46" t="s">
        <v>95</v>
      </c>
      <c r="AD26" s="46" t="s">
        <v>96</v>
      </c>
      <c r="AE26" s="46"/>
      <c r="AF26" s="47"/>
      <c r="AG26" s="45"/>
    </row>
    <row r="27" ht="15.75" customHeight="1">
      <c r="A27" s="49"/>
      <c r="B27" s="48"/>
      <c r="C27" s="46"/>
      <c r="D27" s="46"/>
      <c r="E27" s="46"/>
      <c r="F27" s="47"/>
      <c r="G27" s="45"/>
      <c r="H27" s="46"/>
      <c r="I27" s="46"/>
      <c r="J27" s="46"/>
      <c r="K27" s="48"/>
      <c r="L27" s="46"/>
      <c r="M27" s="46"/>
      <c r="N27" s="46"/>
      <c r="O27" s="47"/>
      <c r="P27" s="45"/>
      <c r="Q27" s="46"/>
      <c r="R27" s="46"/>
      <c r="S27" s="46"/>
      <c r="T27" s="48"/>
      <c r="U27" s="46"/>
      <c r="V27" s="46"/>
      <c r="W27" s="46"/>
      <c r="X27" s="47"/>
      <c r="Y27" s="45"/>
      <c r="Z27" s="46"/>
      <c r="AA27" s="46"/>
      <c r="AB27" s="48"/>
      <c r="AC27" s="46" t="s">
        <v>97</v>
      </c>
      <c r="AD27" s="46" t="s">
        <v>98</v>
      </c>
      <c r="AE27" s="46"/>
      <c r="AF27" s="47"/>
      <c r="AG27" s="45"/>
    </row>
    <row r="28" ht="15.75" customHeight="1">
      <c r="A28" s="49"/>
      <c r="B28" s="48"/>
      <c r="C28" s="46"/>
      <c r="D28" s="46"/>
      <c r="E28" s="46"/>
      <c r="F28" s="47"/>
      <c r="G28" s="45"/>
      <c r="H28" s="46"/>
      <c r="I28" s="46"/>
      <c r="J28" s="46"/>
      <c r="K28" s="48"/>
      <c r="L28" s="46"/>
      <c r="M28" s="46"/>
      <c r="N28" s="46"/>
      <c r="O28" s="47"/>
      <c r="P28" s="45"/>
      <c r="Q28" s="46"/>
      <c r="R28" s="46"/>
      <c r="S28" s="46"/>
      <c r="T28" s="48"/>
      <c r="U28" s="46"/>
      <c r="V28" s="46"/>
      <c r="W28" s="46"/>
      <c r="X28" s="47"/>
      <c r="Y28" s="45"/>
      <c r="Z28" s="46"/>
      <c r="AA28" s="46"/>
      <c r="AB28" s="48"/>
      <c r="AC28" s="46" t="s">
        <v>99</v>
      </c>
      <c r="AD28" s="46" t="s">
        <v>100</v>
      </c>
      <c r="AE28" s="46"/>
      <c r="AF28" s="47"/>
      <c r="AG28" s="45"/>
    </row>
    <row r="29" ht="15.75" customHeight="1">
      <c r="A29" s="49"/>
      <c r="B29" s="48"/>
      <c r="C29" s="46"/>
      <c r="D29" s="46"/>
      <c r="E29" s="46"/>
      <c r="F29" s="47"/>
      <c r="G29" s="45"/>
      <c r="H29" s="46"/>
      <c r="I29" s="46"/>
      <c r="J29" s="46"/>
      <c r="K29" s="48"/>
      <c r="L29" s="46"/>
      <c r="M29" s="46"/>
      <c r="N29" s="46"/>
      <c r="O29" s="47"/>
      <c r="P29" s="45"/>
      <c r="Q29" s="46"/>
      <c r="R29" s="46"/>
      <c r="S29" s="46"/>
      <c r="T29" s="48"/>
      <c r="U29" s="46"/>
      <c r="V29" s="46"/>
      <c r="W29" s="46"/>
      <c r="X29" s="47"/>
      <c r="Y29" s="45"/>
      <c r="Z29" s="46"/>
      <c r="AA29" s="46"/>
      <c r="AB29" s="48"/>
      <c r="AC29" s="46" t="s">
        <v>101</v>
      </c>
      <c r="AD29" s="46" t="s">
        <v>102</v>
      </c>
      <c r="AE29" s="46"/>
      <c r="AF29" s="47"/>
      <c r="AG29" s="45"/>
    </row>
    <row r="30" ht="15.75" customHeight="1">
      <c r="A30" s="49"/>
      <c r="B30" s="48"/>
      <c r="C30" s="46" t="s">
        <v>122</v>
      </c>
      <c r="D30" s="46" t="s">
        <v>123</v>
      </c>
      <c r="E30" s="46"/>
      <c r="F30" s="47" t="s">
        <v>74</v>
      </c>
      <c r="G30" s="45" t="s">
        <v>75</v>
      </c>
      <c r="H30" s="46" t="s">
        <v>91</v>
      </c>
      <c r="I30" s="46" t="s">
        <v>124</v>
      </c>
      <c r="J30" s="46"/>
      <c r="K30" s="48" t="s">
        <v>125</v>
      </c>
      <c r="L30" s="46" t="s">
        <v>126</v>
      </c>
      <c r="M30" s="46" t="s">
        <v>80</v>
      </c>
      <c r="N30" s="46" t="s">
        <v>81</v>
      </c>
      <c r="O30" s="47" t="s">
        <v>82</v>
      </c>
      <c r="P30" s="45" t="s">
        <v>75</v>
      </c>
      <c r="Q30" s="46"/>
      <c r="R30" s="46" t="s">
        <v>121</v>
      </c>
      <c r="S30" s="46" t="s">
        <v>85</v>
      </c>
      <c r="T30" s="48" t="s">
        <v>86</v>
      </c>
      <c r="U30" s="46"/>
      <c r="V30" s="46"/>
      <c r="W30" s="46"/>
      <c r="X30" s="47" t="s">
        <v>82</v>
      </c>
      <c r="Y30" s="45" t="s">
        <v>75</v>
      </c>
      <c r="Z30" s="46" t="s">
        <v>116</v>
      </c>
      <c r="AA30" s="46"/>
      <c r="AB30" s="48"/>
      <c r="AC30" s="46"/>
      <c r="AD30" s="46"/>
      <c r="AE30" s="46"/>
      <c r="AF30" s="47" t="s">
        <v>82</v>
      </c>
      <c r="AG30" s="45" t="s">
        <v>75</v>
      </c>
    </row>
    <row r="31" ht="15.75" customHeight="1">
      <c r="A31" s="45"/>
      <c r="B31" s="46"/>
      <c r="C31" s="46"/>
      <c r="D31" s="46"/>
      <c r="E31" s="46"/>
      <c r="F31" s="47"/>
      <c r="G31" s="45"/>
      <c r="H31" s="46"/>
      <c r="I31" s="46"/>
      <c r="J31" s="46"/>
      <c r="K31" s="46"/>
      <c r="L31" s="46" t="s">
        <v>91</v>
      </c>
      <c r="M31" s="46"/>
      <c r="N31" s="46"/>
      <c r="O31" s="47"/>
      <c r="P31" s="45"/>
      <c r="Q31" s="46"/>
      <c r="R31" s="46"/>
      <c r="S31" s="46" t="s">
        <v>91</v>
      </c>
      <c r="T31" s="48" t="s">
        <v>86</v>
      </c>
      <c r="U31" s="46"/>
      <c r="V31" s="46"/>
      <c r="W31" s="46"/>
      <c r="X31" s="47"/>
      <c r="Y31" s="45"/>
      <c r="Z31" s="46" t="s">
        <v>93</v>
      </c>
      <c r="AA31" s="46"/>
      <c r="AB31" s="48" t="s">
        <v>94</v>
      </c>
      <c r="AC31" s="46" t="s">
        <v>95</v>
      </c>
      <c r="AD31" s="46" t="s">
        <v>96</v>
      </c>
      <c r="AE31" s="46"/>
      <c r="AF31" s="47"/>
      <c r="AG31" s="45"/>
    </row>
    <row r="32" ht="15.75" customHeight="1">
      <c r="A32" s="45"/>
      <c r="B32" s="46"/>
      <c r="C32" s="46"/>
      <c r="D32" s="46"/>
      <c r="E32" s="46"/>
      <c r="F32" s="47"/>
      <c r="G32" s="45"/>
      <c r="H32" s="46"/>
      <c r="I32" s="46"/>
      <c r="J32" s="46"/>
      <c r="K32" s="46"/>
      <c r="L32" s="46"/>
      <c r="M32" s="46"/>
      <c r="N32" s="46"/>
      <c r="O32" s="47"/>
      <c r="P32" s="45"/>
      <c r="Q32" s="46"/>
      <c r="R32" s="46"/>
      <c r="S32" s="46"/>
      <c r="T32" s="46"/>
      <c r="U32" s="46"/>
      <c r="V32" s="46"/>
      <c r="W32" s="46"/>
      <c r="X32" s="47"/>
      <c r="Y32" s="45"/>
      <c r="Z32" s="46"/>
      <c r="AA32" s="46"/>
      <c r="AB32" s="46"/>
      <c r="AC32" s="46" t="s">
        <v>97</v>
      </c>
      <c r="AD32" s="46" t="s">
        <v>98</v>
      </c>
      <c r="AE32" s="46"/>
      <c r="AF32" s="47"/>
      <c r="AG32" s="45"/>
    </row>
    <row r="33" ht="15.75" customHeight="1">
      <c r="A33" s="45"/>
      <c r="B33" s="46"/>
      <c r="C33" s="46"/>
      <c r="D33" s="46"/>
      <c r="E33" s="46"/>
      <c r="F33" s="47"/>
      <c r="G33" s="45"/>
      <c r="H33" s="46"/>
      <c r="I33" s="46"/>
      <c r="J33" s="46"/>
      <c r="K33" s="46"/>
      <c r="L33" s="46"/>
      <c r="M33" s="46"/>
      <c r="N33" s="46"/>
      <c r="O33" s="47"/>
      <c r="P33" s="45"/>
      <c r="Q33" s="46"/>
      <c r="R33" s="46"/>
      <c r="S33" s="46"/>
      <c r="T33" s="46"/>
      <c r="U33" s="46"/>
      <c r="V33" s="46"/>
      <c r="W33" s="46"/>
      <c r="X33" s="47"/>
      <c r="Y33" s="45"/>
      <c r="Z33" s="46"/>
      <c r="AA33" s="46"/>
      <c r="AB33" s="46"/>
      <c r="AC33" s="46" t="s">
        <v>99</v>
      </c>
      <c r="AD33" s="46" t="s">
        <v>100</v>
      </c>
      <c r="AE33" s="46"/>
      <c r="AF33" s="47"/>
      <c r="AG33" s="45"/>
    </row>
    <row r="34" ht="15.75" customHeight="1">
      <c r="A34" s="45"/>
      <c r="B34" s="46"/>
      <c r="C34" s="46"/>
      <c r="D34" s="46"/>
      <c r="E34" s="46"/>
      <c r="F34" s="47"/>
      <c r="G34" s="45"/>
      <c r="H34" s="46"/>
      <c r="I34" s="46"/>
      <c r="J34" s="46"/>
      <c r="K34" s="46"/>
      <c r="L34" s="46"/>
      <c r="M34" s="46"/>
      <c r="N34" s="46"/>
      <c r="O34" s="47"/>
      <c r="P34" s="45"/>
      <c r="Q34" s="46"/>
      <c r="R34" s="46"/>
      <c r="S34" s="46"/>
      <c r="T34" s="46"/>
      <c r="U34" s="46"/>
      <c r="V34" s="46"/>
      <c r="W34" s="46"/>
      <c r="X34" s="47"/>
      <c r="Y34" s="45"/>
      <c r="Z34" s="46"/>
      <c r="AA34" s="46"/>
      <c r="AB34" s="46"/>
      <c r="AC34" s="46" t="s">
        <v>101</v>
      </c>
      <c r="AD34" s="46" t="s">
        <v>102</v>
      </c>
      <c r="AE34" s="46"/>
      <c r="AF34" s="47"/>
      <c r="AG34" s="45"/>
    </row>
    <row r="35" ht="15.75" customHeight="1">
      <c r="A35" s="45"/>
      <c r="B35" s="46"/>
      <c r="C35" s="46"/>
      <c r="D35" s="46"/>
      <c r="E35" s="46"/>
      <c r="F35" s="47"/>
      <c r="G35" s="45"/>
      <c r="H35" s="46"/>
      <c r="I35" s="46"/>
      <c r="J35" s="46"/>
      <c r="K35" s="46"/>
      <c r="L35" s="46"/>
      <c r="M35" s="46"/>
      <c r="N35" s="46"/>
      <c r="O35" s="47"/>
      <c r="P35" s="45"/>
      <c r="Q35" s="46"/>
      <c r="R35" s="46"/>
      <c r="S35" s="46"/>
      <c r="T35" s="46"/>
      <c r="U35" s="46"/>
      <c r="V35" s="46"/>
      <c r="W35" s="46"/>
      <c r="X35" s="47"/>
      <c r="Y35" s="45"/>
      <c r="Z35" s="46"/>
      <c r="AA35" s="46"/>
      <c r="AB35" s="46"/>
      <c r="AC35" s="46"/>
      <c r="AD35" s="46"/>
      <c r="AE35" s="46"/>
      <c r="AF35" s="47"/>
      <c r="AG35" s="45"/>
    </row>
    <row r="36" ht="15.75" customHeight="1">
      <c r="A36" s="45"/>
      <c r="B36" s="46"/>
      <c r="C36" s="46"/>
      <c r="D36" s="46"/>
      <c r="E36" s="46"/>
      <c r="F36" s="47"/>
      <c r="G36" s="45"/>
      <c r="H36" s="46"/>
      <c r="I36" s="46"/>
      <c r="J36" s="46"/>
      <c r="K36" s="46"/>
      <c r="L36" s="46"/>
      <c r="M36" s="46"/>
      <c r="N36" s="46"/>
      <c r="O36" s="47"/>
      <c r="P36" s="45"/>
      <c r="Q36" s="46"/>
      <c r="R36" s="46"/>
      <c r="S36" s="46"/>
      <c r="T36" s="46"/>
      <c r="U36" s="46"/>
      <c r="V36" s="46"/>
      <c r="W36" s="46"/>
      <c r="X36" s="47"/>
      <c r="Y36" s="45"/>
      <c r="Z36" s="46"/>
      <c r="AA36" s="46"/>
      <c r="AB36" s="46"/>
      <c r="AC36" s="46"/>
      <c r="AD36" s="46"/>
      <c r="AE36" s="46"/>
      <c r="AF36" s="47"/>
      <c r="AG36" s="45"/>
    </row>
    <row r="37" ht="15.75" customHeight="1">
      <c r="A37" s="45"/>
      <c r="B37" s="46"/>
      <c r="C37" s="46"/>
      <c r="D37" s="46"/>
      <c r="E37" s="46"/>
      <c r="F37" s="47"/>
      <c r="G37" s="45"/>
      <c r="H37" s="46"/>
      <c r="I37" s="46"/>
      <c r="J37" s="46"/>
      <c r="K37" s="46"/>
      <c r="L37" s="46"/>
      <c r="M37" s="46"/>
      <c r="N37" s="46"/>
      <c r="O37" s="47"/>
      <c r="P37" s="45"/>
      <c r="Q37" s="46"/>
      <c r="R37" s="46"/>
      <c r="S37" s="46"/>
      <c r="T37" s="46"/>
      <c r="U37" s="46"/>
      <c r="V37" s="46"/>
      <c r="W37" s="46"/>
      <c r="X37" s="47"/>
      <c r="Y37" s="45"/>
      <c r="Z37" s="46"/>
      <c r="AA37" s="46"/>
      <c r="AB37" s="46"/>
      <c r="AC37" s="46"/>
      <c r="AD37" s="46"/>
      <c r="AE37" s="46"/>
      <c r="AF37" s="47"/>
      <c r="AG37" s="45"/>
    </row>
    <row r="38" ht="15.75" customHeight="1">
      <c r="A38" s="45"/>
      <c r="B38" s="46"/>
      <c r="C38" s="46"/>
      <c r="D38" s="46"/>
      <c r="E38" s="46"/>
      <c r="F38" s="47"/>
      <c r="G38" s="45"/>
      <c r="H38" s="46"/>
      <c r="I38" s="46"/>
      <c r="J38" s="46"/>
      <c r="K38" s="46"/>
      <c r="L38" s="46"/>
      <c r="M38" s="46"/>
      <c r="N38" s="46"/>
      <c r="O38" s="47"/>
      <c r="P38" s="45"/>
      <c r="Q38" s="46"/>
      <c r="R38" s="46"/>
      <c r="S38" s="46"/>
      <c r="T38" s="46"/>
      <c r="U38" s="46"/>
      <c r="V38" s="46"/>
      <c r="W38" s="46"/>
      <c r="X38" s="47"/>
      <c r="Y38" s="45"/>
      <c r="Z38" s="46"/>
      <c r="AA38" s="46"/>
      <c r="AB38" s="46"/>
      <c r="AC38" s="46"/>
      <c r="AD38" s="46"/>
      <c r="AE38" s="46"/>
      <c r="AF38" s="47"/>
      <c r="AG38" s="45"/>
    </row>
    <row r="39" ht="15.75" customHeight="1">
      <c r="A39" s="45"/>
      <c r="B39" s="46"/>
      <c r="C39" s="46"/>
      <c r="D39" s="46"/>
      <c r="E39" s="46"/>
      <c r="F39" s="47"/>
      <c r="G39" s="45"/>
      <c r="H39" s="46"/>
      <c r="I39" s="46"/>
      <c r="J39" s="46"/>
      <c r="K39" s="46"/>
      <c r="L39" s="46"/>
      <c r="M39" s="46"/>
      <c r="N39" s="46"/>
      <c r="O39" s="47"/>
      <c r="P39" s="45"/>
      <c r="Q39" s="46"/>
      <c r="R39" s="46"/>
      <c r="S39" s="46"/>
      <c r="T39" s="46"/>
      <c r="U39" s="46"/>
      <c r="V39" s="46"/>
      <c r="W39" s="46"/>
      <c r="X39" s="47"/>
      <c r="Y39" s="45"/>
      <c r="Z39" s="46"/>
      <c r="AA39" s="46"/>
      <c r="AB39" s="46"/>
      <c r="AC39" s="46"/>
      <c r="AD39" s="46"/>
      <c r="AE39" s="46"/>
      <c r="AF39" s="47"/>
      <c r="AG39" s="45"/>
    </row>
    <row r="40" ht="15.75" customHeight="1">
      <c r="A40" s="45"/>
      <c r="B40" s="46"/>
      <c r="C40" s="46"/>
      <c r="D40" s="46"/>
      <c r="E40" s="46"/>
      <c r="F40" s="47"/>
      <c r="G40" s="45"/>
      <c r="H40" s="46"/>
      <c r="I40" s="46"/>
      <c r="J40" s="46"/>
      <c r="K40" s="46"/>
      <c r="L40" s="46"/>
      <c r="M40" s="46"/>
      <c r="N40" s="46"/>
      <c r="O40" s="47"/>
      <c r="P40" s="45"/>
      <c r="Q40" s="46"/>
      <c r="R40" s="46"/>
      <c r="S40" s="46"/>
      <c r="T40" s="46"/>
      <c r="U40" s="46"/>
      <c r="V40" s="46"/>
      <c r="W40" s="46"/>
      <c r="X40" s="47"/>
      <c r="Y40" s="45"/>
      <c r="Z40" s="46"/>
      <c r="AA40" s="46"/>
      <c r="AB40" s="46"/>
      <c r="AC40" s="46"/>
      <c r="AD40" s="46"/>
      <c r="AE40" s="46"/>
      <c r="AF40" s="47"/>
      <c r="AG40" s="45"/>
    </row>
    <row r="41" ht="15.75" customHeight="1">
      <c r="A41" s="45"/>
      <c r="B41" s="46"/>
      <c r="C41" s="46"/>
      <c r="D41" s="46"/>
      <c r="E41" s="46"/>
      <c r="F41" s="47"/>
      <c r="G41" s="45"/>
      <c r="H41" s="46"/>
      <c r="I41" s="46"/>
      <c r="J41" s="46"/>
      <c r="K41" s="46"/>
      <c r="L41" s="46"/>
      <c r="M41" s="46"/>
      <c r="N41" s="46"/>
      <c r="O41" s="47"/>
      <c r="P41" s="45"/>
      <c r="Q41" s="46"/>
      <c r="R41" s="46"/>
      <c r="S41" s="46"/>
      <c r="T41" s="46"/>
      <c r="U41" s="46"/>
      <c r="V41" s="46"/>
      <c r="W41" s="46"/>
      <c r="X41" s="47"/>
      <c r="Y41" s="45"/>
      <c r="Z41" s="46"/>
      <c r="AA41" s="46"/>
      <c r="AB41" s="46"/>
      <c r="AC41" s="46"/>
      <c r="AD41" s="46"/>
      <c r="AE41" s="46"/>
      <c r="AF41" s="47"/>
      <c r="AG41" s="45"/>
    </row>
    <row r="42" ht="15.75" customHeight="1">
      <c r="A42" s="45"/>
      <c r="B42" s="46"/>
      <c r="C42" s="46"/>
      <c r="D42" s="46"/>
      <c r="E42" s="46"/>
      <c r="F42" s="47"/>
      <c r="G42" s="45"/>
      <c r="H42" s="46"/>
      <c r="I42" s="46"/>
      <c r="J42" s="46"/>
      <c r="K42" s="46"/>
      <c r="L42" s="46"/>
      <c r="M42" s="46"/>
      <c r="N42" s="46"/>
      <c r="O42" s="47"/>
      <c r="P42" s="45"/>
      <c r="Q42" s="46"/>
      <c r="R42" s="46"/>
      <c r="S42" s="46"/>
      <c r="T42" s="46"/>
      <c r="U42" s="46"/>
      <c r="V42" s="46"/>
      <c r="W42" s="46"/>
      <c r="X42" s="47"/>
      <c r="Y42" s="45"/>
      <c r="Z42" s="46"/>
      <c r="AA42" s="46"/>
      <c r="AB42" s="46"/>
      <c r="AC42" s="46"/>
      <c r="AD42" s="46"/>
      <c r="AE42" s="46"/>
      <c r="AF42" s="47"/>
      <c r="AG42" s="45"/>
    </row>
    <row r="43" ht="15.75" customHeight="1">
      <c r="A43" s="45"/>
      <c r="B43" s="46"/>
      <c r="C43" s="46"/>
      <c r="D43" s="46"/>
      <c r="E43" s="46"/>
      <c r="F43" s="47"/>
      <c r="G43" s="45"/>
      <c r="H43" s="46"/>
      <c r="I43" s="46"/>
      <c r="J43" s="46"/>
      <c r="K43" s="46"/>
      <c r="L43" s="46"/>
      <c r="M43" s="46"/>
      <c r="N43" s="46"/>
      <c r="O43" s="47"/>
      <c r="P43" s="45"/>
      <c r="Q43" s="46"/>
      <c r="R43" s="46"/>
      <c r="S43" s="46"/>
      <c r="T43" s="46"/>
      <c r="U43" s="46"/>
      <c r="V43" s="46"/>
      <c r="W43" s="46"/>
      <c r="X43" s="47"/>
      <c r="Y43" s="45"/>
      <c r="Z43" s="46"/>
      <c r="AA43" s="46"/>
      <c r="AB43" s="46"/>
      <c r="AC43" s="46"/>
      <c r="AD43" s="46"/>
      <c r="AE43" s="46"/>
      <c r="AF43" s="47"/>
      <c r="AG43" s="45"/>
    </row>
    <row r="44" ht="15.75" customHeight="1">
      <c r="A44" s="45"/>
      <c r="B44" s="46"/>
      <c r="C44" s="46"/>
      <c r="D44" s="46"/>
      <c r="E44" s="46"/>
      <c r="F44" s="47"/>
      <c r="G44" s="45"/>
      <c r="H44" s="46"/>
      <c r="I44" s="46"/>
      <c r="J44" s="46"/>
      <c r="K44" s="46"/>
      <c r="L44" s="46"/>
      <c r="M44" s="46"/>
      <c r="N44" s="46"/>
      <c r="O44" s="47"/>
      <c r="P44" s="45"/>
      <c r="Q44" s="46"/>
      <c r="R44" s="46"/>
      <c r="S44" s="46"/>
      <c r="T44" s="46"/>
      <c r="U44" s="46"/>
      <c r="V44" s="46"/>
      <c r="W44" s="46"/>
      <c r="X44" s="47"/>
      <c r="Y44" s="45"/>
      <c r="Z44" s="46"/>
      <c r="AA44" s="46"/>
      <c r="AB44" s="46"/>
      <c r="AC44" s="46"/>
      <c r="AD44" s="46"/>
      <c r="AE44" s="46"/>
      <c r="AF44" s="47"/>
      <c r="AG44" s="45"/>
    </row>
    <row r="45" ht="15.75" customHeight="1">
      <c r="A45" s="45"/>
      <c r="B45" s="46"/>
      <c r="C45" s="46"/>
      <c r="D45" s="46"/>
      <c r="E45" s="46"/>
      <c r="F45" s="47"/>
      <c r="G45" s="45"/>
      <c r="H45" s="46"/>
      <c r="I45" s="46"/>
      <c r="J45" s="46"/>
      <c r="K45" s="46"/>
      <c r="L45" s="46"/>
      <c r="M45" s="46"/>
      <c r="N45" s="46"/>
      <c r="O45" s="47"/>
      <c r="P45" s="45"/>
      <c r="Q45" s="46"/>
      <c r="R45" s="46"/>
      <c r="S45" s="46"/>
      <c r="T45" s="46"/>
      <c r="U45" s="46"/>
      <c r="V45" s="46"/>
      <c r="W45" s="46"/>
      <c r="X45" s="47"/>
      <c r="Y45" s="45"/>
      <c r="Z45" s="46"/>
      <c r="AA45" s="46"/>
      <c r="AB45" s="46"/>
      <c r="AC45" s="46"/>
      <c r="AD45" s="46"/>
      <c r="AE45" s="46"/>
      <c r="AF45" s="47"/>
      <c r="AG45" s="45"/>
    </row>
    <row r="46" ht="15.75" customHeight="1">
      <c r="A46" s="45"/>
      <c r="B46" s="46"/>
      <c r="C46" s="46"/>
      <c r="D46" s="46"/>
      <c r="E46" s="46"/>
      <c r="F46" s="47"/>
      <c r="G46" s="45"/>
      <c r="H46" s="46"/>
      <c r="I46" s="46"/>
      <c r="J46" s="46"/>
      <c r="K46" s="46"/>
      <c r="L46" s="46"/>
      <c r="M46" s="46"/>
      <c r="N46" s="46"/>
      <c r="O46" s="47"/>
      <c r="P46" s="45"/>
      <c r="Q46" s="46"/>
      <c r="R46" s="46"/>
      <c r="S46" s="46"/>
      <c r="T46" s="46"/>
      <c r="U46" s="46"/>
      <c r="V46" s="46"/>
      <c r="W46" s="46"/>
      <c r="X46" s="47"/>
      <c r="Y46" s="45"/>
      <c r="Z46" s="46"/>
      <c r="AA46" s="46"/>
      <c r="AB46" s="46"/>
      <c r="AC46" s="46"/>
      <c r="AD46" s="46"/>
      <c r="AE46" s="46"/>
      <c r="AF46" s="47"/>
      <c r="AG46" s="45"/>
    </row>
    <row r="47" ht="15.75" customHeight="1">
      <c r="A47" s="49"/>
      <c r="B47" s="48"/>
      <c r="C47" s="46"/>
      <c r="D47" s="46"/>
      <c r="E47" s="46"/>
      <c r="F47" s="47"/>
      <c r="G47" s="45"/>
      <c r="H47" s="46"/>
      <c r="I47" s="46"/>
      <c r="J47" s="46"/>
      <c r="K47" s="46"/>
      <c r="L47" s="46"/>
      <c r="M47" s="46"/>
      <c r="N47" s="46"/>
      <c r="O47" s="47"/>
      <c r="P47" s="45"/>
      <c r="Q47" s="46"/>
      <c r="R47" s="46"/>
      <c r="S47" s="46"/>
      <c r="T47" s="46"/>
      <c r="U47" s="46"/>
      <c r="V47" s="46"/>
      <c r="W47" s="46"/>
      <c r="X47" s="47"/>
      <c r="Y47" s="45"/>
      <c r="Z47" s="46"/>
      <c r="AA47" s="46"/>
      <c r="AB47" s="46"/>
      <c r="AC47" s="46"/>
      <c r="AD47" s="46"/>
      <c r="AE47" s="46"/>
      <c r="AF47" s="47"/>
      <c r="AG47" s="4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Q1:W1"/>
    <mergeCell ref="X1:X2"/>
    <mergeCell ref="Y1:Y2"/>
    <mergeCell ref="Z1:AE1"/>
    <mergeCell ref="AF1:AF2"/>
    <mergeCell ref="AG1:AG2"/>
    <mergeCell ref="A1:A2"/>
    <mergeCell ref="B1:E1"/>
    <mergeCell ref="F1:F2"/>
    <mergeCell ref="G1:G2"/>
    <mergeCell ref="H1:N1"/>
    <mergeCell ref="O1:O2"/>
    <mergeCell ref="P1:P2"/>
  </mergeCells>
  <drawing r:id="rId1"/>
</worksheet>
</file>