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ex" sheetId="1" r:id="rId4"/>
  </sheets>
  <definedNames/>
  <calcPr/>
</workbook>
</file>

<file path=xl/sharedStrings.xml><?xml version="1.0" encoding="utf-8"?>
<sst xmlns="http://schemas.openxmlformats.org/spreadsheetml/2006/main" count="179" uniqueCount="40">
  <si>
    <t>List of Problems at CAS Facilities</t>
  </si>
  <si>
    <t>Enter Problem :</t>
  </si>
  <si>
    <t>Code :</t>
  </si>
  <si>
    <t>Jumps to :</t>
  </si>
  <si>
    <t>High TSS in Sidestream bypassing Primary Treatment</t>
  </si>
  <si>
    <t>#</t>
  </si>
  <si>
    <t>CATEGORY</t>
  </si>
  <si>
    <t>CODE</t>
  </si>
  <si>
    <t>SUB-CATEGORY</t>
  </si>
  <si>
    <t>PROBLEM</t>
  </si>
  <si>
    <t>FOLDER</t>
  </si>
  <si>
    <t>FILE</t>
  </si>
  <si>
    <t>SHEET</t>
  </si>
  <si>
    <t>CELL RANGE</t>
  </si>
  <si>
    <t>Water Quality</t>
  </si>
  <si>
    <t>WQ</t>
  </si>
  <si>
    <t>Suspended Solids</t>
  </si>
  <si>
    <t>SS</t>
  </si>
  <si>
    <t>High TSS in Tertiary / Final Effluent</t>
  </si>
  <si>
    <t>3. Training &amp; Verification</t>
  </si>
  <si>
    <t>TSS</t>
  </si>
  <si>
    <t>Concept</t>
  </si>
  <si>
    <t>A1:C10</t>
  </si>
  <si>
    <t>High TSS at Tertiary Treatment Outlet</t>
  </si>
  <si>
    <t>High TSS in Secondary Effluent</t>
  </si>
  <si>
    <t>High TSS at Secondary / Final Clarifier - Weirs</t>
  </si>
  <si>
    <t>High TSS at Secondary / Final Clarifier - Center-Well</t>
  </si>
  <si>
    <t>High TSS at Splitter Box / Distribution Box / Flow Splitter</t>
  </si>
  <si>
    <t>High TSS in Supernatant of Aeration Basin Sample(s)</t>
  </si>
  <si>
    <t>High TSS in Primary Effluent</t>
  </si>
  <si>
    <t>High TSS at Primary Clarifier Weirs</t>
  </si>
  <si>
    <t>High TSS in Filtrate from Sludge Thickening, sent to Tertiary treatment</t>
  </si>
  <si>
    <t>High TSS in Filtrate from Sludge Thickening, sent to Secondary treatment</t>
  </si>
  <si>
    <t>High TSS in Filtrate from Sludge Thickening, sent to Primary treatment</t>
  </si>
  <si>
    <t>High TSS in Sidestream bypassing Tertiary Treatment</t>
  </si>
  <si>
    <t>High TSS in Sidestream bypassing Secondary Treatment</t>
  </si>
  <si>
    <t>High TSS in Raw Influent</t>
  </si>
  <si>
    <t>High TSS in Return Sludge from Secondary Clarifier (RAS)</t>
  </si>
  <si>
    <t>High TSS in Waste Sludge from Primary Clarifier</t>
  </si>
  <si>
    <t>High TSS in Waste Sludge from Secondary Clarifier (WAS)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</si>
</sst>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sz val="10.0"/>
      <color theme="1"/>
      <name val="Arial"/>
      <scheme val="minor"/>
    </font>
    <font>
      <b/>
      <color theme="1"/>
      <name val="Arial"/>
      <scheme val="minor"/>
    </font>
    <font>
      <b/>
      <color rgb="FF980000"/>
      <name val="Arial"/>
      <scheme val="minor"/>
    </font>
    <font/>
    <font>
      <color theme="1"/>
      <name val="Arial"/>
      <scheme val="minor"/>
    </font>
    <font>
      <color rgb="FF980000"/>
      <name val="Arial"/>
      <scheme val="minor"/>
    </font>
    <font>
      <color rgb="FF0000FF"/>
      <name val="Arial"/>
      <scheme val="minor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EFEFEF"/>
        <bgColor rgb="FFEFEFEF"/>
      </patternFill>
    </fill>
    <fill>
      <patternFill patternType="solid">
        <fgColor theme="0"/>
        <bgColor theme="0"/>
      </patternFill>
    </fill>
  </fills>
  <borders count="18">
    <border/>
    <border>
      <left style="medium">
        <color rgb="FFFF0000"/>
      </left>
      <top style="medium">
        <color rgb="FFFF0000"/>
      </top>
      <bottom style="medium">
        <color rgb="FFFF0000"/>
      </bottom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</border>
    <border>
      <right style="medium">
        <color rgb="FF0000FF"/>
      </right>
      <top style="medium">
        <color rgb="FF0000FF"/>
      </top>
      <bottom style="medium">
        <color rgb="FF0000FF"/>
      </bottom>
    </border>
    <border>
      <left style="medium">
        <color rgb="FF0000FF"/>
      </left>
      <right style="medium">
        <color rgb="FF0000FF"/>
      </right>
      <top style="medium">
        <color rgb="FF0000FF"/>
      </top>
      <bottom style="medium">
        <color rgb="FF0000FF"/>
      </bottom>
    </border>
    <border>
      <left style="medium">
        <color rgb="FF0000FF"/>
      </left>
      <top style="medium">
        <color rgb="FF0000FF"/>
      </top>
      <bottom style="medium">
        <color rgb="FF0000FF"/>
      </bottom>
    </border>
    <border>
      <left style="thin">
        <color rgb="FF000000"/>
      </left>
      <right style="thin">
        <color rgb="FFFF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FF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FF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2" fontId="1" numFmtId="0" xfId="0" applyAlignment="1" applyFill="1" applyFont="1">
      <alignment horizontal="left" readingOrder="0"/>
    </xf>
    <xf borderId="0" fillId="0" fontId="1" numFmtId="0" xfId="0" applyAlignment="1" applyFont="1">
      <alignment horizontal="left" readingOrder="0"/>
    </xf>
    <xf borderId="1" fillId="0" fontId="2" numFmtId="0" xfId="0" applyAlignment="1" applyBorder="1" applyFont="1">
      <alignment readingOrder="0" shrinkToFit="0" wrapText="0"/>
    </xf>
    <xf borderId="2" fillId="0" fontId="2" numFmtId="0" xfId="0" applyBorder="1" applyFont="1"/>
    <xf borderId="3" fillId="0" fontId="2" numFmtId="0" xfId="0" applyAlignment="1" applyBorder="1" applyFont="1">
      <alignment horizontal="left" readingOrder="0"/>
    </xf>
    <xf borderId="4" fillId="0" fontId="2" numFmtId="0" xfId="0" applyAlignment="1" applyBorder="1" applyFont="1">
      <alignment horizontal="left" readingOrder="0"/>
    </xf>
    <xf borderId="5" fillId="0" fontId="2" numFmtId="0" xfId="0" applyAlignment="1" applyBorder="1" applyFont="1">
      <alignment horizontal="left" readingOrder="0"/>
    </xf>
    <xf borderId="6" fillId="3" fontId="3" numFmtId="0" xfId="0" applyAlignment="1" applyBorder="1" applyFill="1" applyFont="1">
      <alignment horizontal="center" readingOrder="0" vertical="center"/>
    </xf>
    <xf borderId="7" fillId="3" fontId="3" numFmtId="0" xfId="0" applyAlignment="1" applyBorder="1" applyFont="1">
      <alignment horizontal="center" readingOrder="0" vertical="center"/>
    </xf>
    <xf borderId="8" fillId="3" fontId="3" numFmtId="0" xfId="0" applyAlignment="1" applyBorder="1" applyFont="1">
      <alignment readingOrder="0" vertical="center"/>
    </xf>
    <xf borderId="8" fillId="3" fontId="3" numFmtId="0" xfId="0" applyAlignment="1" applyBorder="1" applyFont="1">
      <alignment horizontal="center" readingOrder="0" vertical="center"/>
    </xf>
    <xf borderId="8" fillId="3" fontId="4" numFmtId="0" xfId="0" applyAlignment="1" applyBorder="1" applyFont="1">
      <alignment readingOrder="0" vertical="center"/>
    </xf>
    <xf borderId="9" fillId="3" fontId="3" numFmtId="0" xfId="0" applyAlignment="1" applyBorder="1" applyFont="1">
      <alignment horizontal="left" readingOrder="0" vertical="center"/>
    </xf>
    <xf borderId="10" fillId="0" fontId="5" numFmtId="0" xfId="0" applyBorder="1" applyFont="1"/>
    <xf borderId="11" fillId="0" fontId="5" numFmtId="0" xfId="0" applyBorder="1" applyFont="1"/>
    <xf borderId="12" fillId="0" fontId="5" numFmtId="0" xfId="0" applyBorder="1" applyFont="1"/>
    <xf borderId="13" fillId="0" fontId="5" numFmtId="0" xfId="0" applyBorder="1" applyFont="1"/>
    <xf borderId="14" fillId="0" fontId="5" numFmtId="0" xfId="0" applyBorder="1" applyFont="1"/>
    <xf borderId="15" fillId="3" fontId="3" numFmtId="0" xfId="0" applyAlignment="1" applyBorder="1" applyFont="1">
      <alignment readingOrder="0" vertical="center"/>
    </xf>
    <xf borderId="16" fillId="3" fontId="6" numFmtId="0" xfId="0" applyAlignment="1" applyBorder="1" applyFont="1">
      <alignment horizontal="center" vertical="top"/>
    </xf>
    <xf borderId="0" fillId="0" fontId="6" numFmtId="0" xfId="0" applyAlignment="1" applyFont="1">
      <alignment horizontal="center" vertical="top"/>
    </xf>
    <xf borderId="0" fillId="0" fontId="6" numFmtId="0" xfId="0" applyAlignment="1" applyFont="1">
      <alignment readingOrder="0" vertical="top"/>
    </xf>
    <xf borderId="17" fillId="0" fontId="6" numFmtId="0" xfId="0" applyAlignment="1" applyBorder="1" applyFont="1">
      <alignment readingOrder="0" vertical="top"/>
    </xf>
    <xf borderId="17" fillId="0" fontId="7" numFmtId="0" xfId="0" applyAlignment="1" applyBorder="1" applyFont="1">
      <alignment readingOrder="0" vertical="top"/>
    </xf>
    <xf borderId="0" fillId="0" fontId="8" numFmtId="0" xfId="0" applyAlignment="1" applyFont="1">
      <alignment readingOrder="0" vertical="top"/>
    </xf>
    <xf borderId="17" fillId="0" fontId="8" numFmtId="0" xfId="0" applyAlignment="1" applyBorder="1" applyFont="1">
      <alignment readingOrder="0" vertical="top"/>
    </xf>
    <xf borderId="0" fillId="0" fontId="9" numFmtId="0" xfId="0" applyAlignment="1" applyFont="1">
      <alignment shrinkToFit="0" vertical="top" wrapText="1"/>
    </xf>
    <xf borderId="0" fillId="4" fontId="9" numFmtId="0" xfId="0" applyAlignment="1" applyFill="1" applyFont="1">
      <alignment shrinkToFit="0" vertical="top" wrapText="1"/>
    </xf>
    <xf borderId="0" fillId="0" fontId="9" numFmtId="0" xfId="0" applyAlignment="1" applyFont="1">
      <alignment readingOrder="0" shrinkToFit="0" vertical="top" wrapText="1"/>
    </xf>
    <xf borderId="0" fillId="0" fontId="6" numFmtId="0" xfId="0" applyAlignment="1" applyFont="1">
      <alignment vertical="top"/>
    </xf>
    <xf borderId="17" fillId="0" fontId="6" numFmtId="0" xfId="0" applyAlignment="1" applyBorder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75"/>
  <cols>
    <col customWidth="1" min="1" max="2" width="3.13"/>
    <col customWidth="1" min="3" max="3" width="15.13"/>
    <col customWidth="1" min="4" max="4" width="5.75"/>
    <col customWidth="1" min="5" max="5" width="3.13"/>
    <col customWidth="1" min="6" max="6" width="15.13"/>
    <col customWidth="1" min="7" max="7" width="5.75"/>
    <col customWidth="1" min="8" max="8" width="3.13"/>
    <col customWidth="1" min="9" max="9" width="46.88"/>
    <col customWidth="1" min="10" max="10" width="8.88"/>
    <col customWidth="1" min="11" max="11" width="20.13"/>
    <col customWidth="1" min="12" max="14" width="11.38"/>
  </cols>
  <sheetData>
    <row r="1">
      <c r="A1" s="1"/>
      <c r="B1" s="2" t="s">
        <v>0</v>
      </c>
      <c r="I1" s="3" t="s">
        <v>1</v>
      </c>
      <c r="J1" s="3" t="s">
        <v>2</v>
      </c>
      <c r="K1" s="3" t="s">
        <v>3</v>
      </c>
    </row>
    <row r="2">
      <c r="A2" s="1"/>
      <c r="B2" s="3"/>
      <c r="C2" s="3"/>
      <c r="D2" s="3"/>
      <c r="E2" s="3"/>
      <c r="F2" s="3"/>
      <c r="G2" s="3"/>
      <c r="H2" s="3"/>
      <c r="I2" s="4" t="s">
        <v>4</v>
      </c>
      <c r="J2" s="5" t="str">
        <f t="array" ref="J2">IFERROR(INDEX(J6:J410,MATCH(I2,I6:I410,0)))</f>
        <v>WQSS15</v>
      </c>
      <c r="K2" s="6" t="str">
        <f t="array" ref="K2">IFERROR(INDEX(K6:K410,MATCH(I2,I6:I410,0)))</f>
        <v>3. Training &amp; Verification</v>
      </c>
      <c r="L2" s="7" t="str">
        <f t="array" ref="L2">IFERROR(INDEX(L6:L410,MATCH(I2,I6:I410,0)))</f>
        <v>TSS</v>
      </c>
      <c r="M2" s="7" t="str">
        <f t="array" ref="M2">IFERROR(INDEX(M6:M410,MATCH(I2,I6:I410,0)))</f>
        <v>Concept</v>
      </c>
      <c r="N2" s="8" t="str">
        <f t="array" ref="N2">IFERROR(INDEX(N6:N410,MATCH(I2,I6:I410,0)))</f>
        <v>A1:C10</v>
      </c>
    </row>
    <row r="3">
      <c r="A3" s="1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>
      <c r="A4" s="9" t="s">
        <v>5</v>
      </c>
      <c r="B4" s="10" t="s">
        <v>5</v>
      </c>
      <c r="C4" s="11" t="s">
        <v>6</v>
      </c>
      <c r="D4" s="11" t="s">
        <v>7</v>
      </c>
      <c r="E4" s="12" t="s">
        <v>5</v>
      </c>
      <c r="F4" s="11" t="s">
        <v>8</v>
      </c>
      <c r="G4" s="11" t="s">
        <v>7</v>
      </c>
      <c r="H4" s="12" t="s">
        <v>5</v>
      </c>
      <c r="I4" s="11" t="s">
        <v>9</v>
      </c>
      <c r="J4" s="13" t="s">
        <v>7</v>
      </c>
      <c r="K4" s="14" t="s">
        <v>3</v>
      </c>
      <c r="L4" s="15"/>
      <c r="M4" s="15"/>
      <c r="N4" s="16"/>
    </row>
    <row r="5">
      <c r="A5" s="17"/>
      <c r="B5" s="18"/>
      <c r="C5" s="19"/>
      <c r="D5" s="19"/>
      <c r="E5" s="19"/>
      <c r="F5" s="19"/>
      <c r="G5" s="19"/>
      <c r="H5" s="19"/>
      <c r="I5" s="19"/>
      <c r="J5" s="19"/>
      <c r="K5" s="20" t="s">
        <v>10</v>
      </c>
      <c r="L5" s="20" t="s">
        <v>11</v>
      </c>
      <c r="M5" s="20" t="s">
        <v>12</v>
      </c>
      <c r="N5" s="20" t="s">
        <v>13</v>
      </c>
    </row>
    <row r="6">
      <c r="A6" s="21">
        <f t="shared" ref="A6:A410" si="1">IF(I6="","",COUNTA($I$6:I6))</f>
        <v>1</v>
      </c>
      <c r="B6" s="22" t="str">
        <f>IFERROR(__xludf.DUMMYFUNCTION("IF(C6="""","""",ROMAN(COUNTUNIQUE($C$6:C6)))"),"I")</f>
        <v>I</v>
      </c>
      <c r="C6" s="23" t="s">
        <v>14</v>
      </c>
      <c r="D6" s="24" t="s">
        <v>15</v>
      </c>
      <c r="E6" s="22" t="str">
        <f>IFERROR(__xludf.DUMMYFUNCTION("IF(F6="""","""",LEFT(ADDRESS(1,COUNTUNIQUE($F$6:F6),4)))"),"A")</f>
        <v>A</v>
      </c>
      <c r="F6" s="23" t="s">
        <v>16</v>
      </c>
      <c r="G6" s="24" t="s">
        <v>17</v>
      </c>
      <c r="H6" s="22">
        <f>IFERROR(__xludf.DUMMYFUNCTION("IF(I6="""","""",COUNTUNIQUE($I$6:I6))"),1.0)</f>
        <v>1</v>
      </c>
      <c r="I6" s="23" t="s">
        <v>18</v>
      </c>
      <c r="J6" s="25" t="str">
        <f t="shared" ref="J6:J410" si="2">TEXTJOIN("",TRUE,D6,G6,H6)</f>
        <v>WQSS1</v>
      </c>
      <c r="K6" s="26" t="s">
        <v>19</v>
      </c>
      <c r="L6" s="26" t="s">
        <v>20</v>
      </c>
      <c r="M6" s="26" t="s">
        <v>21</v>
      </c>
      <c r="N6" s="27" t="s">
        <v>22</v>
      </c>
    </row>
    <row r="7">
      <c r="A7" s="21">
        <f t="shared" si="1"/>
        <v>2</v>
      </c>
      <c r="B7" s="22" t="str">
        <f>IFERROR(__xludf.DUMMYFUNCTION("IF(C7="""","""",ROMAN(COUNTUNIQUE($C$6:C7)))"),"I")</f>
        <v>I</v>
      </c>
      <c r="C7" s="23" t="s">
        <v>14</v>
      </c>
      <c r="D7" s="24" t="s">
        <v>15</v>
      </c>
      <c r="E7" s="22" t="str">
        <f>IFERROR(__xludf.DUMMYFUNCTION("IF(F7="""","""",LEFT(ADDRESS(1,COUNTUNIQUE($F$6:F7),4)))"),"A")</f>
        <v>A</v>
      </c>
      <c r="F7" s="23" t="s">
        <v>16</v>
      </c>
      <c r="G7" s="24" t="s">
        <v>17</v>
      </c>
      <c r="H7" s="22">
        <f>IFERROR(__xludf.DUMMYFUNCTION("IF(I7="""","""",COUNTUNIQUE($I$6:I7))"),2.0)</f>
        <v>2</v>
      </c>
      <c r="I7" s="28" t="s">
        <v>23</v>
      </c>
      <c r="J7" s="25" t="str">
        <f t="shared" si="2"/>
        <v>WQSS2</v>
      </c>
      <c r="K7" s="26" t="s">
        <v>19</v>
      </c>
      <c r="L7" s="26" t="s">
        <v>20</v>
      </c>
      <c r="M7" s="26" t="s">
        <v>21</v>
      </c>
      <c r="N7" s="27" t="s">
        <v>22</v>
      </c>
    </row>
    <row r="8">
      <c r="A8" s="21">
        <f t="shared" si="1"/>
        <v>3</v>
      </c>
      <c r="B8" s="22" t="str">
        <f>IFERROR(__xludf.DUMMYFUNCTION("IF(C8="""","""",ROMAN(COUNTUNIQUE($C$6:C8)))"),"I")</f>
        <v>I</v>
      </c>
      <c r="C8" s="23" t="s">
        <v>14</v>
      </c>
      <c r="D8" s="24" t="s">
        <v>15</v>
      </c>
      <c r="E8" s="22" t="str">
        <f>IFERROR(__xludf.DUMMYFUNCTION("IF(F8="""","""",LEFT(ADDRESS(1,COUNTUNIQUE($F$6:F8),4)))"),"A")</f>
        <v>A</v>
      </c>
      <c r="F8" s="23" t="s">
        <v>16</v>
      </c>
      <c r="G8" s="24" t="s">
        <v>17</v>
      </c>
      <c r="H8" s="22">
        <f>IFERROR(__xludf.DUMMYFUNCTION("IF(I8="""","""",COUNTUNIQUE($I$6:I8))"),3.0)</f>
        <v>3</v>
      </c>
      <c r="I8" s="29" t="s">
        <v>24</v>
      </c>
      <c r="J8" s="25" t="str">
        <f t="shared" si="2"/>
        <v>WQSS3</v>
      </c>
      <c r="K8" s="26" t="s">
        <v>19</v>
      </c>
      <c r="L8" s="26" t="s">
        <v>20</v>
      </c>
      <c r="M8" s="26" t="s">
        <v>21</v>
      </c>
      <c r="N8" s="27" t="s">
        <v>22</v>
      </c>
    </row>
    <row r="9">
      <c r="A9" s="21">
        <f t="shared" si="1"/>
        <v>4</v>
      </c>
      <c r="B9" s="22" t="str">
        <f>IFERROR(__xludf.DUMMYFUNCTION("IF(C9="""","""",ROMAN(COUNTUNIQUE($C$6:C9)))"),"I")</f>
        <v>I</v>
      </c>
      <c r="C9" s="23" t="s">
        <v>14</v>
      </c>
      <c r="D9" s="24" t="s">
        <v>15</v>
      </c>
      <c r="E9" s="22" t="str">
        <f>IFERROR(__xludf.DUMMYFUNCTION("IF(F9="""","""",LEFT(ADDRESS(1,COUNTUNIQUE($F$6:F9),4)))"),"A")</f>
        <v>A</v>
      </c>
      <c r="F9" s="23" t="s">
        <v>16</v>
      </c>
      <c r="G9" s="24" t="s">
        <v>17</v>
      </c>
      <c r="H9" s="22">
        <f>IFERROR(__xludf.DUMMYFUNCTION("IF(I9="""","""",COUNTUNIQUE($I$6:I9))"),4.0)</f>
        <v>4</v>
      </c>
      <c r="I9" s="30" t="s">
        <v>25</v>
      </c>
      <c r="J9" s="25" t="str">
        <f t="shared" si="2"/>
        <v>WQSS4</v>
      </c>
      <c r="K9" s="26" t="s">
        <v>19</v>
      </c>
      <c r="L9" s="26" t="s">
        <v>20</v>
      </c>
      <c r="M9" s="26" t="s">
        <v>21</v>
      </c>
      <c r="N9" s="27" t="s">
        <v>22</v>
      </c>
    </row>
    <row r="10">
      <c r="A10" s="21">
        <f t="shared" si="1"/>
        <v>5</v>
      </c>
      <c r="B10" s="22" t="str">
        <f>IFERROR(__xludf.DUMMYFUNCTION("IF(C10="""","""",ROMAN(COUNTUNIQUE($C$6:C10)))"),"I")</f>
        <v>I</v>
      </c>
      <c r="C10" s="23" t="s">
        <v>14</v>
      </c>
      <c r="D10" s="24" t="s">
        <v>15</v>
      </c>
      <c r="E10" s="22" t="str">
        <f>IFERROR(__xludf.DUMMYFUNCTION("IF(F10="""","""",LEFT(ADDRESS(1,COUNTUNIQUE($F$6:F10),4)))"),"A")</f>
        <v>A</v>
      </c>
      <c r="F10" s="23" t="s">
        <v>16</v>
      </c>
      <c r="G10" s="24" t="s">
        <v>17</v>
      </c>
      <c r="H10" s="22">
        <f>IFERROR(__xludf.DUMMYFUNCTION("IF(I10="""","""",COUNTUNIQUE($I$6:I10))"),5.0)</f>
        <v>5</v>
      </c>
      <c r="I10" s="30" t="s">
        <v>26</v>
      </c>
      <c r="J10" s="25" t="str">
        <f t="shared" si="2"/>
        <v>WQSS5</v>
      </c>
      <c r="K10" s="26" t="s">
        <v>19</v>
      </c>
      <c r="L10" s="26" t="s">
        <v>20</v>
      </c>
      <c r="M10" s="26" t="s">
        <v>21</v>
      </c>
      <c r="N10" s="27" t="s">
        <v>22</v>
      </c>
    </row>
    <row r="11">
      <c r="A11" s="21">
        <f t="shared" si="1"/>
        <v>6</v>
      </c>
      <c r="B11" s="22" t="str">
        <f>IFERROR(__xludf.DUMMYFUNCTION("IF(C11="""","""",ROMAN(COUNTUNIQUE($C$6:C11)))"),"I")</f>
        <v>I</v>
      </c>
      <c r="C11" s="23" t="s">
        <v>14</v>
      </c>
      <c r="D11" s="24" t="s">
        <v>15</v>
      </c>
      <c r="E11" s="22" t="str">
        <f>IFERROR(__xludf.DUMMYFUNCTION("IF(F11="""","""",LEFT(ADDRESS(1,COUNTUNIQUE($F$6:F11),4)))"),"A")</f>
        <v>A</v>
      </c>
      <c r="F11" s="23" t="s">
        <v>16</v>
      </c>
      <c r="G11" s="24" t="s">
        <v>17</v>
      </c>
      <c r="H11" s="22">
        <f>IFERROR(__xludf.DUMMYFUNCTION("IF(I11="""","""",COUNTUNIQUE($I$6:I11))"),6.0)</f>
        <v>6</v>
      </c>
      <c r="I11" s="30" t="s">
        <v>27</v>
      </c>
      <c r="J11" s="25" t="str">
        <f t="shared" si="2"/>
        <v>WQSS6</v>
      </c>
      <c r="K11" s="26" t="s">
        <v>19</v>
      </c>
      <c r="L11" s="26" t="s">
        <v>20</v>
      </c>
      <c r="M11" s="26" t="s">
        <v>21</v>
      </c>
      <c r="N11" s="27" t="s">
        <v>22</v>
      </c>
    </row>
    <row r="12">
      <c r="A12" s="21">
        <f t="shared" si="1"/>
        <v>7</v>
      </c>
      <c r="B12" s="22" t="str">
        <f>IFERROR(__xludf.DUMMYFUNCTION("IF(C12="""","""",ROMAN(COUNTUNIQUE($C$6:C12)))"),"I")</f>
        <v>I</v>
      </c>
      <c r="C12" s="23" t="s">
        <v>14</v>
      </c>
      <c r="D12" s="24" t="s">
        <v>15</v>
      </c>
      <c r="E12" s="22" t="str">
        <f>IFERROR(__xludf.DUMMYFUNCTION("IF(F12="""","""",LEFT(ADDRESS(1,COUNTUNIQUE($F$6:F12),4)))"),"A")</f>
        <v>A</v>
      </c>
      <c r="F12" s="23" t="s">
        <v>16</v>
      </c>
      <c r="G12" s="24" t="s">
        <v>17</v>
      </c>
      <c r="H12" s="22">
        <f>IFERROR(__xludf.DUMMYFUNCTION("IF(I12="""","""",COUNTUNIQUE($I$6:I12))"),7.0)</f>
        <v>7</v>
      </c>
      <c r="I12" s="30" t="s">
        <v>28</v>
      </c>
      <c r="J12" s="25" t="str">
        <f t="shared" si="2"/>
        <v>WQSS7</v>
      </c>
      <c r="K12" s="26" t="s">
        <v>19</v>
      </c>
      <c r="L12" s="26" t="s">
        <v>20</v>
      </c>
      <c r="M12" s="26" t="s">
        <v>21</v>
      </c>
      <c r="N12" s="27" t="s">
        <v>22</v>
      </c>
    </row>
    <row r="13">
      <c r="A13" s="21">
        <f t="shared" si="1"/>
        <v>8</v>
      </c>
      <c r="B13" s="22" t="str">
        <f>IFERROR(__xludf.DUMMYFUNCTION("IF(C13="""","""",ROMAN(COUNTUNIQUE($C$6:C13)))"),"I")</f>
        <v>I</v>
      </c>
      <c r="C13" s="23" t="s">
        <v>14</v>
      </c>
      <c r="D13" s="24" t="s">
        <v>15</v>
      </c>
      <c r="E13" s="22" t="str">
        <f>IFERROR(__xludf.DUMMYFUNCTION("IF(F13="""","""",LEFT(ADDRESS(1,COUNTUNIQUE($F$6:F13),4)))"),"A")</f>
        <v>A</v>
      </c>
      <c r="F13" s="23" t="s">
        <v>16</v>
      </c>
      <c r="G13" s="24" t="s">
        <v>17</v>
      </c>
      <c r="H13" s="22">
        <f>IFERROR(__xludf.DUMMYFUNCTION("IF(I13="""","""",COUNTUNIQUE($I$6:I13))"),8.0)</f>
        <v>8</v>
      </c>
      <c r="I13" s="28" t="s">
        <v>29</v>
      </c>
      <c r="J13" s="25" t="str">
        <f t="shared" si="2"/>
        <v>WQSS8</v>
      </c>
      <c r="K13" s="26" t="s">
        <v>19</v>
      </c>
      <c r="L13" s="26" t="s">
        <v>20</v>
      </c>
      <c r="M13" s="26" t="s">
        <v>21</v>
      </c>
      <c r="N13" s="27" t="s">
        <v>22</v>
      </c>
    </row>
    <row r="14">
      <c r="A14" s="21">
        <f t="shared" si="1"/>
        <v>9</v>
      </c>
      <c r="B14" s="22" t="str">
        <f>IFERROR(__xludf.DUMMYFUNCTION("IF(C14="""","""",ROMAN(COUNTUNIQUE($C$6:C14)))"),"I")</f>
        <v>I</v>
      </c>
      <c r="C14" s="23" t="s">
        <v>14</v>
      </c>
      <c r="D14" s="24" t="s">
        <v>15</v>
      </c>
      <c r="E14" s="22" t="str">
        <f>IFERROR(__xludf.DUMMYFUNCTION("IF(F14="""","""",LEFT(ADDRESS(1,COUNTUNIQUE($F$6:F14),4)))"),"A")</f>
        <v>A</v>
      </c>
      <c r="F14" s="23" t="s">
        <v>16</v>
      </c>
      <c r="G14" s="24" t="s">
        <v>17</v>
      </c>
      <c r="H14" s="22">
        <f>IFERROR(__xludf.DUMMYFUNCTION("IF(I14="""","""",COUNTUNIQUE($I$6:I14))"),9.0)</f>
        <v>9</v>
      </c>
      <c r="I14" s="28" t="s">
        <v>30</v>
      </c>
      <c r="J14" s="25" t="str">
        <f t="shared" si="2"/>
        <v>WQSS9</v>
      </c>
      <c r="K14" s="26" t="s">
        <v>19</v>
      </c>
      <c r="L14" s="26" t="s">
        <v>20</v>
      </c>
      <c r="M14" s="26" t="s">
        <v>21</v>
      </c>
      <c r="N14" s="27" t="s">
        <v>22</v>
      </c>
    </row>
    <row r="15">
      <c r="A15" s="21">
        <f t="shared" si="1"/>
        <v>10</v>
      </c>
      <c r="B15" s="22" t="str">
        <f>IFERROR(__xludf.DUMMYFUNCTION("IF(C15="""","""",ROMAN(COUNTUNIQUE($C$6:C15)))"),"I")</f>
        <v>I</v>
      </c>
      <c r="C15" s="23" t="s">
        <v>14</v>
      </c>
      <c r="D15" s="24" t="s">
        <v>15</v>
      </c>
      <c r="E15" s="22" t="str">
        <f>IFERROR(__xludf.DUMMYFUNCTION("IF(F15="""","""",LEFT(ADDRESS(1,COUNTUNIQUE($F$6:F15),4)))"),"A")</f>
        <v>A</v>
      </c>
      <c r="F15" s="23" t="s">
        <v>16</v>
      </c>
      <c r="G15" s="24" t="s">
        <v>17</v>
      </c>
      <c r="H15" s="22">
        <f>IFERROR(__xludf.DUMMYFUNCTION("IF(I15="""","""",COUNTUNIQUE($I$6:I15))"),10.0)</f>
        <v>10</v>
      </c>
      <c r="I15" s="30" t="s">
        <v>31</v>
      </c>
      <c r="J15" s="25" t="str">
        <f t="shared" si="2"/>
        <v>WQSS10</v>
      </c>
      <c r="K15" s="26" t="s">
        <v>19</v>
      </c>
      <c r="L15" s="26" t="s">
        <v>20</v>
      </c>
      <c r="M15" s="26" t="s">
        <v>21</v>
      </c>
      <c r="N15" s="27" t="s">
        <v>22</v>
      </c>
    </row>
    <row r="16">
      <c r="A16" s="21">
        <f t="shared" si="1"/>
        <v>11</v>
      </c>
      <c r="B16" s="22" t="str">
        <f>IFERROR(__xludf.DUMMYFUNCTION("IF(C16="""","""",ROMAN(COUNTUNIQUE($C$6:C16)))"),"I")</f>
        <v>I</v>
      </c>
      <c r="C16" s="23" t="s">
        <v>14</v>
      </c>
      <c r="D16" s="24" t="s">
        <v>15</v>
      </c>
      <c r="E16" s="22" t="str">
        <f>IFERROR(__xludf.DUMMYFUNCTION("IF(F16="""","""",LEFT(ADDRESS(1,COUNTUNIQUE($F$6:F16),4)))"),"A")</f>
        <v>A</v>
      </c>
      <c r="F16" s="23" t="s">
        <v>16</v>
      </c>
      <c r="G16" s="24" t="s">
        <v>17</v>
      </c>
      <c r="H16" s="22">
        <f>IFERROR(__xludf.DUMMYFUNCTION("IF(I16="""","""",COUNTUNIQUE($I$6:I16))"),11.0)</f>
        <v>11</v>
      </c>
      <c r="I16" s="30" t="s">
        <v>32</v>
      </c>
      <c r="J16" s="25" t="str">
        <f t="shared" si="2"/>
        <v>WQSS11</v>
      </c>
      <c r="K16" s="26" t="s">
        <v>19</v>
      </c>
      <c r="L16" s="26" t="s">
        <v>20</v>
      </c>
      <c r="M16" s="26" t="s">
        <v>21</v>
      </c>
      <c r="N16" s="27" t="s">
        <v>22</v>
      </c>
    </row>
    <row r="17">
      <c r="A17" s="21">
        <f t="shared" si="1"/>
        <v>12</v>
      </c>
      <c r="B17" s="22" t="str">
        <f>IFERROR(__xludf.DUMMYFUNCTION("IF(C17="""","""",ROMAN(COUNTUNIQUE($C$6:C17)))"),"I")</f>
        <v>I</v>
      </c>
      <c r="C17" s="23" t="s">
        <v>14</v>
      </c>
      <c r="D17" s="24" t="s">
        <v>15</v>
      </c>
      <c r="E17" s="22" t="str">
        <f>IFERROR(__xludf.DUMMYFUNCTION("IF(F17="""","""",LEFT(ADDRESS(1,COUNTUNIQUE($F$6:F17),4)))"),"A")</f>
        <v>A</v>
      </c>
      <c r="F17" s="23" t="s">
        <v>16</v>
      </c>
      <c r="G17" s="24" t="s">
        <v>17</v>
      </c>
      <c r="H17" s="22">
        <f>IFERROR(__xludf.DUMMYFUNCTION("IF(I17="""","""",COUNTUNIQUE($I$6:I17))"),12.0)</f>
        <v>12</v>
      </c>
      <c r="I17" s="30" t="s">
        <v>33</v>
      </c>
      <c r="J17" s="25" t="str">
        <f t="shared" si="2"/>
        <v>WQSS12</v>
      </c>
      <c r="K17" s="26" t="s">
        <v>19</v>
      </c>
      <c r="L17" s="26" t="s">
        <v>20</v>
      </c>
      <c r="M17" s="26" t="s">
        <v>21</v>
      </c>
      <c r="N17" s="27" t="s">
        <v>22</v>
      </c>
    </row>
    <row r="18">
      <c r="A18" s="21">
        <f t="shared" si="1"/>
        <v>13</v>
      </c>
      <c r="B18" s="22" t="str">
        <f>IFERROR(__xludf.DUMMYFUNCTION("IF(C18="""","""",ROMAN(COUNTUNIQUE($C$6:C18)))"),"I")</f>
        <v>I</v>
      </c>
      <c r="C18" s="23" t="s">
        <v>14</v>
      </c>
      <c r="D18" s="24" t="s">
        <v>15</v>
      </c>
      <c r="E18" s="22" t="str">
        <f>IFERROR(__xludf.DUMMYFUNCTION("IF(F18="""","""",LEFT(ADDRESS(1,COUNTUNIQUE($F$6:F18),4)))"),"A")</f>
        <v>A</v>
      </c>
      <c r="F18" s="23" t="s">
        <v>16</v>
      </c>
      <c r="G18" s="24" t="s">
        <v>17</v>
      </c>
      <c r="H18" s="22">
        <f>IFERROR(__xludf.DUMMYFUNCTION("IF(I18="""","""",COUNTUNIQUE($I$6:I18))"),13.0)</f>
        <v>13</v>
      </c>
      <c r="I18" s="23" t="s">
        <v>34</v>
      </c>
      <c r="J18" s="25" t="str">
        <f t="shared" si="2"/>
        <v>WQSS13</v>
      </c>
      <c r="K18" s="26" t="s">
        <v>19</v>
      </c>
      <c r="L18" s="26" t="s">
        <v>20</v>
      </c>
      <c r="M18" s="26" t="s">
        <v>21</v>
      </c>
      <c r="N18" s="27" t="s">
        <v>22</v>
      </c>
    </row>
    <row r="19">
      <c r="A19" s="21">
        <f t="shared" si="1"/>
        <v>14</v>
      </c>
      <c r="B19" s="22" t="str">
        <f>IFERROR(__xludf.DUMMYFUNCTION("IF(C19="""","""",ROMAN(COUNTUNIQUE($C$6:C19)))"),"I")</f>
        <v>I</v>
      </c>
      <c r="C19" s="23" t="s">
        <v>14</v>
      </c>
      <c r="D19" s="24" t="s">
        <v>15</v>
      </c>
      <c r="E19" s="22" t="str">
        <f>IFERROR(__xludf.DUMMYFUNCTION("IF(F19="""","""",LEFT(ADDRESS(1,COUNTUNIQUE($F$6:F19),4)))"),"A")</f>
        <v>A</v>
      </c>
      <c r="F19" s="23" t="s">
        <v>16</v>
      </c>
      <c r="G19" s="24" t="s">
        <v>17</v>
      </c>
      <c r="H19" s="22">
        <f>IFERROR(__xludf.DUMMYFUNCTION("IF(I19="""","""",COUNTUNIQUE($I$6:I19))"),14.0)</f>
        <v>14</v>
      </c>
      <c r="I19" s="23" t="s">
        <v>35</v>
      </c>
      <c r="J19" s="25" t="str">
        <f t="shared" si="2"/>
        <v>WQSS14</v>
      </c>
      <c r="K19" s="26" t="s">
        <v>19</v>
      </c>
      <c r="L19" s="26" t="s">
        <v>20</v>
      </c>
      <c r="M19" s="26" t="s">
        <v>21</v>
      </c>
      <c r="N19" s="27" t="s">
        <v>22</v>
      </c>
    </row>
    <row r="20">
      <c r="A20" s="21">
        <f t="shared" si="1"/>
        <v>15</v>
      </c>
      <c r="B20" s="22" t="str">
        <f>IFERROR(__xludf.DUMMYFUNCTION("IF(C20="""","""",ROMAN(COUNTUNIQUE($C$6:C20)))"),"I")</f>
        <v>I</v>
      </c>
      <c r="C20" s="23" t="s">
        <v>14</v>
      </c>
      <c r="D20" s="24" t="s">
        <v>15</v>
      </c>
      <c r="E20" s="22" t="str">
        <f>IFERROR(__xludf.DUMMYFUNCTION("IF(F20="""","""",LEFT(ADDRESS(1,COUNTUNIQUE($F$6:F20),4)))"),"A")</f>
        <v>A</v>
      </c>
      <c r="F20" s="23" t="s">
        <v>16</v>
      </c>
      <c r="G20" s="24" t="s">
        <v>17</v>
      </c>
      <c r="H20" s="22">
        <f>IFERROR(__xludf.DUMMYFUNCTION("IF(I20="""","""",COUNTUNIQUE($I$6:I20))"),15.0)</f>
        <v>15</v>
      </c>
      <c r="I20" s="23" t="s">
        <v>4</v>
      </c>
      <c r="J20" s="25" t="str">
        <f t="shared" si="2"/>
        <v>WQSS15</v>
      </c>
      <c r="K20" s="26" t="s">
        <v>19</v>
      </c>
      <c r="L20" s="26" t="s">
        <v>20</v>
      </c>
      <c r="M20" s="26" t="s">
        <v>21</v>
      </c>
      <c r="N20" s="27" t="s">
        <v>22</v>
      </c>
    </row>
    <row r="21">
      <c r="A21" s="21">
        <f t="shared" si="1"/>
        <v>16</v>
      </c>
      <c r="B21" s="22" t="str">
        <f>IFERROR(__xludf.DUMMYFUNCTION("IF(C21="""","""",ROMAN(COUNTUNIQUE($C$6:C21)))"),"I")</f>
        <v>I</v>
      </c>
      <c r="C21" s="23" t="s">
        <v>14</v>
      </c>
      <c r="D21" s="24" t="s">
        <v>15</v>
      </c>
      <c r="E21" s="22" t="str">
        <f>IFERROR(__xludf.DUMMYFUNCTION("IF(F21="""","""",LEFT(ADDRESS(1,COUNTUNIQUE($F$6:F21),4)))"),"A")</f>
        <v>A</v>
      </c>
      <c r="F21" s="23" t="s">
        <v>16</v>
      </c>
      <c r="G21" s="24" t="s">
        <v>17</v>
      </c>
      <c r="H21" s="22">
        <f>IFERROR(__xludf.DUMMYFUNCTION("IF(I21="""","""",COUNTUNIQUE($I$6:I21))"),16.0)</f>
        <v>16</v>
      </c>
      <c r="I21" s="23" t="s">
        <v>36</v>
      </c>
      <c r="J21" s="25" t="str">
        <f t="shared" si="2"/>
        <v>WQSS16</v>
      </c>
      <c r="K21" s="26" t="s">
        <v>19</v>
      </c>
      <c r="L21" s="26" t="s">
        <v>20</v>
      </c>
      <c r="M21" s="26" t="s">
        <v>21</v>
      </c>
      <c r="N21" s="27" t="s">
        <v>22</v>
      </c>
    </row>
    <row r="22">
      <c r="A22" s="21">
        <f t="shared" si="1"/>
        <v>17</v>
      </c>
      <c r="B22" s="22" t="str">
        <f>IFERROR(__xludf.DUMMYFUNCTION("IF(C22="""","""",ROMAN(COUNTUNIQUE($C$6:C22)))"),"I")</f>
        <v>I</v>
      </c>
      <c r="C22" s="23" t="s">
        <v>14</v>
      </c>
      <c r="D22" s="24" t="s">
        <v>15</v>
      </c>
      <c r="E22" s="22" t="str">
        <f>IFERROR(__xludf.DUMMYFUNCTION("IF(F22="""","""",LEFT(ADDRESS(1,COUNTUNIQUE($F$6:F22),4)))"),"A")</f>
        <v>A</v>
      </c>
      <c r="F22" s="23" t="s">
        <v>16</v>
      </c>
      <c r="G22" s="24" t="s">
        <v>17</v>
      </c>
      <c r="H22" s="22">
        <f>IFERROR(__xludf.DUMMYFUNCTION("IF(I22="""","""",COUNTUNIQUE($I$6:I22))"),17.0)</f>
        <v>17</v>
      </c>
      <c r="I22" s="28" t="s">
        <v>37</v>
      </c>
      <c r="J22" s="25" t="str">
        <f t="shared" si="2"/>
        <v>WQSS17</v>
      </c>
      <c r="K22" s="26"/>
      <c r="L22" s="26"/>
      <c r="M22" s="26"/>
      <c r="N22" s="27"/>
    </row>
    <row r="23">
      <c r="A23" s="21">
        <f t="shared" si="1"/>
        <v>18</v>
      </c>
      <c r="B23" s="22" t="str">
        <f>IFERROR(__xludf.DUMMYFUNCTION("IF(C23="""","""",ROMAN(COUNTUNIQUE($C$6:C23)))"),"I")</f>
        <v>I</v>
      </c>
      <c r="C23" s="23" t="s">
        <v>14</v>
      </c>
      <c r="D23" s="24" t="s">
        <v>15</v>
      </c>
      <c r="E23" s="22" t="str">
        <f>IFERROR(__xludf.DUMMYFUNCTION("IF(F23="""","""",LEFT(ADDRESS(1,COUNTUNIQUE($F$6:F23),4)))"),"A")</f>
        <v>A</v>
      </c>
      <c r="F23" s="23" t="s">
        <v>16</v>
      </c>
      <c r="G23" s="24" t="s">
        <v>17</v>
      </c>
      <c r="H23" s="22">
        <f>IFERROR(__xludf.DUMMYFUNCTION("IF(I23="""","""",COUNTUNIQUE($I$6:I23))"),18.0)</f>
        <v>18</v>
      </c>
      <c r="I23" s="28" t="s">
        <v>38</v>
      </c>
      <c r="J23" s="25" t="str">
        <f t="shared" si="2"/>
        <v>WQSS18</v>
      </c>
      <c r="K23" s="26"/>
      <c r="L23" s="26"/>
      <c r="M23" s="26"/>
      <c r="N23" s="27"/>
    </row>
    <row r="24">
      <c r="A24" s="21">
        <f t="shared" si="1"/>
        <v>19</v>
      </c>
      <c r="B24" s="22" t="str">
        <f>IFERROR(__xludf.DUMMYFUNCTION("IF(C24="""","""",ROMAN(COUNTUNIQUE($C$6:C24)))"),"I")</f>
        <v>I</v>
      </c>
      <c r="C24" s="23" t="s">
        <v>14</v>
      </c>
      <c r="D24" s="24" t="s">
        <v>15</v>
      </c>
      <c r="E24" s="22" t="str">
        <f>IFERROR(__xludf.DUMMYFUNCTION("IF(F24="""","""",LEFT(ADDRESS(1,COUNTUNIQUE($F$6:F24),4)))"),"A")</f>
        <v>A</v>
      </c>
      <c r="F24" s="23" t="s">
        <v>16</v>
      </c>
      <c r="G24" s="24" t="s">
        <v>17</v>
      </c>
      <c r="H24" s="22">
        <f>IFERROR(__xludf.DUMMYFUNCTION("IF(I24="""","""",COUNTUNIQUE($I$6:I24))"),19.0)</f>
        <v>19</v>
      </c>
      <c r="I24" s="28" t="s">
        <v>39</v>
      </c>
      <c r="J24" s="25" t="str">
        <f t="shared" si="2"/>
        <v>WQSS19</v>
      </c>
      <c r="K24" s="26"/>
      <c r="L24" s="26"/>
      <c r="M24" s="26"/>
      <c r="N24" s="27"/>
    </row>
    <row r="25">
      <c r="A25" s="21" t="str">
        <f t="shared" si="1"/>
        <v/>
      </c>
      <c r="B25" s="22" t="str">
        <f>IFERROR(__xludf.DUMMYFUNCTION("IF(C25="""","""",ROMAN(COUNTUNIQUE($C$6:C25)))"),"")</f>
        <v/>
      </c>
      <c r="C25" s="31"/>
      <c r="D25" s="32"/>
      <c r="E25" s="22" t="str">
        <f>IFERROR(__xludf.DUMMYFUNCTION("IF(F25="""","""",LEFT(ADDRESS(1,COUNTUNIQUE($F$6:F25),4)))"),"")</f>
        <v/>
      </c>
      <c r="F25" s="31"/>
      <c r="G25" s="32"/>
      <c r="H25" s="22" t="str">
        <f>IFERROR(__xludf.DUMMYFUNCTION("IF(I25="""","""",COUNTUNIQUE($I$6:I25))"),"")</f>
        <v/>
      </c>
      <c r="I25" s="31"/>
      <c r="J25" s="25" t="str">
        <f t="shared" si="2"/>
        <v/>
      </c>
      <c r="K25" s="26"/>
      <c r="L25" s="26"/>
      <c r="M25" s="26"/>
      <c r="N25" s="27"/>
    </row>
    <row r="26">
      <c r="A26" s="21" t="str">
        <f t="shared" si="1"/>
        <v/>
      </c>
      <c r="B26" s="22" t="str">
        <f>IFERROR(__xludf.DUMMYFUNCTION("IF(C26="""","""",ROMAN(COUNTUNIQUE($C$6:C26)))"),"")</f>
        <v/>
      </c>
      <c r="C26" s="31"/>
      <c r="D26" s="32"/>
      <c r="E26" s="22" t="str">
        <f>IFERROR(__xludf.DUMMYFUNCTION("IF(F26="""","""",LEFT(ADDRESS(1,COUNTUNIQUE($F$6:F26),4)))"),"")</f>
        <v/>
      </c>
      <c r="F26" s="31"/>
      <c r="G26" s="32"/>
      <c r="H26" s="22" t="str">
        <f>IFERROR(__xludf.DUMMYFUNCTION("IF(I26="""","""",COUNTUNIQUE($I$6:I26))"),"")</f>
        <v/>
      </c>
      <c r="I26" s="31"/>
      <c r="J26" s="25" t="str">
        <f t="shared" si="2"/>
        <v/>
      </c>
      <c r="K26" s="26"/>
      <c r="L26" s="26"/>
      <c r="M26" s="26"/>
      <c r="N26" s="27"/>
    </row>
    <row r="27">
      <c r="A27" s="21" t="str">
        <f t="shared" si="1"/>
        <v/>
      </c>
      <c r="B27" s="22" t="str">
        <f>IFERROR(__xludf.DUMMYFUNCTION("IF(C27="""","""",ROMAN(COUNTUNIQUE($C$6:C27)))"),"")</f>
        <v/>
      </c>
      <c r="C27" s="31"/>
      <c r="D27" s="32"/>
      <c r="E27" s="22" t="str">
        <f>IFERROR(__xludf.DUMMYFUNCTION("IF(F27="""","""",LEFT(ADDRESS(1,COUNTUNIQUE($F$6:F27),4)))"),"")</f>
        <v/>
      </c>
      <c r="F27" s="31"/>
      <c r="G27" s="32"/>
      <c r="H27" s="22" t="str">
        <f>IFERROR(__xludf.DUMMYFUNCTION("IF(I27="""","""",COUNTUNIQUE($I$6:I27))"),"")</f>
        <v/>
      </c>
      <c r="I27" s="31"/>
      <c r="J27" s="25" t="str">
        <f t="shared" si="2"/>
        <v/>
      </c>
      <c r="K27" s="26"/>
      <c r="L27" s="26"/>
      <c r="M27" s="26"/>
      <c r="N27" s="27"/>
    </row>
    <row r="28">
      <c r="A28" s="21" t="str">
        <f t="shared" si="1"/>
        <v/>
      </c>
      <c r="B28" s="22" t="str">
        <f>IFERROR(__xludf.DUMMYFUNCTION("IF(C28="""","""",ROMAN(COUNTUNIQUE($C$6:C28)))"),"")</f>
        <v/>
      </c>
      <c r="C28" s="31"/>
      <c r="D28" s="32"/>
      <c r="E28" s="22" t="str">
        <f>IFERROR(__xludf.DUMMYFUNCTION("IF(F28="""","""",LEFT(ADDRESS(1,COUNTUNIQUE($F$6:F28),4)))"),"")</f>
        <v/>
      </c>
      <c r="F28" s="31"/>
      <c r="G28" s="32"/>
      <c r="H28" s="22" t="str">
        <f>IFERROR(__xludf.DUMMYFUNCTION("IF(I28="""","""",COUNTUNIQUE($I$6:I28))"),"")</f>
        <v/>
      </c>
      <c r="I28" s="31"/>
      <c r="J28" s="25" t="str">
        <f t="shared" si="2"/>
        <v/>
      </c>
      <c r="K28" s="26"/>
      <c r="L28" s="26"/>
      <c r="M28" s="26"/>
      <c r="N28" s="27"/>
    </row>
    <row r="29">
      <c r="A29" s="21" t="str">
        <f t="shared" si="1"/>
        <v/>
      </c>
      <c r="B29" s="22" t="str">
        <f>IFERROR(__xludf.DUMMYFUNCTION("IF(C29="""","""",ROMAN(COUNTUNIQUE($C$6:C29)))"),"")</f>
        <v/>
      </c>
      <c r="C29" s="31"/>
      <c r="D29" s="32"/>
      <c r="E29" s="22" t="str">
        <f>IFERROR(__xludf.DUMMYFUNCTION("IF(F29="""","""",LEFT(ADDRESS(1,COUNTUNIQUE($F$6:F29),4)))"),"")</f>
        <v/>
      </c>
      <c r="F29" s="31"/>
      <c r="G29" s="32"/>
      <c r="H29" s="22" t="str">
        <f>IFERROR(__xludf.DUMMYFUNCTION("IF(I29="""","""",COUNTUNIQUE($I$6:I29))"),"")</f>
        <v/>
      </c>
      <c r="I29" s="31"/>
      <c r="J29" s="25" t="str">
        <f t="shared" si="2"/>
        <v/>
      </c>
      <c r="K29" s="26"/>
      <c r="L29" s="26"/>
      <c r="M29" s="26"/>
      <c r="N29" s="27"/>
    </row>
    <row r="30">
      <c r="A30" s="21" t="str">
        <f t="shared" si="1"/>
        <v/>
      </c>
      <c r="B30" s="22" t="str">
        <f>IFERROR(__xludf.DUMMYFUNCTION("IF(C30="""","""",ROMAN(COUNTUNIQUE($C$6:C30)))"),"")</f>
        <v/>
      </c>
      <c r="C30" s="31"/>
      <c r="D30" s="32"/>
      <c r="E30" s="22" t="str">
        <f>IFERROR(__xludf.DUMMYFUNCTION("IF(F30="""","""",LEFT(ADDRESS(1,COUNTUNIQUE($F$6:F30),4)))"),"")</f>
        <v/>
      </c>
      <c r="F30" s="31"/>
      <c r="G30" s="32"/>
      <c r="H30" s="22" t="str">
        <f>IFERROR(__xludf.DUMMYFUNCTION("IF(I30="""","""",COUNTUNIQUE($I$6:I30))"),"")</f>
        <v/>
      </c>
      <c r="I30" s="31"/>
      <c r="J30" s="25" t="str">
        <f t="shared" si="2"/>
        <v/>
      </c>
      <c r="K30" s="26"/>
      <c r="L30" s="26"/>
      <c r="M30" s="26"/>
      <c r="N30" s="27"/>
    </row>
    <row r="31">
      <c r="A31" s="21" t="str">
        <f t="shared" si="1"/>
        <v/>
      </c>
      <c r="B31" s="22" t="str">
        <f>IFERROR(__xludf.DUMMYFUNCTION("IF(C31="""","""",ROMAN(COUNTUNIQUE($C$6:C31)))"),"")</f>
        <v/>
      </c>
      <c r="C31" s="31"/>
      <c r="D31" s="32"/>
      <c r="E31" s="22" t="str">
        <f>IFERROR(__xludf.DUMMYFUNCTION("IF(F31="""","""",LEFT(ADDRESS(1,COUNTUNIQUE($F$6:F31),4)))"),"")</f>
        <v/>
      </c>
      <c r="F31" s="31"/>
      <c r="G31" s="32"/>
      <c r="H31" s="22" t="str">
        <f>IFERROR(__xludf.DUMMYFUNCTION("IF(I31="""","""",COUNTUNIQUE($I$6:I31))"),"")</f>
        <v/>
      </c>
      <c r="I31" s="31"/>
      <c r="J31" s="25" t="str">
        <f t="shared" si="2"/>
        <v/>
      </c>
      <c r="K31" s="26"/>
      <c r="L31" s="26"/>
      <c r="M31" s="26"/>
      <c r="N31" s="27"/>
    </row>
    <row r="32">
      <c r="A32" s="21" t="str">
        <f t="shared" si="1"/>
        <v/>
      </c>
      <c r="B32" s="22" t="str">
        <f>IFERROR(__xludf.DUMMYFUNCTION("IF(C32="""","""",ROMAN(COUNTUNIQUE($C$6:C32)))"),"")</f>
        <v/>
      </c>
      <c r="C32" s="31"/>
      <c r="D32" s="32"/>
      <c r="E32" s="22" t="str">
        <f>IFERROR(__xludf.DUMMYFUNCTION("IF(F32="""","""",LEFT(ADDRESS(1,COUNTUNIQUE($F$6:F32),4)))"),"")</f>
        <v/>
      </c>
      <c r="F32" s="31"/>
      <c r="G32" s="32"/>
      <c r="H32" s="22" t="str">
        <f>IFERROR(__xludf.DUMMYFUNCTION("IF(I32="""","""",COUNTUNIQUE($I$6:I32))"),"")</f>
        <v/>
      </c>
      <c r="I32" s="31"/>
      <c r="J32" s="25" t="str">
        <f t="shared" si="2"/>
        <v/>
      </c>
      <c r="K32" s="26"/>
      <c r="L32" s="26"/>
      <c r="M32" s="26"/>
      <c r="N32" s="27"/>
    </row>
    <row r="33">
      <c r="A33" s="21" t="str">
        <f t="shared" si="1"/>
        <v/>
      </c>
      <c r="B33" s="22" t="str">
        <f>IFERROR(__xludf.DUMMYFUNCTION("IF(C33="""","""",ROMAN(COUNTUNIQUE($C$6:C33)))"),"")</f>
        <v/>
      </c>
      <c r="C33" s="31"/>
      <c r="D33" s="32"/>
      <c r="E33" s="22" t="str">
        <f>IFERROR(__xludf.DUMMYFUNCTION("IF(F33="""","""",LEFT(ADDRESS(1,COUNTUNIQUE($F$6:F33),4)))"),"")</f>
        <v/>
      </c>
      <c r="F33" s="31"/>
      <c r="G33" s="32"/>
      <c r="H33" s="22" t="str">
        <f>IFERROR(__xludf.DUMMYFUNCTION("IF(I33="""","""",COUNTUNIQUE($I$6:I33))"),"")</f>
        <v/>
      </c>
      <c r="I33" s="31"/>
      <c r="J33" s="25" t="str">
        <f t="shared" si="2"/>
        <v/>
      </c>
      <c r="K33" s="26"/>
      <c r="L33" s="26"/>
      <c r="M33" s="26"/>
      <c r="N33" s="27"/>
    </row>
    <row r="34">
      <c r="A34" s="21" t="str">
        <f t="shared" si="1"/>
        <v/>
      </c>
      <c r="B34" s="22" t="str">
        <f>IFERROR(__xludf.DUMMYFUNCTION("IF(C34="""","""",ROMAN(COUNTUNIQUE($C$6:C34)))"),"")</f>
        <v/>
      </c>
      <c r="C34" s="31"/>
      <c r="D34" s="32"/>
      <c r="E34" s="22" t="str">
        <f>IFERROR(__xludf.DUMMYFUNCTION("IF(F34="""","""",LEFT(ADDRESS(1,COUNTUNIQUE($F$6:F34),4)))"),"")</f>
        <v/>
      </c>
      <c r="F34" s="31"/>
      <c r="G34" s="32"/>
      <c r="H34" s="22" t="str">
        <f>IFERROR(__xludf.DUMMYFUNCTION("IF(I34="""","""",COUNTUNIQUE($I$6:I34))"),"")</f>
        <v/>
      </c>
      <c r="I34" s="31"/>
      <c r="J34" s="25" t="str">
        <f t="shared" si="2"/>
        <v/>
      </c>
      <c r="K34" s="26"/>
      <c r="L34" s="26"/>
      <c r="M34" s="26"/>
      <c r="N34" s="27"/>
    </row>
    <row r="35">
      <c r="A35" s="21" t="str">
        <f t="shared" si="1"/>
        <v/>
      </c>
      <c r="B35" s="22" t="str">
        <f>IFERROR(__xludf.DUMMYFUNCTION("IF(C35="""","""",ROMAN(COUNTUNIQUE($C$6:C35)))"),"")</f>
        <v/>
      </c>
      <c r="C35" s="31"/>
      <c r="D35" s="32"/>
      <c r="E35" s="22" t="str">
        <f>IFERROR(__xludf.DUMMYFUNCTION("IF(F35="""","""",LEFT(ADDRESS(1,COUNTUNIQUE($F$6:F35),4)))"),"")</f>
        <v/>
      </c>
      <c r="F35" s="31"/>
      <c r="G35" s="32"/>
      <c r="H35" s="22" t="str">
        <f>IFERROR(__xludf.DUMMYFUNCTION("IF(I35="""","""",COUNTUNIQUE($I$6:I35))"),"")</f>
        <v/>
      </c>
      <c r="I35" s="31"/>
      <c r="J35" s="25" t="str">
        <f t="shared" si="2"/>
        <v/>
      </c>
      <c r="K35" s="26"/>
      <c r="L35" s="26"/>
      <c r="M35" s="26"/>
      <c r="N35" s="27"/>
    </row>
    <row r="36">
      <c r="A36" s="21" t="str">
        <f t="shared" si="1"/>
        <v/>
      </c>
      <c r="B36" s="22" t="str">
        <f>IFERROR(__xludf.DUMMYFUNCTION("IF(C36="""","""",ROMAN(COUNTUNIQUE($C$6:C36)))"),"")</f>
        <v/>
      </c>
      <c r="C36" s="31"/>
      <c r="D36" s="32"/>
      <c r="E36" s="22" t="str">
        <f>IFERROR(__xludf.DUMMYFUNCTION("IF(F36="""","""",LEFT(ADDRESS(1,COUNTUNIQUE($F$6:F36),4)))"),"")</f>
        <v/>
      </c>
      <c r="F36" s="31"/>
      <c r="G36" s="32"/>
      <c r="H36" s="22" t="str">
        <f>IFERROR(__xludf.DUMMYFUNCTION("IF(I36="""","""",COUNTUNIQUE($I$6:I36))"),"")</f>
        <v/>
      </c>
      <c r="I36" s="31"/>
      <c r="J36" s="25" t="str">
        <f t="shared" si="2"/>
        <v/>
      </c>
      <c r="K36" s="26"/>
      <c r="L36" s="26"/>
      <c r="M36" s="26"/>
      <c r="N36" s="27"/>
    </row>
    <row r="37">
      <c r="A37" s="21" t="str">
        <f t="shared" si="1"/>
        <v/>
      </c>
      <c r="B37" s="22" t="str">
        <f>IFERROR(__xludf.DUMMYFUNCTION("IF(C37="""","""",ROMAN(COUNTUNIQUE($C$6:C37)))"),"")</f>
        <v/>
      </c>
      <c r="C37" s="31"/>
      <c r="D37" s="32"/>
      <c r="E37" s="22" t="str">
        <f>IFERROR(__xludf.DUMMYFUNCTION("IF(F37="""","""",LEFT(ADDRESS(1,COUNTUNIQUE($F$6:F37),4)))"),"")</f>
        <v/>
      </c>
      <c r="F37" s="31"/>
      <c r="G37" s="32"/>
      <c r="H37" s="22" t="str">
        <f>IFERROR(__xludf.DUMMYFUNCTION("IF(I37="""","""",COUNTUNIQUE($I$6:I37))"),"")</f>
        <v/>
      </c>
      <c r="I37" s="31"/>
      <c r="J37" s="25" t="str">
        <f t="shared" si="2"/>
        <v/>
      </c>
      <c r="K37" s="26"/>
      <c r="L37" s="26"/>
      <c r="M37" s="26"/>
      <c r="N37" s="27"/>
    </row>
    <row r="38">
      <c r="A38" s="21" t="str">
        <f t="shared" si="1"/>
        <v/>
      </c>
      <c r="B38" s="22" t="str">
        <f>IFERROR(__xludf.DUMMYFUNCTION("IF(C38="""","""",ROMAN(COUNTUNIQUE($C$6:C38)))"),"")</f>
        <v/>
      </c>
      <c r="C38" s="31"/>
      <c r="D38" s="32"/>
      <c r="E38" s="22" t="str">
        <f>IFERROR(__xludf.DUMMYFUNCTION("IF(F38="""","""",LEFT(ADDRESS(1,COUNTUNIQUE($F$6:F38),4)))"),"")</f>
        <v/>
      </c>
      <c r="F38" s="31"/>
      <c r="G38" s="32"/>
      <c r="H38" s="22" t="str">
        <f>IFERROR(__xludf.DUMMYFUNCTION("IF(I38="""","""",COUNTUNIQUE($I$6:I38))"),"")</f>
        <v/>
      </c>
      <c r="I38" s="31"/>
      <c r="J38" s="25" t="str">
        <f t="shared" si="2"/>
        <v/>
      </c>
      <c r="K38" s="26"/>
      <c r="L38" s="26"/>
      <c r="M38" s="26"/>
      <c r="N38" s="27"/>
    </row>
    <row r="39">
      <c r="A39" s="21" t="str">
        <f t="shared" si="1"/>
        <v/>
      </c>
      <c r="B39" s="22" t="str">
        <f>IFERROR(__xludf.DUMMYFUNCTION("IF(C39="""","""",ROMAN(COUNTUNIQUE($C$6:C39)))"),"")</f>
        <v/>
      </c>
      <c r="C39" s="31"/>
      <c r="D39" s="32"/>
      <c r="E39" s="22" t="str">
        <f>IFERROR(__xludf.DUMMYFUNCTION("IF(F39="""","""",LEFT(ADDRESS(1,COUNTUNIQUE($F$6:F39),4)))"),"")</f>
        <v/>
      </c>
      <c r="F39" s="31"/>
      <c r="G39" s="32"/>
      <c r="H39" s="22" t="str">
        <f>IFERROR(__xludf.DUMMYFUNCTION("IF(I39="""","""",COUNTUNIQUE($I$6:I39))"),"")</f>
        <v/>
      </c>
      <c r="I39" s="31"/>
      <c r="J39" s="25" t="str">
        <f t="shared" si="2"/>
        <v/>
      </c>
      <c r="K39" s="26"/>
      <c r="L39" s="26"/>
      <c r="M39" s="26"/>
      <c r="N39" s="27"/>
    </row>
    <row r="40">
      <c r="A40" s="21" t="str">
        <f t="shared" si="1"/>
        <v/>
      </c>
      <c r="B40" s="22" t="str">
        <f>IFERROR(__xludf.DUMMYFUNCTION("IF(C40="""","""",ROMAN(COUNTUNIQUE($C$6:C40)))"),"")</f>
        <v/>
      </c>
      <c r="C40" s="31"/>
      <c r="D40" s="32"/>
      <c r="E40" s="22" t="str">
        <f>IFERROR(__xludf.DUMMYFUNCTION("IF(F40="""","""",LEFT(ADDRESS(1,COUNTUNIQUE($F$6:F40),4)))"),"")</f>
        <v/>
      </c>
      <c r="F40" s="31"/>
      <c r="G40" s="32"/>
      <c r="H40" s="22" t="str">
        <f>IFERROR(__xludf.DUMMYFUNCTION("IF(I40="""","""",COUNTUNIQUE($I$6:I40))"),"")</f>
        <v/>
      </c>
      <c r="I40" s="31"/>
      <c r="J40" s="25" t="str">
        <f t="shared" si="2"/>
        <v/>
      </c>
      <c r="K40" s="26"/>
      <c r="L40" s="26"/>
      <c r="M40" s="26"/>
      <c r="N40" s="27"/>
    </row>
    <row r="41">
      <c r="A41" s="21" t="str">
        <f t="shared" si="1"/>
        <v/>
      </c>
      <c r="B41" s="22" t="str">
        <f>IFERROR(__xludf.DUMMYFUNCTION("IF(C41="""","""",ROMAN(COUNTUNIQUE($C$6:C41)))"),"")</f>
        <v/>
      </c>
      <c r="C41" s="31"/>
      <c r="D41" s="32"/>
      <c r="E41" s="22" t="str">
        <f>IFERROR(__xludf.DUMMYFUNCTION("IF(F41="""","""",LEFT(ADDRESS(1,COUNTUNIQUE($F$6:F41),4)))"),"")</f>
        <v/>
      </c>
      <c r="F41" s="31"/>
      <c r="G41" s="32"/>
      <c r="H41" s="22" t="str">
        <f>IFERROR(__xludf.DUMMYFUNCTION("IF(I41="""","""",COUNTUNIQUE($I$6:I41))"),"")</f>
        <v/>
      </c>
      <c r="I41" s="31"/>
      <c r="J41" s="25" t="str">
        <f t="shared" si="2"/>
        <v/>
      </c>
      <c r="K41" s="26"/>
      <c r="L41" s="26"/>
      <c r="M41" s="26"/>
      <c r="N41" s="27"/>
    </row>
    <row r="42">
      <c r="A42" s="21" t="str">
        <f t="shared" si="1"/>
        <v/>
      </c>
      <c r="B42" s="22" t="str">
        <f>IFERROR(__xludf.DUMMYFUNCTION("IF(C42="""","""",ROMAN(COUNTUNIQUE($C$6:C42)))"),"")</f>
        <v/>
      </c>
      <c r="C42" s="31"/>
      <c r="D42" s="32"/>
      <c r="E42" s="22" t="str">
        <f>IFERROR(__xludf.DUMMYFUNCTION("IF(F42="""","""",LEFT(ADDRESS(1,COUNTUNIQUE($F$6:F42),4)))"),"")</f>
        <v/>
      </c>
      <c r="F42" s="31"/>
      <c r="G42" s="32"/>
      <c r="H42" s="22" t="str">
        <f>IFERROR(__xludf.DUMMYFUNCTION("IF(I42="""","""",COUNTUNIQUE($I$6:I42))"),"")</f>
        <v/>
      </c>
      <c r="I42" s="31"/>
      <c r="J42" s="25" t="str">
        <f t="shared" si="2"/>
        <v/>
      </c>
      <c r="K42" s="26"/>
      <c r="L42" s="26"/>
      <c r="M42" s="26"/>
      <c r="N42" s="27"/>
    </row>
    <row r="43">
      <c r="A43" s="21" t="str">
        <f t="shared" si="1"/>
        <v/>
      </c>
      <c r="B43" s="22" t="str">
        <f>IFERROR(__xludf.DUMMYFUNCTION("IF(C43="""","""",ROMAN(COUNTUNIQUE($C$6:C43)))"),"")</f>
        <v/>
      </c>
      <c r="C43" s="31"/>
      <c r="D43" s="32"/>
      <c r="E43" s="22" t="str">
        <f>IFERROR(__xludf.DUMMYFUNCTION("IF(F43="""","""",LEFT(ADDRESS(1,COUNTUNIQUE($F$6:F43),4)))"),"")</f>
        <v/>
      </c>
      <c r="F43" s="31"/>
      <c r="G43" s="32"/>
      <c r="H43" s="22" t="str">
        <f>IFERROR(__xludf.DUMMYFUNCTION("IF(I43="""","""",COUNTUNIQUE($I$6:I43))"),"")</f>
        <v/>
      </c>
      <c r="I43" s="31"/>
      <c r="J43" s="25" t="str">
        <f t="shared" si="2"/>
        <v/>
      </c>
      <c r="K43" s="26"/>
      <c r="L43" s="26"/>
      <c r="M43" s="26"/>
      <c r="N43" s="27"/>
    </row>
    <row r="44">
      <c r="A44" s="21" t="str">
        <f t="shared" si="1"/>
        <v/>
      </c>
      <c r="B44" s="22" t="str">
        <f>IFERROR(__xludf.DUMMYFUNCTION("IF(C44="""","""",ROMAN(COUNTUNIQUE($C$6:C44)))"),"")</f>
        <v/>
      </c>
      <c r="C44" s="31"/>
      <c r="D44" s="32"/>
      <c r="E44" s="22" t="str">
        <f>IFERROR(__xludf.DUMMYFUNCTION("IF(F44="""","""",LEFT(ADDRESS(1,COUNTUNIQUE($F$6:F44),4)))"),"")</f>
        <v/>
      </c>
      <c r="F44" s="31"/>
      <c r="G44" s="32"/>
      <c r="H44" s="22" t="str">
        <f>IFERROR(__xludf.DUMMYFUNCTION("IF(I44="""","""",COUNTUNIQUE($I$6:I44))"),"")</f>
        <v/>
      </c>
      <c r="I44" s="31"/>
      <c r="J44" s="25" t="str">
        <f t="shared" si="2"/>
        <v/>
      </c>
      <c r="K44" s="26"/>
      <c r="L44" s="26"/>
      <c r="M44" s="26"/>
      <c r="N44" s="27"/>
    </row>
    <row r="45">
      <c r="A45" s="21" t="str">
        <f t="shared" si="1"/>
        <v/>
      </c>
      <c r="B45" s="22" t="str">
        <f>IFERROR(__xludf.DUMMYFUNCTION("IF(C45="""","""",ROMAN(COUNTUNIQUE($C$6:C45)))"),"")</f>
        <v/>
      </c>
      <c r="C45" s="31"/>
      <c r="D45" s="32"/>
      <c r="E45" s="22" t="str">
        <f>IFERROR(__xludf.DUMMYFUNCTION("IF(F45="""","""",LEFT(ADDRESS(1,COUNTUNIQUE($F$6:F45),4)))"),"")</f>
        <v/>
      </c>
      <c r="F45" s="31"/>
      <c r="G45" s="32"/>
      <c r="H45" s="22" t="str">
        <f>IFERROR(__xludf.DUMMYFUNCTION("IF(I45="""","""",COUNTUNIQUE($I$6:I45))"),"")</f>
        <v/>
      </c>
      <c r="I45" s="31"/>
      <c r="J45" s="25" t="str">
        <f t="shared" si="2"/>
        <v/>
      </c>
      <c r="K45" s="26"/>
      <c r="L45" s="26"/>
      <c r="M45" s="26"/>
      <c r="N45" s="27"/>
    </row>
    <row r="46">
      <c r="A46" s="21" t="str">
        <f t="shared" si="1"/>
        <v/>
      </c>
      <c r="B46" s="22" t="str">
        <f>IFERROR(__xludf.DUMMYFUNCTION("IF(C46="""","""",ROMAN(COUNTUNIQUE($C$6:C46)))"),"")</f>
        <v/>
      </c>
      <c r="C46" s="31"/>
      <c r="D46" s="32"/>
      <c r="E46" s="22" t="str">
        <f>IFERROR(__xludf.DUMMYFUNCTION("IF(F46="""","""",LEFT(ADDRESS(1,COUNTUNIQUE($F$6:F46),4)))"),"")</f>
        <v/>
      </c>
      <c r="F46" s="31"/>
      <c r="G46" s="32"/>
      <c r="H46" s="22" t="str">
        <f>IFERROR(__xludf.DUMMYFUNCTION("IF(I46="""","""",COUNTUNIQUE($I$6:I46))"),"")</f>
        <v/>
      </c>
      <c r="I46" s="31"/>
      <c r="J46" s="25" t="str">
        <f t="shared" si="2"/>
        <v/>
      </c>
      <c r="K46" s="26"/>
      <c r="L46" s="26"/>
      <c r="M46" s="26"/>
      <c r="N46" s="27"/>
    </row>
    <row r="47">
      <c r="A47" s="21" t="str">
        <f t="shared" si="1"/>
        <v/>
      </c>
      <c r="B47" s="22" t="str">
        <f>IFERROR(__xludf.DUMMYFUNCTION("IF(C47="""","""",ROMAN(COUNTUNIQUE($C$6:C47)))"),"")</f>
        <v/>
      </c>
      <c r="C47" s="31"/>
      <c r="D47" s="32"/>
      <c r="E47" s="22" t="str">
        <f>IFERROR(__xludf.DUMMYFUNCTION("IF(F47="""","""",LEFT(ADDRESS(1,COUNTUNIQUE($F$6:F47),4)))"),"")</f>
        <v/>
      </c>
      <c r="F47" s="31"/>
      <c r="G47" s="32"/>
      <c r="H47" s="22" t="str">
        <f>IFERROR(__xludf.DUMMYFUNCTION("IF(I47="""","""",COUNTUNIQUE($I$6:I47))"),"")</f>
        <v/>
      </c>
      <c r="I47" s="31"/>
      <c r="J47" s="25" t="str">
        <f t="shared" si="2"/>
        <v/>
      </c>
      <c r="K47" s="26"/>
      <c r="L47" s="26"/>
      <c r="M47" s="26"/>
      <c r="N47" s="27"/>
    </row>
    <row r="48">
      <c r="A48" s="21" t="str">
        <f t="shared" si="1"/>
        <v/>
      </c>
      <c r="B48" s="22" t="str">
        <f>IFERROR(__xludf.DUMMYFUNCTION("IF(C48="""","""",ROMAN(COUNTUNIQUE($C$6:C48)))"),"")</f>
        <v/>
      </c>
      <c r="C48" s="31"/>
      <c r="D48" s="32"/>
      <c r="E48" s="22" t="str">
        <f>IFERROR(__xludf.DUMMYFUNCTION("IF(F48="""","""",LEFT(ADDRESS(1,COUNTUNIQUE($F$6:F48),4)))"),"")</f>
        <v/>
      </c>
      <c r="F48" s="31"/>
      <c r="G48" s="32"/>
      <c r="H48" s="22" t="str">
        <f>IFERROR(__xludf.DUMMYFUNCTION("IF(I48="""","""",COUNTUNIQUE($I$6:I48))"),"")</f>
        <v/>
      </c>
      <c r="I48" s="31"/>
      <c r="J48" s="25" t="str">
        <f t="shared" si="2"/>
        <v/>
      </c>
      <c r="K48" s="26"/>
      <c r="L48" s="26"/>
      <c r="M48" s="26"/>
      <c r="N48" s="27"/>
    </row>
    <row r="49">
      <c r="A49" s="21" t="str">
        <f t="shared" si="1"/>
        <v/>
      </c>
      <c r="B49" s="22" t="str">
        <f>IFERROR(__xludf.DUMMYFUNCTION("IF(C49="""","""",ROMAN(COUNTUNIQUE($C$6:C49)))"),"")</f>
        <v/>
      </c>
      <c r="C49" s="31"/>
      <c r="D49" s="32"/>
      <c r="E49" s="22" t="str">
        <f>IFERROR(__xludf.DUMMYFUNCTION("IF(F49="""","""",LEFT(ADDRESS(1,COUNTUNIQUE($F$6:F49),4)))"),"")</f>
        <v/>
      </c>
      <c r="F49" s="31"/>
      <c r="G49" s="32"/>
      <c r="H49" s="22" t="str">
        <f>IFERROR(__xludf.DUMMYFUNCTION("IF(I49="""","""",COUNTUNIQUE($I$6:I49))"),"")</f>
        <v/>
      </c>
      <c r="I49" s="31"/>
      <c r="J49" s="25" t="str">
        <f t="shared" si="2"/>
        <v/>
      </c>
      <c r="K49" s="26"/>
      <c r="L49" s="26"/>
      <c r="M49" s="26"/>
      <c r="N49" s="27"/>
    </row>
    <row r="50">
      <c r="A50" s="21" t="str">
        <f t="shared" si="1"/>
        <v/>
      </c>
      <c r="B50" s="22" t="str">
        <f>IFERROR(__xludf.DUMMYFUNCTION("IF(C50="""","""",ROMAN(COUNTUNIQUE($C$6:C50)))"),"")</f>
        <v/>
      </c>
      <c r="C50" s="31"/>
      <c r="D50" s="32"/>
      <c r="E50" s="22" t="str">
        <f>IFERROR(__xludf.DUMMYFUNCTION("IF(F50="""","""",LEFT(ADDRESS(1,COUNTUNIQUE($F$6:F50),4)))"),"")</f>
        <v/>
      </c>
      <c r="F50" s="31"/>
      <c r="G50" s="32"/>
      <c r="H50" s="22" t="str">
        <f>IFERROR(__xludf.DUMMYFUNCTION("IF(I50="""","""",COUNTUNIQUE($I$6:I50))"),"")</f>
        <v/>
      </c>
      <c r="I50" s="31"/>
      <c r="J50" s="25" t="str">
        <f t="shared" si="2"/>
        <v/>
      </c>
      <c r="K50" s="26"/>
      <c r="L50" s="26"/>
      <c r="M50" s="26"/>
      <c r="N50" s="27"/>
    </row>
    <row r="51">
      <c r="A51" s="21" t="str">
        <f t="shared" si="1"/>
        <v/>
      </c>
      <c r="B51" s="22" t="str">
        <f>IFERROR(__xludf.DUMMYFUNCTION("IF(C51="""","""",ROMAN(COUNTUNIQUE($C$6:C51)))"),"")</f>
        <v/>
      </c>
      <c r="C51" s="31"/>
      <c r="D51" s="32"/>
      <c r="E51" s="22" t="str">
        <f>IFERROR(__xludf.DUMMYFUNCTION("IF(F51="""","""",LEFT(ADDRESS(1,COUNTUNIQUE($F$6:F51),4)))"),"")</f>
        <v/>
      </c>
      <c r="F51" s="31"/>
      <c r="G51" s="32"/>
      <c r="H51" s="22" t="str">
        <f>IFERROR(__xludf.DUMMYFUNCTION("IF(I51="""","""",COUNTUNIQUE($I$6:I51))"),"")</f>
        <v/>
      </c>
      <c r="I51" s="31"/>
      <c r="J51" s="25" t="str">
        <f t="shared" si="2"/>
        <v/>
      </c>
      <c r="K51" s="26"/>
      <c r="L51" s="26"/>
      <c r="M51" s="26"/>
      <c r="N51" s="27"/>
    </row>
    <row r="52">
      <c r="A52" s="21" t="str">
        <f t="shared" si="1"/>
        <v/>
      </c>
      <c r="B52" s="22" t="str">
        <f>IFERROR(__xludf.DUMMYFUNCTION("IF(C52="""","""",ROMAN(COUNTUNIQUE($C$6:C52)))"),"")</f>
        <v/>
      </c>
      <c r="C52" s="31"/>
      <c r="D52" s="32"/>
      <c r="E52" s="22" t="str">
        <f>IFERROR(__xludf.DUMMYFUNCTION("IF(F52="""","""",LEFT(ADDRESS(1,COUNTUNIQUE($F$6:F52),4)))"),"")</f>
        <v/>
      </c>
      <c r="F52" s="31"/>
      <c r="G52" s="32"/>
      <c r="H52" s="22" t="str">
        <f>IFERROR(__xludf.DUMMYFUNCTION("IF(I52="""","""",COUNTUNIQUE($I$6:I52))"),"")</f>
        <v/>
      </c>
      <c r="I52" s="31"/>
      <c r="J52" s="25" t="str">
        <f t="shared" si="2"/>
        <v/>
      </c>
      <c r="K52" s="26"/>
      <c r="L52" s="26"/>
      <c r="M52" s="26"/>
      <c r="N52" s="27"/>
    </row>
    <row r="53">
      <c r="A53" s="21" t="str">
        <f t="shared" si="1"/>
        <v/>
      </c>
      <c r="B53" s="22" t="str">
        <f>IFERROR(__xludf.DUMMYFUNCTION("IF(C53="""","""",ROMAN(COUNTUNIQUE($C$6:C53)))"),"")</f>
        <v/>
      </c>
      <c r="C53" s="31"/>
      <c r="D53" s="32"/>
      <c r="E53" s="22" t="str">
        <f>IFERROR(__xludf.DUMMYFUNCTION("IF(F53="""","""",LEFT(ADDRESS(1,COUNTUNIQUE($F$6:F53),4)))"),"")</f>
        <v/>
      </c>
      <c r="F53" s="31"/>
      <c r="G53" s="32"/>
      <c r="H53" s="22" t="str">
        <f>IFERROR(__xludf.DUMMYFUNCTION("IF(I53="""","""",COUNTUNIQUE($I$6:I53))"),"")</f>
        <v/>
      </c>
      <c r="I53" s="31"/>
      <c r="J53" s="25" t="str">
        <f t="shared" si="2"/>
        <v/>
      </c>
      <c r="K53" s="26"/>
      <c r="L53" s="26"/>
      <c r="M53" s="26"/>
      <c r="N53" s="27"/>
    </row>
    <row r="54">
      <c r="A54" s="21" t="str">
        <f t="shared" si="1"/>
        <v/>
      </c>
      <c r="B54" s="22" t="str">
        <f>IFERROR(__xludf.DUMMYFUNCTION("IF(C54="""","""",ROMAN(COUNTUNIQUE($C$6:C54)))"),"")</f>
        <v/>
      </c>
      <c r="C54" s="31"/>
      <c r="D54" s="32"/>
      <c r="E54" s="22" t="str">
        <f>IFERROR(__xludf.DUMMYFUNCTION("IF(F54="""","""",LEFT(ADDRESS(1,COUNTUNIQUE($F$6:F54),4)))"),"")</f>
        <v/>
      </c>
      <c r="F54" s="31"/>
      <c r="G54" s="32"/>
      <c r="H54" s="22" t="str">
        <f>IFERROR(__xludf.DUMMYFUNCTION("IF(I54="""","""",COUNTUNIQUE($I$6:I54))"),"")</f>
        <v/>
      </c>
      <c r="I54" s="31"/>
      <c r="J54" s="25" t="str">
        <f t="shared" si="2"/>
        <v/>
      </c>
      <c r="K54" s="26"/>
      <c r="L54" s="26"/>
      <c r="M54" s="26"/>
      <c r="N54" s="27"/>
    </row>
    <row r="55">
      <c r="A55" s="21" t="str">
        <f t="shared" si="1"/>
        <v/>
      </c>
      <c r="B55" s="22" t="str">
        <f>IFERROR(__xludf.DUMMYFUNCTION("IF(C55="""","""",ROMAN(COUNTUNIQUE($C$6:C55)))"),"")</f>
        <v/>
      </c>
      <c r="C55" s="31"/>
      <c r="D55" s="32"/>
      <c r="E55" s="22" t="str">
        <f>IFERROR(__xludf.DUMMYFUNCTION("IF(F55="""","""",LEFT(ADDRESS(1,COUNTUNIQUE($F$6:F55),4)))"),"")</f>
        <v/>
      </c>
      <c r="F55" s="31"/>
      <c r="G55" s="32"/>
      <c r="H55" s="22" t="str">
        <f>IFERROR(__xludf.DUMMYFUNCTION("IF(I55="""","""",COUNTUNIQUE($I$6:I55))"),"")</f>
        <v/>
      </c>
      <c r="I55" s="31"/>
      <c r="J55" s="25" t="str">
        <f t="shared" si="2"/>
        <v/>
      </c>
      <c r="K55" s="26"/>
      <c r="L55" s="26"/>
      <c r="M55" s="26"/>
      <c r="N55" s="27"/>
    </row>
    <row r="56">
      <c r="A56" s="21" t="str">
        <f t="shared" si="1"/>
        <v/>
      </c>
      <c r="B56" s="22" t="str">
        <f>IFERROR(__xludf.DUMMYFUNCTION("IF(C56="""","""",ROMAN(COUNTUNIQUE($C$6:C56)))"),"")</f>
        <v/>
      </c>
      <c r="C56" s="31"/>
      <c r="D56" s="32"/>
      <c r="E56" s="22" t="str">
        <f>IFERROR(__xludf.DUMMYFUNCTION("IF(F56="""","""",LEFT(ADDRESS(1,COUNTUNIQUE($F$6:F56),4)))"),"")</f>
        <v/>
      </c>
      <c r="F56" s="31"/>
      <c r="G56" s="32"/>
      <c r="H56" s="22" t="str">
        <f>IFERROR(__xludf.DUMMYFUNCTION("IF(I56="""","""",COUNTUNIQUE($I$6:I56))"),"")</f>
        <v/>
      </c>
      <c r="I56" s="31"/>
      <c r="J56" s="25" t="str">
        <f t="shared" si="2"/>
        <v/>
      </c>
      <c r="K56" s="26"/>
      <c r="L56" s="26"/>
      <c r="M56" s="26"/>
      <c r="N56" s="27"/>
    </row>
    <row r="57">
      <c r="A57" s="21" t="str">
        <f t="shared" si="1"/>
        <v/>
      </c>
      <c r="B57" s="22" t="str">
        <f>IFERROR(__xludf.DUMMYFUNCTION("IF(C57="""","""",ROMAN(COUNTUNIQUE($C$6:C57)))"),"")</f>
        <v/>
      </c>
      <c r="C57" s="31"/>
      <c r="D57" s="32"/>
      <c r="E57" s="22" t="str">
        <f>IFERROR(__xludf.DUMMYFUNCTION("IF(F57="""","""",LEFT(ADDRESS(1,COUNTUNIQUE($F$6:F57),4)))"),"")</f>
        <v/>
      </c>
      <c r="F57" s="31"/>
      <c r="G57" s="32"/>
      <c r="H57" s="22" t="str">
        <f>IFERROR(__xludf.DUMMYFUNCTION("IF(I57="""","""",COUNTUNIQUE($I$6:I57))"),"")</f>
        <v/>
      </c>
      <c r="I57" s="31"/>
      <c r="J57" s="25" t="str">
        <f t="shared" si="2"/>
        <v/>
      </c>
      <c r="K57" s="26"/>
      <c r="L57" s="26"/>
      <c r="M57" s="26"/>
      <c r="N57" s="27"/>
    </row>
    <row r="58">
      <c r="A58" s="21" t="str">
        <f t="shared" si="1"/>
        <v/>
      </c>
      <c r="B58" s="22" t="str">
        <f>IFERROR(__xludf.DUMMYFUNCTION("IF(C58="""","""",ROMAN(COUNTUNIQUE($C$6:C58)))"),"")</f>
        <v/>
      </c>
      <c r="C58" s="31"/>
      <c r="D58" s="32"/>
      <c r="E58" s="22" t="str">
        <f>IFERROR(__xludf.DUMMYFUNCTION("IF(F58="""","""",LEFT(ADDRESS(1,COUNTUNIQUE($F$6:F58),4)))"),"")</f>
        <v/>
      </c>
      <c r="F58" s="31"/>
      <c r="G58" s="32"/>
      <c r="H58" s="22" t="str">
        <f>IFERROR(__xludf.DUMMYFUNCTION("IF(I58="""","""",COUNTUNIQUE($I$6:I58))"),"")</f>
        <v/>
      </c>
      <c r="I58" s="31"/>
      <c r="J58" s="25" t="str">
        <f t="shared" si="2"/>
        <v/>
      </c>
      <c r="K58" s="26"/>
      <c r="L58" s="26"/>
      <c r="M58" s="26"/>
      <c r="N58" s="27"/>
    </row>
    <row r="59">
      <c r="A59" s="21" t="str">
        <f t="shared" si="1"/>
        <v/>
      </c>
      <c r="B59" s="22" t="str">
        <f>IFERROR(__xludf.DUMMYFUNCTION("IF(C59="""","""",ROMAN(COUNTUNIQUE($C$6:C59)))"),"")</f>
        <v/>
      </c>
      <c r="C59" s="31"/>
      <c r="D59" s="32"/>
      <c r="E59" s="22" t="str">
        <f>IFERROR(__xludf.DUMMYFUNCTION("IF(F59="""","""",LEFT(ADDRESS(1,COUNTUNIQUE($F$6:F59),4)))"),"")</f>
        <v/>
      </c>
      <c r="F59" s="31"/>
      <c r="G59" s="32"/>
      <c r="H59" s="22" t="str">
        <f>IFERROR(__xludf.DUMMYFUNCTION("IF(I59="""","""",COUNTUNIQUE($I$6:I59))"),"")</f>
        <v/>
      </c>
      <c r="I59" s="31"/>
      <c r="J59" s="25" t="str">
        <f t="shared" si="2"/>
        <v/>
      </c>
      <c r="K59" s="26"/>
      <c r="L59" s="26"/>
      <c r="M59" s="26"/>
      <c r="N59" s="27"/>
    </row>
    <row r="60">
      <c r="A60" s="21" t="str">
        <f t="shared" si="1"/>
        <v/>
      </c>
      <c r="B60" s="22" t="str">
        <f>IFERROR(__xludf.DUMMYFUNCTION("IF(C60="""","""",ROMAN(COUNTUNIQUE($C$6:C60)))"),"")</f>
        <v/>
      </c>
      <c r="C60" s="31"/>
      <c r="D60" s="32"/>
      <c r="E60" s="22" t="str">
        <f>IFERROR(__xludf.DUMMYFUNCTION("IF(F60="""","""",LEFT(ADDRESS(1,COUNTUNIQUE($F$6:F60),4)))"),"")</f>
        <v/>
      </c>
      <c r="F60" s="31"/>
      <c r="G60" s="32"/>
      <c r="H60" s="22" t="str">
        <f>IFERROR(__xludf.DUMMYFUNCTION("IF(I60="""","""",COUNTUNIQUE($I$6:I60))"),"")</f>
        <v/>
      </c>
      <c r="I60" s="31"/>
      <c r="J60" s="25" t="str">
        <f t="shared" si="2"/>
        <v/>
      </c>
      <c r="K60" s="26"/>
      <c r="L60" s="26"/>
      <c r="M60" s="26"/>
      <c r="N60" s="27"/>
    </row>
    <row r="61">
      <c r="A61" s="21" t="str">
        <f t="shared" si="1"/>
        <v/>
      </c>
      <c r="B61" s="22" t="str">
        <f>IFERROR(__xludf.DUMMYFUNCTION("IF(C61="""","""",ROMAN(COUNTUNIQUE($C$6:C61)))"),"")</f>
        <v/>
      </c>
      <c r="C61" s="31"/>
      <c r="D61" s="32"/>
      <c r="E61" s="22" t="str">
        <f>IFERROR(__xludf.DUMMYFUNCTION("IF(F61="""","""",LEFT(ADDRESS(1,COUNTUNIQUE($F$6:F61),4)))"),"")</f>
        <v/>
      </c>
      <c r="F61" s="31"/>
      <c r="G61" s="32"/>
      <c r="H61" s="22" t="str">
        <f>IFERROR(__xludf.DUMMYFUNCTION("IF(I61="""","""",COUNTUNIQUE($I$6:I61))"),"")</f>
        <v/>
      </c>
      <c r="I61" s="31"/>
      <c r="J61" s="25" t="str">
        <f t="shared" si="2"/>
        <v/>
      </c>
      <c r="K61" s="26"/>
      <c r="L61" s="26"/>
      <c r="M61" s="26"/>
      <c r="N61" s="27"/>
    </row>
    <row r="62">
      <c r="A62" s="21" t="str">
        <f t="shared" si="1"/>
        <v/>
      </c>
      <c r="B62" s="22" t="str">
        <f>IFERROR(__xludf.DUMMYFUNCTION("IF(C62="""","""",ROMAN(COUNTUNIQUE($C$6:C62)))"),"")</f>
        <v/>
      </c>
      <c r="C62" s="31"/>
      <c r="D62" s="32"/>
      <c r="E62" s="22" t="str">
        <f>IFERROR(__xludf.DUMMYFUNCTION("IF(F62="""","""",LEFT(ADDRESS(1,COUNTUNIQUE($F$6:F62),4)))"),"")</f>
        <v/>
      </c>
      <c r="F62" s="31"/>
      <c r="G62" s="32"/>
      <c r="H62" s="22" t="str">
        <f>IFERROR(__xludf.DUMMYFUNCTION("IF(I62="""","""",COUNTUNIQUE($I$6:I62))"),"")</f>
        <v/>
      </c>
      <c r="I62" s="31"/>
      <c r="J62" s="25" t="str">
        <f t="shared" si="2"/>
        <v/>
      </c>
      <c r="K62" s="26"/>
      <c r="L62" s="26"/>
      <c r="M62" s="26"/>
      <c r="N62" s="27"/>
    </row>
    <row r="63">
      <c r="A63" s="21" t="str">
        <f t="shared" si="1"/>
        <v/>
      </c>
      <c r="B63" s="22" t="str">
        <f>IFERROR(__xludf.DUMMYFUNCTION("IF(C63="""","""",ROMAN(COUNTUNIQUE($C$6:C63)))"),"")</f>
        <v/>
      </c>
      <c r="C63" s="31"/>
      <c r="D63" s="32"/>
      <c r="E63" s="22" t="str">
        <f>IFERROR(__xludf.DUMMYFUNCTION("IF(F63="""","""",LEFT(ADDRESS(1,COUNTUNIQUE($F$6:F63),4)))"),"")</f>
        <v/>
      </c>
      <c r="F63" s="31"/>
      <c r="G63" s="32"/>
      <c r="H63" s="22" t="str">
        <f>IFERROR(__xludf.DUMMYFUNCTION("IF(I63="""","""",COUNTUNIQUE($I$6:I63))"),"")</f>
        <v/>
      </c>
      <c r="I63" s="31"/>
      <c r="J63" s="25" t="str">
        <f t="shared" si="2"/>
        <v/>
      </c>
      <c r="K63" s="26"/>
      <c r="L63" s="26"/>
      <c r="M63" s="26"/>
      <c r="N63" s="27"/>
    </row>
    <row r="64">
      <c r="A64" s="21" t="str">
        <f t="shared" si="1"/>
        <v/>
      </c>
      <c r="B64" s="22" t="str">
        <f>IFERROR(__xludf.DUMMYFUNCTION("IF(C64="""","""",ROMAN(COUNTUNIQUE($C$6:C64)))"),"")</f>
        <v/>
      </c>
      <c r="C64" s="31"/>
      <c r="D64" s="32"/>
      <c r="E64" s="22" t="str">
        <f>IFERROR(__xludf.DUMMYFUNCTION("IF(F64="""","""",LEFT(ADDRESS(1,COUNTUNIQUE($F$6:F64),4)))"),"")</f>
        <v/>
      </c>
      <c r="F64" s="31"/>
      <c r="G64" s="32"/>
      <c r="H64" s="22" t="str">
        <f>IFERROR(__xludf.DUMMYFUNCTION("IF(I64="""","""",COUNTUNIQUE($I$6:I64))"),"")</f>
        <v/>
      </c>
      <c r="I64" s="31"/>
      <c r="J64" s="25" t="str">
        <f t="shared" si="2"/>
        <v/>
      </c>
      <c r="K64" s="26"/>
      <c r="L64" s="26"/>
      <c r="M64" s="26"/>
      <c r="N64" s="27"/>
    </row>
    <row r="65">
      <c r="A65" s="21" t="str">
        <f t="shared" si="1"/>
        <v/>
      </c>
      <c r="B65" s="22" t="str">
        <f>IFERROR(__xludf.DUMMYFUNCTION("IF(C65="""","""",ROMAN(COUNTUNIQUE($C$6:C65)))"),"")</f>
        <v/>
      </c>
      <c r="C65" s="31"/>
      <c r="D65" s="32"/>
      <c r="E65" s="22" t="str">
        <f>IFERROR(__xludf.DUMMYFUNCTION("IF(F65="""","""",LEFT(ADDRESS(1,COUNTUNIQUE($F$6:F65),4)))"),"")</f>
        <v/>
      </c>
      <c r="F65" s="31"/>
      <c r="G65" s="32"/>
      <c r="H65" s="22" t="str">
        <f>IFERROR(__xludf.DUMMYFUNCTION("IF(I65="""","""",COUNTUNIQUE($I$6:I65))"),"")</f>
        <v/>
      </c>
      <c r="I65" s="31"/>
      <c r="J65" s="25" t="str">
        <f t="shared" si="2"/>
        <v/>
      </c>
      <c r="K65" s="26"/>
      <c r="L65" s="26"/>
      <c r="M65" s="26"/>
      <c r="N65" s="27"/>
    </row>
    <row r="66">
      <c r="A66" s="21" t="str">
        <f t="shared" si="1"/>
        <v/>
      </c>
      <c r="B66" s="22" t="str">
        <f>IFERROR(__xludf.DUMMYFUNCTION("IF(C66="""","""",ROMAN(COUNTUNIQUE($C$6:C66)))"),"")</f>
        <v/>
      </c>
      <c r="C66" s="31"/>
      <c r="D66" s="32"/>
      <c r="E66" s="22" t="str">
        <f>IFERROR(__xludf.DUMMYFUNCTION("IF(F66="""","""",LEFT(ADDRESS(1,COUNTUNIQUE($F$6:F66),4)))"),"")</f>
        <v/>
      </c>
      <c r="F66" s="31"/>
      <c r="G66" s="32"/>
      <c r="H66" s="22" t="str">
        <f>IFERROR(__xludf.DUMMYFUNCTION("IF(I66="""","""",COUNTUNIQUE($I$6:I66))"),"")</f>
        <v/>
      </c>
      <c r="I66" s="31"/>
      <c r="J66" s="25" t="str">
        <f t="shared" si="2"/>
        <v/>
      </c>
      <c r="K66" s="26"/>
      <c r="L66" s="26"/>
      <c r="M66" s="26"/>
      <c r="N66" s="27"/>
    </row>
    <row r="67">
      <c r="A67" s="21" t="str">
        <f t="shared" si="1"/>
        <v/>
      </c>
      <c r="B67" s="22" t="str">
        <f>IFERROR(__xludf.DUMMYFUNCTION("IF(C67="""","""",ROMAN(COUNTUNIQUE($C$6:C67)))"),"")</f>
        <v/>
      </c>
      <c r="C67" s="31"/>
      <c r="D67" s="32"/>
      <c r="E67" s="22" t="str">
        <f>IFERROR(__xludf.DUMMYFUNCTION("IF(F67="""","""",LEFT(ADDRESS(1,COUNTUNIQUE($F$6:F67),4)))"),"")</f>
        <v/>
      </c>
      <c r="F67" s="31"/>
      <c r="G67" s="32"/>
      <c r="H67" s="22" t="str">
        <f>IFERROR(__xludf.DUMMYFUNCTION("IF(I67="""","""",COUNTUNIQUE($I$6:I67))"),"")</f>
        <v/>
      </c>
      <c r="I67" s="31"/>
      <c r="J67" s="25" t="str">
        <f t="shared" si="2"/>
        <v/>
      </c>
      <c r="K67" s="26"/>
      <c r="L67" s="26"/>
      <c r="M67" s="26"/>
      <c r="N67" s="27"/>
    </row>
    <row r="68">
      <c r="A68" s="21" t="str">
        <f t="shared" si="1"/>
        <v/>
      </c>
      <c r="B68" s="22" t="str">
        <f>IFERROR(__xludf.DUMMYFUNCTION("IF(C68="""","""",ROMAN(COUNTUNIQUE($C$6:C68)))"),"")</f>
        <v/>
      </c>
      <c r="C68" s="31"/>
      <c r="D68" s="32"/>
      <c r="E68" s="22" t="str">
        <f>IFERROR(__xludf.DUMMYFUNCTION("IF(F68="""","""",LEFT(ADDRESS(1,COUNTUNIQUE($F$6:F68),4)))"),"")</f>
        <v/>
      </c>
      <c r="F68" s="31"/>
      <c r="G68" s="32"/>
      <c r="H68" s="22" t="str">
        <f>IFERROR(__xludf.DUMMYFUNCTION("IF(I68="""","""",COUNTUNIQUE($I$6:I68))"),"")</f>
        <v/>
      </c>
      <c r="I68" s="31"/>
      <c r="J68" s="25" t="str">
        <f t="shared" si="2"/>
        <v/>
      </c>
      <c r="K68" s="26"/>
      <c r="L68" s="26"/>
      <c r="M68" s="26"/>
      <c r="N68" s="27"/>
    </row>
    <row r="69">
      <c r="A69" s="21" t="str">
        <f t="shared" si="1"/>
        <v/>
      </c>
      <c r="B69" s="22" t="str">
        <f>IFERROR(__xludf.DUMMYFUNCTION("IF(C69="""","""",ROMAN(COUNTUNIQUE($C$6:C69)))"),"")</f>
        <v/>
      </c>
      <c r="C69" s="31"/>
      <c r="D69" s="32"/>
      <c r="E69" s="22" t="str">
        <f>IFERROR(__xludf.DUMMYFUNCTION("IF(F69="""","""",LEFT(ADDRESS(1,COUNTUNIQUE($F$6:F69),4)))"),"")</f>
        <v/>
      </c>
      <c r="F69" s="31"/>
      <c r="G69" s="32"/>
      <c r="H69" s="22" t="str">
        <f>IFERROR(__xludf.DUMMYFUNCTION("IF(I69="""","""",COUNTUNIQUE($I$6:I69))"),"")</f>
        <v/>
      </c>
      <c r="I69" s="31"/>
      <c r="J69" s="25" t="str">
        <f t="shared" si="2"/>
        <v/>
      </c>
      <c r="K69" s="26"/>
      <c r="L69" s="26"/>
      <c r="M69" s="26"/>
      <c r="N69" s="27"/>
    </row>
    <row r="70">
      <c r="A70" s="21" t="str">
        <f t="shared" si="1"/>
        <v/>
      </c>
      <c r="B70" s="22" t="str">
        <f>IFERROR(__xludf.DUMMYFUNCTION("IF(C70="""","""",ROMAN(COUNTUNIQUE($C$6:C70)))"),"")</f>
        <v/>
      </c>
      <c r="C70" s="31"/>
      <c r="D70" s="32"/>
      <c r="E70" s="22" t="str">
        <f>IFERROR(__xludf.DUMMYFUNCTION("IF(F70="""","""",LEFT(ADDRESS(1,COUNTUNIQUE($F$6:F70),4)))"),"")</f>
        <v/>
      </c>
      <c r="F70" s="31"/>
      <c r="G70" s="32"/>
      <c r="H70" s="22" t="str">
        <f>IFERROR(__xludf.DUMMYFUNCTION("IF(I70="""","""",COUNTUNIQUE($I$6:I70))"),"")</f>
        <v/>
      </c>
      <c r="I70" s="31"/>
      <c r="J70" s="25" t="str">
        <f t="shared" si="2"/>
        <v/>
      </c>
      <c r="K70" s="26"/>
      <c r="L70" s="26"/>
      <c r="M70" s="26"/>
      <c r="N70" s="27"/>
    </row>
    <row r="71">
      <c r="A71" s="21" t="str">
        <f t="shared" si="1"/>
        <v/>
      </c>
      <c r="B71" s="22" t="str">
        <f>IFERROR(__xludf.DUMMYFUNCTION("IF(C71="""","""",ROMAN(COUNTUNIQUE($C$6:C71)))"),"")</f>
        <v/>
      </c>
      <c r="C71" s="31"/>
      <c r="D71" s="32"/>
      <c r="E71" s="22" t="str">
        <f>IFERROR(__xludf.DUMMYFUNCTION("IF(F71="""","""",LEFT(ADDRESS(1,COUNTUNIQUE($F$6:F71),4)))"),"")</f>
        <v/>
      </c>
      <c r="F71" s="31"/>
      <c r="G71" s="32"/>
      <c r="H71" s="22" t="str">
        <f>IFERROR(__xludf.DUMMYFUNCTION("IF(I71="""","""",COUNTUNIQUE($I$6:I71))"),"")</f>
        <v/>
      </c>
      <c r="I71" s="31"/>
      <c r="J71" s="25" t="str">
        <f t="shared" si="2"/>
        <v/>
      </c>
      <c r="K71" s="26"/>
      <c r="L71" s="26"/>
      <c r="M71" s="26"/>
      <c r="N71" s="27"/>
    </row>
    <row r="72">
      <c r="A72" s="21" t="str">
        <f t="shared" si="1"/>
        <v/>
      </c>
      <c r="B72" s="22" t="str">
        <f>IFERROR(__xludf.DUMMYFUNCTION("IF(C72="""","""",ROMAN(COUNTUNIQUE($C$6:C72)))"),"")</f>
        <v/>
      </c>
      <c r="C72" s="31"/>
      <c r="D72" s="32"/>
      <c r="E72" s="22" t="str">
        <f>IFERROR(__xludf.DUMMYFUNCTION("IF(F72="""","""",LEFT(ADDRESS(1,COUNTUNIQUE($F$6:F72),4)))"),"")</f>
        <v/>
      </c>
      <c r="F72" s="31"/>
      <c r="G72" s="32"/>
      <c r="H72" s="22" t="str">
        <f>IFERROR(__xludf.DUMMYFUNCTION("IF(I72="""","""",COUNTUNIQUE($I$6:I72))"),"")</f>
        <v/>
      </c>
      <c r="I72" s="31"/>
      <c r="J72" s="25" t="str">
        <f t="shared" si="2"/>
        <v/>
      </c>
      <c r="K72" s="26"/>
      <c r="L72" s="26"/>
      <c r="M72" s="26"/>
      <c r="N72" s="27"/>
    </row>
    <row r="73">
      <c r="A73" s="21" t="str">
        <f t="shared" si="1"/>
        <v/>
      </c>
      <c r="B73" s="22" t="str">
        <f>IFERROR(__xludf.DUMMYFUNCTION("IF(C73="""","""",ROMAN(COUNTUNIQUE($C$6:C73)))"),"")</f>
        <v/>
      </c>
      <c r="C73" s="31"/>
      <c r="D73" s="32"/>
      <c r="E73" s="22" t="str">
        <f>IFERROR(__xludf.DUMMYFUNCTION("IF(F73="""","""",LEFT(ADDRESS(1,COUNTUNIQUE($F$6:F73),4)))"),"")</f>
        <v/>
      </c>
      <c r="F73" s="31"/>
      <c r="G73" s="32"/>
      <c r="H73" s="22" t="str">
        <f>IFERROR(__xludf.DUMMYFUNCTION("IF(I73="""","""",COUNTUNIQUE($I$6:I73))"),"")</f>
        <v/>
      </c>
      <c r="I73" s="31"/>
      <c r="J73" s="25" t="str">
        <f t="shared" si="2"/>
        <v/>
      </c>
      <c r="K73" s="26"/>
      <c r="L73" s="26"/>
      <c r="M73" s="26"/>
      <c r="N73" s="27"/>
    </row>
    <row r="74">
      <c r="A74" s="21" t="str">
        <f t="shared" si="1"/>
        <v/>
      </c>
      <c r="B74" s="22" t="str">
        <f>IFERROR(__xludf.DUMMYFUNCTION("IF(C74="""","""",ROMAN(COUNTUNIQUE($C$6:C74)))"),"")</f>
        <v/>
      </c>
      <c r="C74" s="31"/>
      <c r="D74" s="32"/>
      <c r="E74" s="22" t="str">
        <f>IFERROR(__xludf.DUMMYFUNCTION("IF(F74="""","""",LEFT(ADDRESS(1,COUNTUNIQUE($F$6:F74),4)))"),"")</f>
        <v/>
      </c>
      <c r="F74" s="31"/>
      <c r="G74" s="32"/>
      <c r="H74" s="22" t="str">
        <f>IFERROR(__xludf.DUMMYFUNCTION("IF(I74="""","""",COUNTUNIQUE($I$6:I74))"),"")</f>
        <v/>
      </c>
      <c r="I74" s="31"/>
      <c r="J74" s="25" t="str">
        <f t="shared" si="2"/>
        <v/>
      </c>
      <c r="K74" s="26"/>
      <c r="L74" s="26"/>
      <c r="M74" s="26"/>
      <c r="N74" s="27"/>
    </row>
    <row r="75">
      <c r="A75" s="21" t="str">
        <f t="shared" si="1"/>
        <v/>
      </c>
      <c r="B75" s="22" t="str">
        <f>IFERROR(__xludf.DUMMYFUNCTION("IF(C75="""","""",ROMAN(COUNTUNIQUE($C$6:C75)))"),"")</f>
        <v/>
      </c>
      <c r="C75" s="31"/>
      <c r="D75" s="32"/>
      <c r="E75" s="22" t="str">
        <f>IFERROR(__xludf.DUMMYFUNCTION("IF(F75="""","""",LEFT(ADDRESS(1,COUNTUNIQUE($F$6:F75),4)))"),"")</f>
        <v/>
      </c>
      <c r="F75" s="31"/>
      <c r="G75" s="32"/>
      <c r="H75" s="22" t="str">
        <f>IFERROR(__xludf.DUMMYFUNCTION("IF(I75="""","""",COUNTUNIQUE($I$6:I75))"),"")</f>
        <v/>
      </c>
      <c r="I75" s="31"/>
      <c r="J75" s="25" t="str">
        <f t="shared" si="2"/>
        <v/>
      </c>
      <c r="K75" s="26"/>
      <c r="L75" s="26"/>
      <c r="M75" s="26"/>
      <c r="N75" s="27"/>
    </row>
    <row r="76">
      <c r="A76" s="21" t="str">
        <f t="shared" si="1"/>
        <v/>
      </c>
      <c r="B76" s="22" t="str">
        <f>IFERROR(__xludf.DUMMYFUNCTION("IF(C76="""","""",ROMAN(COUNTUNIQUE($C$6:C76)))"),"")</f>
        <v/>
      </c>
      <c r="C76" s="31"/>
      <c r="D76" s="32"/>
      <c r="E76" s="22" t="str">
        <f>IFERROR(__xludf.DUMMYFUNCTION("IF(F76="""","""",LEFT(ADDRESS(1,COUNTUNIQUE($F$6:F76),4)))"),"")</f>
        <v/>
      </c>
      <c r="F76" s="31"/>
      <c r="G76" s="32"/>
      <c r="H76" s="22" t="str">
        <f>IFERROR(__xludf.DUMMYFUNCTION("IF(I76="""","""",COUNTUNIQUE($I$6:I76))"),"")</f>
        <v/>
      </c>
      <c r="I76" s="31"/>
      <c r="J76" s="25" t="str">
        <f t="shared" si="2"/>
        <v/>
      </c>
      <c r="K76" s="26"/>
      <c r="L76" s="26"/>
      <c r="M76" s="26"/>
      <c r="N76" s="27"/>
    </row>
    <row r="77">
      <c r="A77" s="21" t="str">
        <f t="shared" si="1"/>
        <v/>
      </c>
      <c r="B77" s="22" t="str">
        <f>IFERROR(__xludf.DUMMYFUNCTION("IF(C77="""","""",ROMAN(COUNTUNIQUE($C$6:C77)))"),"")</f>
        <v/>
      </c>
      <c r="C77" s="31"/>
      <c r="D77" s="32"/>
      <c r="E77" s="22" t="str">
        <f>IFERROR(__xludf.DUMMYFUNCTION("IF(F77="""","""",LEFT(ADDRESS(1,COUNTUNIQUE($F$6:F77),4)))"),"")</f>
        <v/>
      </c>
      <c r="F77" s="31"/>
      <c r="G77" s="32"/>
      <c r="H77" s="22" t="str">
        <f>IFERROR(__xludf.DUMMYFUNCTION("IF(I77="""","""",COUNTUNIQUE($I$6:I77))"),"")</f>
        <v/>
      </c>
      <c r="I77" s="31"/>
      <c r="J77" s="25" t="str">
        <f t="shared" si="2"/>
        <v/>
      </c>
      <c r="K77" s="26"/>
      <c r="L77" s="26"/>
      <c r="M77" s="26"/>
      <c r="N77" s="27"/>
    </row>
    <row r="78">
      <c r="A78" s="21" t="str">
        <f t="shared" si="1"/>
        <v/>
      </c>
      <c r="B78" s="22" t="str">
        <f>IFERROR(__xludf.DUMMYFUNCTION("IF(C78="""","""",ROMAN(COUNTUNIQUE($C$6:C78)))"),"")</f>
        <v/>
      </c>
      <c r="C78" s="31"/>
      <c r="D78" s="32"/>
      <c r="E78" s="22" t="str">
        <f>IFERROR(__xludf.DUMMYFUNCTION("IF(F78="""","""",LEFT(ADDRESS(1,COUNTUNIQUE($F$6:F78),4)))"),"")</f>
        <v/>
      </c>
      <c r="F78" s="31"/>
      <c r="G78" s="32"/>
      <c r="H78" s="22" t="str">
        <f>IFERROR(__xludf.DUMMYFUNCTION("IF(I78="""","""",COUNTUNIQUE($I$6:I78))"),"")</f>
        <v/>
      </c>
      <c r="I78" s="31"/>
      <c r="J78" s="25" t="str">
        <f t="shared" si="2"/>
        <v/>
      </c>
      <c r="K78" s="26"/>
      <c r="L78" s="26"/>
      <c r="M78" s="26"/>
      <c r="N78" s="27"/>
    </row>
    <row r="79">
      <c r="A79" s="21" t="str">
        <f t="shared" si="1"/>
        <v/>
      </c>
      <c r="B79" s="22" t="str">
        <f>IFERROR(__xludf.DUMMYFUNCTION("IF(C79="""","""",ROMAN(COUNTUNIQUE($C$6:C79)))"),"")</f>
        <v/>
      </c>
      <c r="C79" s="31"/>
      <c r="D79" s="32"/>
      <c r="E79" s="22" t="str">
        <f>IFERROR(__xludf.DUMMYFUNCTION("IF(F79="""","""",LEFT(ADDRESS(1,COUNTUNIQUE($F$6:F79),4)))"),"")</f>
        <v/>
      </c>
      <c r="F79" s="31"/>
      <c r="G79" s="32"/>
      <c r="H79" s="22" t="str">
        <f>IFERROR(__xludf.DUMMYFUNCTION("IF(I79="""","""",COUNTUNIQUE($I$6:I79))"),"")</f>
        <v/>
      </c>
      <c r="I79" s="31"/>
      <c r="J79" s="25" t="str">
        <f t="shared" si="2"/>
        <v/>
      </c>
      <c r="K79" s="26"/>
      <c r="L79" s="26"/>
      <c r="M79" s="26"/>
      <c r="N79" s="27"/>
    </row>
    <row r="80">
      <c r="A80" s="21" t="str">
        <f t="shared" si="1"/>
        <v/>
      </c>
      <c r="B80" s="22" t="str">
        <f>IFERROR(__xludf.DUMMYFUNCTION("IF(C80="""","""",ROMAN(COUNTUNIQUE($C$6:C80)))"),"")</f>
        <v/>
      </c>
      <c r="C80" s="31"/>
      <c r="D80" s="32"/>
      <c r="E80" s="22" t="str">
        <f>IFERROR(__xludf.DUMMYFUNCTION("IF(F80="""","""",LEFT(ADDRESS(1,COUNTUNIQUE($F$6:F80),4)))"),"")</f>
        <v/>
      </c>
      <c r="F80" s="31"/>
      <c r="G80" s="32"/>
      <c r="H80" s="22" t="str">
        <f>IFERROR(__xludf.DUMMYFUNCTION("IF(I80="""","""",COUNTUNIQUE($I$6:I80))"),"")</f>
        <v/>
      </c>
      <c r="I80" s="31"/>
      <c r="J80" s="25" t="str">
        <f t="shared" si="2"/>
        <v/>
      </c>
      <c r="K80" s="26"/>
      <c r="L80" s="26"/>
      <c r="M80" s="26"/>
      <c r="N80" s="27"/>
    </row>
    <row r="81">
      <c r="A81" s="21" t="str">
        <f t="shared" si="1"/>
        <v/>
      </c>
      <c r="B81" s="22" t="str">
        <f>IFERROR(__xludf.DUMMYFUNCTION("IF(C81="""","""",ROMAN(COUNTUNIQUE($C$6:C81)))"),"")</f>
        <v/>
      </c>
      <c r="C81" s="31"/>
      <c r="D81" s="32"/>
      <c r="E81" s="22" t="str">
        <f>IFERROR(__xludf.DUMMYFUNCTION("IF(F81="""","""",LEFT(ADDRESS(1,COUNTUNIQUE($F$6:F81),4)))"),"")</f>
        <v/>
      </c>
      <c r="F81" s="31"/>
      <c r="G81" s="32"/>
      <c r="H81" s="22" t="str">
        <f>IFERROR(__xludf.DUMMYFUNCTION("IF(I81="""","""",COUNTUNIQUE($I$6:I81))"),"")</f>
        <v/>
      </c>
      <c r="I81" s="31"/>
      <c r="J81" s="25" t="str">
        <f t="shared" si="2"/>
        <v/>
      </c>
      <c r="K81" s="26"/>
      <c r="L81" s="26"/>
      <c r="M81" s="26"/>
      <c r="N81" s="27"/>
    </row>
    <row r="82">
      <c r="A82" s="21" t="str">
        <f t="shared" si="1"/>
        <v/>
      </c>
      <c r="B82" s="22" t="str">
        <f>IFERROR(__xludf.DUMMYFUNCTION("IF(C82="""","""",ROMAN(COUNTUNIQUE($C$6:C82)))"),"")</f>
        <v/>
      </c>
      <c r="C82" s="31"/>
      <c r="D82" s="32"/>
      <c r="E82" s="22" t="str">
        <f>IFERROR(__xludf.DUMMYFUNCTION("IF(F82="""","""",LEFT(ADDRESS(1,COUNTUNIQUE($F$6:F82),4)))"),"")</f>
        <v/>
      </c>
      <c r="F82" s="31"/>
      <c r="G82" s="32"/>
      <c r="H82" s="22" t="str">
        <f>IFERROR(__xludf.DUMMYFUNCTION("IF(I82="""","""",COUNTUNIQUE($I$6:I82))"),"")</f>
        <v/>
      </c>
      <c r="I82" s="31"/>
      <c r="J82" s="25" t="str">
        <f t="shared" si="2"/>
        <v/>
      </c>
      <c r="K82" s="26"/>
      <c r="L82" s="26"/>
      <c r="M82" s="26"/>
      <c r="N82" s="27"/>
    </row>
    <row r="83">
      <c r="A83" s="21" t="str">
        <f t="shared" si="1"/>
        <v/>
      </c>
      <c r="B83" s="22" t="str">
        <f>IFERROR(__xludf.DUMMYFUNCTION("IF(C83="""","""",ROMAN(COUNTUNIQUE($C$6:C83)))"),"")</f>
        <v/>
      </c>
      <c r="C83" s="31"/>
      <c r="D83" s="32"/>
      <c r="E83" s="22" t="str">
        <f>IFERROR(__xludf.DUMMYFUNCTION("IF(F83="""","""",LEFT(ADDRESS(1,COUNTUNIQUE($F$6:F83),4)))"),"")</f>
        <v/>
      </c>
      <c r="F83" s="31"/>
      <c r="G83" s="32"/>
      <c r="H83" s="22" t="str">
        <f>IFERROR(__xludf.DUMMYFUNCTION("IF(I83="""","""",COUNTUNIQUE($I$6:I83))"),"")</f>
        <v/>
      </c>
      <c r="I83" s="31"/>
      <c r="J83" s="25" t="str">
        <f t="shared" si="2"/>
        <v/>
      </c>
      <c r="K83" s="26"/>
      <c r="L83" s="26"/>
      <c r="M83" s="26"/>
      <c r="N83" s="27"/>
    </row>
    <row r="84">
      <c r="A84" s="21" t="str">
        <f t="shared" si="1"/>
        <v/>
      </c>
      <c r="B84" s="22" t="str">
        <f>IFERROR(__xludf.DUMMYFUNCTION("IF(C84="""","""",ROMAN(COUNTUNIQUE($C$6:C84)))"),"")</f>
        <v/>
      </c>
      <c r="C84" s="31"/>
      <c r="D84" s="32"/>
      <c r="E84" s="22" t="str">
        <f>IFERROR(__xludf.DUMMYFUNCTION("IF(F84="""","""",LEFT(ADDRESS(1,COUNTUNIQUE($F$6:F84),4)))"),"")</f>
        <v/>
      </c>
      <c r="F84" s="31"/>
      <c r="G84" s="32"/>
      <c r="H84" s="22" t="str">
        <f>IFERROR(__xludf.DUMMYFUNCTION("IF(I84="""","""",COUNTUNIQUE($I$6:I84))"),"")</f>
        <v/>
      </c>
      <c r="I84" s="31"/>
      <c r="J84" s="25" t="str">
        <f t="shared" si="2"/>
        <v/>
      </c>
      <c r="K84" s="26"/>
      <c r="L84" s="26"/>
      <c r="M84" s="26"/>
      <c r="N84" s="27"/>
    </row>
    <row r="85">
      <c r="A85" s="21" t="str">
        <f t="shared" si="1"/>
        <v/>
      </c>
      <c r="B85" s="22" t="str">
        <f>IFERROR(__xludf.DUMMYFUNCTION("IF(C85="""","""",ROMAN(COUNTUNIQUE($C$6:C85)))"),"")</f>
        <v/>
      </c>
      <c r="C85" s="31"/>
      <c r="D85" s="32"/>
      <c r="E85" s="22" t="str">
        <f>IFERROR(__xludf.DUMMYFUNCTION("IF(F85="""","""",LEFT(ADDRESS(1,COUNTUNIQUE($F$6:F85),4)))"),"")</f>
        <v/>
      </c>
      <c r="F85" s="31"/>
      <c r="G85" s="32"/>
      <c r="H85" s="22" t="str">
        <f>IFERROR(__xludf.DUMMYFUNCTION("IF(I85="""","""",COUNTUNIQUE($I$6:I85))"),"")</f>
        <v/>
      </c>
      <c r="I85" s="31"/>
      <c r="J85" s="25" t="str">
        <f t="shared" si="2"/>
        <v/>
      </c>
      <c r="K85" s="26"/>
      <c r="L85" s="26"/>
      <c r="M85" s="26"/>
      <c r="N85" s="27"/>
    </row>
    <row r="86">
      <c r="A86" s="21" t="str">
        <f t="shared" si="1"/>
        <v/>
      </c>
      <c r="B86" s="22" t="str">
        <f>IFERROR(__xludf.DUMMYFUNCTION("IF(C86="""","""",ROMAN(COUNTUNIQUE($C$6:C86)))"),"")</f>
        <v/>
      </c>
      <c r="C86" s="31"/>
      <c r="D86" s="32"/>
      <c r="E86" s="22" t="str">
        <f>IFERROR(__xludf.DUMMYFUNCTION("IF(F86="""","""",LEFT(ADDRESS(1,COUNTUNIQUE($F$6:F86),4)))"),"")</f>
        <v/>
      </c>
      <c r="F86" s="31"/>
      <c r="G86" s="32"/>
      <c r="H86" s="22" t="str">
        <f>IFERROR(__xludf.DUMMYFUNCTION("IF(I86="""","""",COUNTUNIQUE($I$6:I86))"),"")</f>
        <v/>
      </c>
      <c r="I86" s="31"/>
      <c r="J86" s="25" t="str">
        <f t="shared" si="2"/>
        <v/>
      </c>
      <c r="K86" s="26"/>
      <c r="L86" s="26"/>
      <c r="M86" s="26"/>
      <c r="N86" s="27"/>
    </row>
    <row r="87">
      <c r="A87" s="21" t="str">
        <f t="shared" si="1"/>
        <v/>
      </c>
      <c r="B87" s="22" t="str">
        <f>IFERROR(__xludf.DUMMYFUNCTION("IF(C87="""","""",ROMAN(COUNTUNIQUE($C$6:C87)))"),"")</f>
        <v/>
      </c>
      <c r="C87" s="31"/>
      <c r="D87" s="32"/>
      <c r="E87" s="22" t="str">
        <f>IFERROR(__xludf.DUMMYFUNCTION("IF(F87="""","""",LEFT(ADDRESS(1,COUNTUNIQUE($F$6:F87),4)))"),"")</f>
        <v/>
      </c>
      <c r="F87" s="31"/>
      <c r="G87" s="32"/>
      <c r="H87" s="22" t="str">
        <f>IFERROR(__xludf.DUMMYFUNCTION("IF(I87="""","""",COUNTUNIQUE($I$6:I87))"),"")</f>
        <v/>
      </c>
      <c r="I87" s="31"/>
      <c r="J87" s="25" t="str">
        <f t="shared" si="2"/>
        <v/>
      </c>
      <c r="K87" s="26"/>
      <c r="L87" s="26"/>
      <c r="M87" s="26"/>
      <c r="N87" s="27"/>
    </row>
    <row r="88">
      <c r="A88" s="21" t="str">
        <f t="shared" si="1"/>
        <v/>
      </c>
      <c r="B88" s="22" t="str">
        <f>IFERROR(__xludf.DUMMYFUNCTION("IF(C88="""","""",ROMAN(COUNTUNIQUE($C$6:C88)))"),"")</f>
        <v/>
      </c>
      <c r="C88" s="31"/>
      <c r="D88" s="32"/>
      <c r="E88" s="22" t="str">
        <f>IFERROR(__xludf.DUMMYFUNCTION("IF(F88="""","""",LEFT(ADDRESS(1,COUNTUNIQUE($F$6:F88),4)))"),"")</f>
        <v/>
      </c>
      <c r="F88" s="31"/>
      <c r="G88" s="32"/>
      <c r="H88" s="22" t="str">
        <f>IFERROR(__xludf.DUMMYFUNCTION("IF(I88="""","""",COUNTUNIQUE($I$6:I88))"),"")</f>
        <v/>
      </c>
      <c r="I88" s="31"/>
      <c r="J88" s="25" t="str">
        <f t="shared" si="2"/>
        <v/>
      </c>
      <c r="K88" s="26"/>
      <c r="L88" s="26"/>
      <c r="M88" s="26"/>
      <c r="N88" s="27"/>
    </row>
    <row r="89">
      <c r="A89" s="21" t="str">
        <f t="shared" si="1"/>
        <v/>
      </c>
      <c r="B89" s="22" t="str">
        <f>IFERROR(__xludf.DUMMYFUNCTION("IF(C89="""","""",ROMAN(COUNTUNIQUE($C$6:C89)))"),"")</f>
        <v/>
      </c>
      <c r="C89" s="31"/>
      <c r="D89" s="32"/>
      <c r="E89" s="22" t="str">
        <f>IFERROR(__xludf.DUMMYFUNCTION("IF(F89="""","""",LEFT(ADDRESS(1,COUNTUNIQUE($F$6:F89),4)))"),"")</f>
        <v/>
      </c>
      <c r="F89" s="31"/>
      <c r="G89" s="32"/>
      <c r="H89" s="22" t="str">
        <f>IFERROR(__xludf.DUMMYFUNCTION("IF(I89="""","""",COUNTUNIQUE($I$6:I89))"),"")</f>
        <v/>
      </c>
      <c r="I89" s="31"/>
      <c r="J89" s="25" t="str">
        <f t="shared" si="2"/>
        <v/>
      </c>
      <c r="K89" s="26"/>
      <c r="L89" s="26"/>
      <c r="M89" s="26"/>
      <c r="N89" s="27"/>
    </row>
    <row r="90">
      <c r="A90" s="21" t="str">
        <f t="shared" si="1"/>
        <v/>
      </c>
      <c r="B90" s="22" t="str">
        <f>IFERROR(__xludf.DUMMYFUNCTION("IF(C90="""","""",ROMAN(COUNTUNIQUE($C$6:C90)))"),"")</f>
        <v/>
      </c>
      <c r="C90" s="31"/>
      <c r="D90" s="32"/>
      <c r="E90" s="22" t="str">
        <f>IFERROR(__xludf.DUMMYFUNCTION("IF(F90="""","""",LEFT(ADDRESS(1,COUNTUNIQUE($F$6:F90),4)))"),"")</f>
        <v/>
      </c>
      <c r="F90" s="31"/>
      <c r="G90" s="32"/>
      <c r="H90" s="22" t="str">
        <f>IFERROR(__xludf.DUMMYFUNCTION("IF(I90="""","""",COUNTUNIQUE($I$6:I90))"),"")</f>
        <v/>
      </c>
      <c r="I90" s="31"/>
      <c r="J90" s="25" t="str">
        <f t="shared" si="2"/>
        <v/>
      </c>
      <c r="K90" s="26"/>
      <c r="L90" s="26"/>
      <c r="M90" s="26"/>
      <c r="N90" s="27"/>
    </row>
    <row r="91">
      <c r="A91" s="21" t="str">
        <f t="shared" si="1"/>
        <v/>
      </c>
      <c r="B91" s="22" t="str">
        <f>IFERROR(__xludf.DUMMYFUNCTION("IF(C91="""","""",ROMAN(COUNTUNIQUE($C$6:C91)))"),"")</f>
        <v/>
      </c>
      <c r="C91" s="31"/>
      <c r="D91" s="32"/>
      <c r="E91" s="22" t="str">
        <f>IFERROR(__xludf.DUMMYFUNCTION("IF(F91="""","""",LEFT(ADDRESS(1,COUNTUNIQUE($F$6:F91),4)))"),"")</f>
        <v/>
      </c>
      <c r="F91" s="31"/>
      <c r="G91" s="32"/>
      <c r="H91" s="22" t="str">
        <f>IFERROR(__xludf.DUMMYFUNCTION("IF(I91="""","""",COUNTUNIQUE($I$6:I91))"),"")</f>
        <v/>
      </c>
      <c r="I91" s="31"/>
      <c r="J91" s="25" t="str">
        <f t="shared" si="2"/>
        <v/>
      </c>
      <c r="K91" s="26"/>
      <c r="L91" s="26"/>
      <c r="M91" s="26"/>
      <c r="N91" s="27"/>
    </row>
    <row r="92">
      <c r="A92" s="21" t="str">
        <f t="shared" si="1"/>
        <v/>
      </c>
      <c r="B92" s="22" t="str">
        <f>IFERROR(__xludf.DUMMYFUNCTION("IF(C92="""","""",ROMAN(COUNTUNIQUE($C$6:C92)))"),"")</f>
        <v/>
      </c>
      <c r="C92" s="31"/>
      <c r="D92" s="32"/>
      <c r="E92" s="22" t="str">
        <f>IFERROR(__xludf.DUMMYFUNCTION("IF(F92="""","""",LEFT(ADDRESS(1,COUNTUNIQUE($F$6:F92),4)))"),"")</f>
        <v/>
      </c>
      <c r="F92" s="31"/>
      <c r="G92" s="32"/>
      <c r="H92" s="22" t="str">
        <f>IFERROR(__xludf.DUMMYFUNCTION("IF(I92="""","""",COUNTUNIQUE($I$6:I92))"),"")</f>
        <v/>
      </c>
      <c r="I92" s="31"/>
      <c r="J92" s="25" t="str">
        <f t="shared" si="2"/>
        <v/>
      </c>
      <c r="K92" s="26"/>
      <c r="L92" s="26"/>
      <c r="M92" s="26"/>
      <c r="N92" s="27"/>
    </row>
    <row r="93">
      <c r="A93" s="21" t="str">
        <f t="shared" si="1"/>
        <v/>
      </c>
      <c r="B93" s="22" t="str">
        <f>IFERROR(__xludf.DUMMYFUNCTION("IF(C93="""","""",ROMAN(COUNTUNIQUE($C$6:C93)))"),"")</f>
        <v/>
      </c>
      <c r="C93" s="31"/>
      <c r="D93" s="32"/>
      <c r="E93" s="22" t="str">
        <f>IFERROR(__xludf.DUMMYFUNCTION("IF(F93="""","""",LEFT(ADDRESS(1,COUNTUNIQUE($F$6:F93),4)))"),"")</f>
        <v/>
      </c>
      <c r="F93" s="31"/>
      <c r="G93" s="32"/>
      <c r="H93" s="22" t="str">
        <f>IFERROR(__xludf.DUMMYFUNCTION("IF(I93="""","""",COUNTUNIQUE($I$6:I93))"),"")</f>
        <v/>
      </c>
      <c r="I93" s="31"/>
      <c r="J93" s="25" t="str">
        <f t="shared" si="2"/>
        <v/>
      </c>
      <c r="K93" s="26"/>
      <c r="L93" s="26"/>
      <c r="M93" s="26"/>
      <c r="N93" s="27"/>
    </row>
    <row r="94">
      <c r="A94" s="21" t="str">
        <f t="shared" si="1"/>
        <v/>
      </c>
      <c r="B94" s="22" t="str">
        <f>IFERROR(__xludf.DUMMYFUNCTION("IF(C94="""","""",ROMAN(COUNTUNIQUE($C$6:C94)))"),"")</f>
        <v/>
      </c>
      <c r="C94" s="31"/>
      <c r="D94" s="32"/>
      <c r="E94" s="22" t="str">
        <f>IFERROR(__xludf.DUMMYFUNCTION("IF(F94="""","""",LEFT(ADDRESS(1,COUNTUNIQUE($F$6:F94),4)))"),"")</f>
        <v/>
      </c>
      <c r="F94" s="31"/>
      <c r="G94" s="32"/>
      <c r="H94" s="22" t="str">
        <f>IFERROR(__xludf.DUMMYFUNCTION("IF(I94="""","""",COUNTUNIQUE($I$6:I94))"),"")</f>
        <v/>
      </c>
      <c r="I94" s="31"/>
      <c r="J94" s="25" t="str">
        <f t="shared" si="2"/>
        <v/>
      </c>
      <c r="K94" s="26"/>
      <c r="L94" s="26"/>
      <c r="M94" s="26"/>
      <c r="N94" s="27"/>
    </row>
    <row r="95">
      <c r="A95" s="21" t="str">
        <f t="shared" si="1"/>
        <v/>
      </c>
      <c r="B95" s="22" t="str">
        <f>IFERROR(__xludf.DUMMYFUNCTION("IF(C95="""","""",ROMAN(COUNTUNIQUE($C$6:C95)))"),"")</f>
        <v/>
      </c>
      <c r="C95" s="31"/>
      <c r="D95" s="32"/>
      <c r="E95" s="22" t="str">
        <f>IFERROR(__xludf.DUMMYFUNCTION("IF(F95="""","""",LEFT(ADDRESS(1,COUNTUNIQUE($F$6:F95),4)))"),"")</f>
        <v/>
      </c>
      <c r="F95" s="31"/>
      <c r="G95" s="32"/>
      <c r="H95" s="22" t="str">
        <f>IFERROR(__xludf.DUMMYFUNCTION("IF(I95="""","""",COUNTUNIQUE($I$6:I95))"),"")</f>
        <v/>
      </c>
      <c r="I95" s="31"/>
      <c r="J95" s="25" t="str">
        <f t="shared" si="2"/>
        <v/>
      </c>
      <c r="K95" s="26"/>
      <c r="L95" s="26"/>
      <c r="M95" s="26"/>
      <c r="N95" s="27"/>
    </row>
    <row r="96">
      <c r="A96" s="21" t="str">
        <f t="shared" si="1"/>
        <v/>
      </c>
      <c r="B96" s="22" t="str">
        <f>IFERROR(__xludf.DUMMYFUNCTION("IF(C96="""","""",ROMAN(COUNTUNIQUE($C$6:C96)))"),"")</f>
        <v/>
      </c>
      <c r="C96" s="31"/>
      <c r="D96" s="32"/>
      <c r="E96" s="22" t="str">
        <f>IFERROR(__xludf.DUMMYFUNCTION("IF(F96="""","""",LEFT(ADDRESS(1,COUNTUNIQUE($F$6:F96),4)))"),"")</f>
        <v/>
      </c>
      <c r="F96" s="31"/>
      <c r="G96" s="32"/>
      <c r="H96" s="22" t="str">
        <f>IFERROR(__xludf.DUMMYFUNCTION("IF(I96="""","""",COUNTUNIQUE($I$6:I96))"),"")</f>
        <v/>
      </c>
      <c r="I96" s="31"/>
      <c r="J96" s="25" t="str">
        <f t="shared" si="2"/>
        <v/>
      </c>
      <c r="K96" s="26"/>
      <c r="L96" s="26"/>
      <c r="M96" s="26"/>
      <c r="N96" s="27"/>
    </row>
    <row r="97">
      <c r="A97" s="21" t="str">
        <f t="shared" si="1"/>
        <v/>
      </c>
      <c r="B97" s="22" t="str">
        <f>IFERROR(__xludf.DUMMYFUNCTION("IF(C97="""","""",ROMAN(COUNTUNIQUE($C$6:C97)))"),"")</f>
        <v/>
      </c>
      <c r="C97" s="31"/>
      <c r="D97" s="32"/>
      <c r="E97" s="22" t="str">
        <f>IFERROR(__xludf.DUMMYFUNCTION("IF(F97="""","""",LEFT(ADDRESS(1,COUNTUNIQUE($F$6:F97),4)))"),"")</f>
        <v/>
      </c>
      <c r="F97" s="31"/>
      <c r="G97" s="32"/>
      <c r="H97" s="22" t="str">
        <f>IFERROR(__xludf.DUMMYFUNCTION("IF(I97="""","""",COUNTUNIQUE($I$6:I97))"),"")</f>
        <v/>
      </c>
      <c r="I97" s="31"/>
      <c r="J97" s="25" t="str">
        <f t="shared" si="2"/>
        <v/>
      </c>
      <c r="K97" s="26"/>
      <c r="L97" s="26"/>
      <c r="M97" s="26"/>
      <c r="N97" s="27"/>
    </row>
    <row r="98">
      <c r="A98" s="21" t="str">
        <f t="shared" si="1"/>
        <v/>
      </c>
      <c r="B98" s="22" t="str">
        <f>IFERROR(__xludf.DUMMYFUNCTION("IF(C98="""","""",ROMAN(COUNTUNIQUE($C$6:C98)))"),"")</f>
        <v/>
      </c>
      <c r="C98" s="31"/>
      <c r="D98" s="32"/>
      <c r="E98" s="22" t="str">
        <f>IFERROR(__xludf.DUMMYFUNCTION("IF(F98="""","""",LEFT(ADDRESS(1,COUNTUNIQUE($F$6:F98),4)))"),"")</f>
        <v/>
      </c>
      <c r="F98" s="31"/>
      <c r="G98" s="32"/>
      <c r="H98" s="22" t="str">
        <f>IFERROR(__xludf.DUMMYFUNCTION("IF(I98="""","""",COUNTUNIQUE($I$6:I98))"),"")</f>
        <v/>
      </c>
      <c r="I98" s="31"/>
      <c r="J98" s="25" t="str">
        <f t="shared" si="2"/>
        <v/>
      </c>
      <c r="K98" s="26"/>
      <c r="L98" s="26"/>
      <c r="M98" s="26"/>
      <c r="N98" s="27"/>
    </row>
    <row r="99">
      <c r="A99" s="21" t="str">
        <f t="shared" si="1"/>
        <v/>
      </c>
      <c r="B99" s="22" t="str">
        <f>IFERROR(__xludf.DUMMYFUNCTION("IF(C99="""","""",ROMAN(COUNTUNIQUE($C$6:C99)))"),"")</f>
        <v/>
      </c>
      <c r="C99" s="31"/>
      <c r="D99" s="32"/>
      <c r="E99" s="22" t="str">
        <f>IFERROR(__xludf.DUMMYFUNCTION("IF(F99="""","""",LEFT(ADDRESS(1,COUNTUNIQUE($F$6:F99),4)))"),"")</f>
        <v/>
      </c>
      <c r="F99" s="31"/>
      <c r="G99" s="32"/>
      <c r="H99" s="22" t="str">
        <f>IFERROR(__xludf.DUMMYFUNCTION("IF(I99="""","""",COUNTUNIQUE($I$6:I99))"),"")</f>
        <v/>
      </c>
      <c r="I99" s="31"/>
      <c r="J99" s="25" t="str">
        <f t="shared" si="2"/>
        <v/>
      </c>
      <c r="K99" s="26"/>
      <c r="L99" s="26"/>
      <c r="M99" s="26"/>
      <c r="N99" s="27"/>
    </row>
    <row r="100">
      <c r="A100" s="21" t="str">
        <f t="shared" si="1"/>
        <v/>
      </c>
      <c r="B100" s="22" t="str">
        <f>IFERROR(__xludf.DUMMYFUNCTION("IF(C100="""","""",ROMAN(COUNTUNIQUE($C$6:C100)))"),"")</f>
        <v/>
      </c>
      <c r="C100" s="31"/>
      <c r="D100" s="32"/>
      <c r="E100" s="22" t="str">
        <f>IFERROR(__xludf.DUMMYFUNCTION("IF(F100="""","""",LEFT(ADDRESS(1,COUNTUNIQUE($F$6:F100),4)))"),"")</f>
        <v/>
      </c>
      <c r="F100" s="31"/>
      <c r="G100" s="32"/>
      <c r="H100" s="22" t="str">
        <f>IFERROR(__xludf.DUMMYFUNCTION("IF(I100="""","""",COUNTUNIQUE($I$6:I100))"),"")</f>
        <v/>
      </c>
      <c r="I100" s="31"/>
      <c r="J100" s="25" t="str">
        <f t="shared" si="2"/>
        <v/>
      </c>
      <c r="K100" s="26"/>
      <c r="L100" s="26"/>
      <c r="M100" s="26"/>
      <c r="N100" s="27"/>
    </row>
    <row r="101">
      <c r="A101" s="21" t="str">
        <f t="shared" si="1"/>
        <v/>
      </c>
      <c r="B101" s="22" t="str">
        <f>IFERROR(__xludf.DUMMYFUNCTION("IF(C101="""","""",ROMAN(COUNTUNIQUE($C$6:C101)))"),"")</f>
        <v/>
      </c>
      <c r="C101" s="31"/>
      <c r="D101" s="32"/>
      <c r="E101" s="22" t="str">
        <f>IFERROR(__xludf.DUMMYFUNCTION("IF(F101="""","""",LEFT(ADDRESS(1,COUNTUNIQUE($F$6:F101),4)))"),"")</f>
        <v/>
      </c>
      <c r="F101" s="31"/>
      <c r="G101" s="32"/>
      <c r="H101" s="22" t="str">
        <f>IFERROR(__xludf.DUMMYFUNCTION("IF(I101="""","""",COUNTUNIQUE($I$6:I101))"),"")</f>
        <v/>
      </c>
      <c r="I101" s="31"/>
      <c r="J101" s="25" t="str">
        <f t="shared" si="2"/>
        <v/>
      </c>
      <c r="K101" s="26"/>
      <c r="L101" s="26"/>
      <c r="M101" s="26"/>
      <c r="N101" s="27"/>
    </row>
    <row r="102">
      <c r="A102" s="21" t="str">
        <f t="shared" si="1"/>
        <v/>
      </c>
      <c r="B102" s="22" t="str">
        <f>IFERROR(__xludf.DUMMYFUNCTION("IF(C102="""","""",ROMAN(COUNTUNIQUE($C$6:C102)))"),"")</f>
        <v/>
      </c>
      <c r="C102" s="31"/>
      <c r="D102" s="32"/>
      <c r="E102" s="22" t="str">
        <f>IFERROR(__xludf.DUMMYFUNCTION("IF(F102="""","""",LEFT(ADDRESS(1,COUNTUNIQUE($F$6:F102),4)))"),"")</f>
        <v/>
      </c>
      <c r="F102" s="31"/>
      <c r="G102" s="32"/>
      <c r="H102" s="22" t="str">
        <f>IFERROR(__xludf.DUMMYFUNCTION("IF(I102="""","""",COUNTUNIQUE($I$6:I102))"),"")</f>
        <v/>
      </c>
      <c r="I102" s="31"/>
      <c r="J102" s="25" t="str">
        <f t="shared" si="2"/>
        <v/>
      </c>
      <c r="K102" s="26"/>
      <c r="L102" s="26"/>
      <c r="M102" s="26"/>
      <c r="N102" s="27"/>
    </row>
    <row r="103">
      <c r="A103" s="21" t="str">
        <f t="shared" si="1"/>
        <v/>
      </c>
      <c r="B103" s="22" t="str">
        <f>IFERROR(__xludf.DUMMYFUNCTION("IF(C103="""","""",ROMAN(COUNTUNIQUE($C$6:C103)))"),"")</f>
        <v/>
      </c>
      <c r="C103" s="31"/>
      <c r="D103" s="32"/>
      <c r="E103" s="22" t="str">
        <f>IFERROR(__xludf.DUMMYFUNCTION("IF(F103="""","""",LEFT(ADDRESS(1,COUNTUNIQUE($F$6:F103),4)))"),"")</f>
        <v/>
      </c>
      <c r="F103" s="31"/>
      <c r="G103" s="32"/>
      <c r="H103" s="22" t="str">
        <f>IFERROR(__xludf.DUMMYFUNCTION("IF(I103="""","""",COUNTUNIQUE($I$6:I103))"),"")</f>
        <v/>
      </c>
      <c r="I103" s="31"/>
      <c r="J103" s="25" t="str">
        <f t="shared" si="2"/>
        <v/>
      </c>
      <c r="K103" s="26"/>
      <c r="L103" s="26"/>
      <c r="M103" s="26"/>
      <c r="N103" s="27"/>
    </row>
    <row r="104">
      <c r="A104" s="21" t="str">
        <f t="shared" si="1"/>
        <v/>
      </c>
      <c r="B104" s="22" t="str">
        <f>IFERROR(__xludf.DUMMYFUNCTION("IF(C104="""","""",ROMAN(COUNTUNIQUE($C$6:C104)))"),"")</f>
        <v/>
      </c>
      <c r="C104" s="31"/>
      <c r="D104" s="32"/>
      <c r="E104" s="22" t="str">
        <f>IFERROR(__xludf.DUMMYFUNCTION("IF(F104="""","""",LEFT(ADDRESS(1,COUNTUNIQUE($F$6:F104),4)))"),"")</f>
        <v/>
      </c>
      <c r="F104" s="31"/>
      <c r="G104" s="32"/>
      <c r="H104" s="22" t="str">
        <f>IFERROR(__xludf.DUMMYFUNCTION("IF(I104="""","""",COUNTUNIQUE($I$6:I104))"),"")</f>
        <v/>
      </c>
      <c r="I104" s="31"/>
      <c r="J104" s="25" t="str">
        <f t="shared" si="2"/>
        <v/>
      </c>
      <c r="K104" s="26"/>
      <c r="L104" s="26"/>
      <c r="M104" s="26"/>
      <c r="N104" s="27"/>
    </row>
    <row r="105">
      <c r="A105" s="21" t="str">
        <f t="shared" si="1"/>
        <v/>
      </c>
      <c r="B105" s="22" t="str">
        <f>IFERROR(__xludf.DUMMYFUNCTION("IF(C105="""","""",ROMAN(COUNTUNIQUE($C$6:C105)))"),"")</f>
        <v/>
      </c>
      <c r="C105" s="31"/>
      <c r="D105" s="32"/>
      <c r="E105" s="22" t="str">
        <f>IFERROR(__xludf.DUMMYFUNCTION("IF(F105="""","""",LEFT(ADDRESS(1,COUNTUNIQUE($F$6:F105),4)))"),"")</f>
        <v/>
      </c>
      <c r="F105" s="31"/>
      <c r="G105" s="32"/>
      <c r="H105" s="22" t="str">
        <f>IFERROR(__xludf.DUMMYFUNCTION("IF(I105="""","""",COUNTUNIQUE($I$6:I105))"),"")</f>
        <v/>
      </c>
      <c r="I105" s="31"/>
      <c r="J105" s="25" t="str">
        <f t="shared" si="2"/>
        <v/>
      </c>
      <c r="K105" s="26"/>
      <c r="L105" s="26"/>
      <c r="M105" s="26"/>
      <c r="N105" s="27"/>
    </row>
    <row r="106">
      <c r="A106" s="21" t="str">
        <f t="shared" si="1"/>
        <v/>
      </c>
      <c r="B106" s="22" t="str">
        <f>IFERROR(__xludf.DUMMYFUNCTION("IF(C106="""","""",ROMAN(COUNTUNIQUE($C$6:C106)))"),"")</f>
        <v/>
      </c>
      <c r="C106" s="31"/>
      <c r="D106" s="32"/>
      <c r="E106" s="22" t="str">
        <f>IFERROR(__xludf.DUMMYFUNCTION("IF(F106="""","""",LEFT(ADDRESS(1,COUNTUNIQUE($F$6:F106),4)))"),"")</f>
        <v/>
      </c>
      <c r="F106" s="31"/>
      <c r="G106" s="32"/>
      <c r="H106" s="22" t="str">
        <f>IFERROR(__xludf.DUMMYFUNCTION("IF(I106="""","""",COUNTUNIQUE($I$6:I106))"),"")</f>
        <v/>
      </c>
      <c r="I106" s="31"/>
      <c r="J106" s="25" t="str">
        <f t="shared" si="2"/>
        <v/>
      </c>
      <c r="K106" s="26"/>
      <c r="L106" s="26"/>
      <c r="M106" s="26"/>
      <c r="N106" s="27"/>
    </row>
    <row r="107">
      <c r="A107" s="21" t="str">
        <f t="shared" si="1"/>
        <v/>
      </c>
      <c r="B107" s="22" t="str">
        <f>IFERROR(__xludf.DUMMYFUNCTION("IF(C107="""","""",ROMAN(COUNTUNIQUE($C$6:C107)))"),"")</f>
        <v/>
      </c>
      <c r="C107" s="31"/>
      <c r="D107" s="32"/>
      <c r="E107" s="22" t="str">
        <f>IFERROR(__xludf.DUMMYFUNCTION("IF(F107="""","""",LEFT(ADDRESS(1,COUNTUNIQUE($F$6:F107),4)))"),"")</f>
        <v/>
      </c>
      <c r="F107" s="31"/>
      <c r="G107" s="32"/>
      <c r="H107" s="22" t="str">
        <f>IFERROR(__xludf.DUMMYFUNCTION("IF(I107="""","""",COUNTUNIQUE($I$6:I107))"),"")</f>
        <v/>
      </c>
      <c r="I107" s="31"/>
      <c r="J107" s="25" t="str">
        <f t="shared" si="2"/>
        <v/>
      </c>
      <c r="K107" s="26"/>
      <c r="L107" s="26"/>
      <c r="M107" s="26"/>
      <c r="N107" s="27"/>
    </row>
    <row r="108">
      <c r="A108" s="21" t="str">
        <f t="shared" si="1"/>
        <v/>
      </c>
      <c r="B108" s="22" t="str">
        <f>IFERROR(__xludf.DUMMYFUNCTION("IF(C108="""","""",ROMAN(COUNTUNIQUE($C$6:C108)))"),"")</f>
        <v/>
      </c>
      <c r="C108" s="31"/>
      <c r="D108" s="32"/>
      <c r="E108" s="22" t="str">
        <f>IFERROR(__xludf.DUMMYFUNCTION("IF(F108="""","""",LEFT(ADDRESS(1,COUNTUNIQUE($F$6:F108),4)))"),"")</f>
        <v/>
      </c>
      <c r="F108" s="31"/>
      <c r="G108" s="32"/>
      <c r="H108" s="22" t="str">
        <f>IFERROR(__xludf.DUMMYFUNCTION("IF(I108="""","""",COUNTUNIQUE($I$6:I108))"),"")</f>
        <v/>
      </c>
      <c r="I108" s="31"/>
      <c r="J108" s="25" t="str">
        <f t="shared" si="2"/>
        <v/>
      </c>
      <c r="K108" s="26"/>
      <c r="L108" s="26"/>
      <c r="M108" s="26"/>
      <c r="N108" s="27"/>
    </row>
    <row r="109">
      <c r="A109" s="21" t="str">
        <f t="shared" si="1"/>
        <v/>
      </c>
      <c r="B109" s="22" t="str">
        <f>IFERROR(__xludf.DUMMYFUNCTION("IF(C109="""","""",ROMAN(COUNTUNIQUE($C$6:C109)))"),"")</f>
        <v/>
      </c>
      <c r="C109" s="31"/>
      <c r="D109" s="32"/>
      <c r="E109" s="22" t="str">
        <f>IFERROR(__xludf.DUMMYFUNCTION("IF(F109="""","""",LEFT(ADDRESS(1,COUNTUNIQUE($F$6:F109),4)))"),"")</f>
        <v/>
      </c>
      <c r="F109" s="31"/>
      <c r="G109" s="32"/>
      <c r="H109" s="22" t="str">
        <f>IFERROR(__xludf.DUMMYFUNCTION("IF(I109="""","""",COUNTUNIQUE($I$6:I109))"),"")</f>
        <v/>
      </c>
      <c r="I109" s="31"/>
      <c r="J109" s="25" t="str">
        <f t="shared" si="2"/>
        <v/>
      </c>
      <c r="K109" s="26"/>
      <c r="L109" s="26"/>
      <c r="M109" s="26"/>
      <c r="N109" s="27"/>
    </row>
    <row r="110">
      <c r="A110" s="21" t="str">
        <f t="shared" si="1"/>
        <v/>
      </c>
      <c r="B110" s="22" t="str">
        <f>IFERROR(__xludf.DUMMYFUNCTION("IF(C110="""","""",ROMAN(COUNTUNIQUE($C$6:C110)))"),"")</f>
        <v/>
      </c>
      <c r="C110" s="31"/>
      <c r="D110" s="32"/>
      <c r="E110" s="22" t="str">
        <f>IFERROR(__xludf.DUMMYFUNCTION("IF(F110="""","""",LEFT(ADDRESS(1,COUNTUNIQUE($F$6:F110),4)))"),"")</f>
        <v/>
      </c>
      <c r="F110" s="31"/>
      <c r="G110" s="32"/>
      <c r="H110" s="22" t="str">
        <f>IFERROR(__xludf.DUMMYFUNCTION("IF(I110="""","""",COUNTUNIQUE($I$6:I110))"),"")</f>
        <v/>
      </c>
      <c r="I110" s="31"/>
      <c r="J110" s="25" t="str">
        <f t="shared" si="2"/>
        <v/>
      </c>
      <c r="K110" s="26"/>
      <c r="L110" s="26"/>
      <c r="M110" s="26"/>
      <c r="N110" s="27"/>
    </row>
    <row r="111">
      <c r="A111" s="21" t="str">
        <f t="shared" si="1"/>
        <v/>
      </c>
      <c r="B111" s="22" t="str">
        <f>IFERROR(__xludf.DUMMYFUNCTION("IF(C111="""","""",ROMAN(COUNTUNIQUE($C$6:C111)))"),"")</f>
        <v/>
      </c>
      <c r="C111" s="31"/>
      <c r="D111" s="32"/>
      <c r="E111" s="22" t="str">
        <f>IFERROR(__xludf.DUMMYFUNCTION("IF(F111="""","""",LEFT(ADDRESS(1,COUNTUNIQUE($F$6:F111),4)))"),"")</f>
        <v/>
      </c>
      <c r="F111" s="31"/>
      <c r="G111" s="32"/>
      <c r="H111" s="22" t="str">
        <f>IFERROR(__xludf.DUMMYFUNCTION("IF(I111="""","""",COUNTUNIQUE($I$6:I111))"),"")</f>
        <v/>
      </c>
      <c r="I111" s="31"/>
      <c r="J111" s="25" t="str">
        <f t="shared" si="2"/>
        <v/>
      </c>
      <c r="K111" s="26"/>
      <c r="L111" s="26"/>
      <c r="M111" s="26"/>
      <c r="N111" s="27"/>
    </row>
    <row r="112">
      <c r="A112" s="21" t="str">
        <f t="shared" si="1"/>
        <v/>
      </c>
      <c r="B112" s="22" t="str">
        <f>IFERROR(__xludf.DUMMYFUNCTION("IF(C112="""","""",ROMAN(COUNTUNIQUE($C$6:C112)))"),"")</f>
        <v/>
      </c>
      <c r="C112" s="31"/>
      <c r="D112" s="32"/>
      <c r="E112" s="22" t="str">
        <f>IFERROR(__xludf.DUMMYFUNCTION("IF(F112="""","""",LEFT(ADDRESS(1,COUNTUNIQUE($F$6:F112),4)))"),"")</f>
        <v/>
      </c>
      <c r="F112" s="31"/>
      <c r="G112" s="32"/>
      <c r="H112" s="22" t="str">
        <f>IFERROR(__xludf.DUMMYFUNCTION("IF(I112="""","""",COUNTUNIQUE($I$6:I112))"),"")</f>
        <v/>
      </c>
      <c r="I112" s="31"/>
      <c r="J112" s="25" t="str">
        <f t="shared" si="2"/>
        <v/>
      </c>
      <c r="K112" s="26"/>
      <c r="L112" s="26"/>
      <c r="M112" s="26"/>
      <c r="N112" s="27"/>
    </row>
    <row r="113">
      <c r="A113" s="21" t="str">
        <f t="shared" si="1"/>
        <v/>
      </c>
      <c r="B113" s="22" t="str">
        <f>IFERROR(__xludf.DUMMYFUNCTION("IF(C113="""","""",ROMAN(COUNTUNIQUE($C$6:C113)))"),"")</f>
        <v/>
      </c>
      <c r="C113" s="31"/>
      <c r="D113" s="32"/>
      <c r="E113" s="22" t="str">
        <f>IFERROR(__xludf.DUMMYFUNCTION("IF(F113="""","""",LEFT(ADDRESS(1,COUNTUNIQUE($F$6:F113),4)))"),"")</f>
        <v/>
      </c>
      <c r="F113" s="31"/>
      <c r="G113" s="32"/>
      <c r="H113" s="22" t="str">
        <f>IFERROR(__xludf.DUMMYFUNCTION("IF(I113="""","""",COUNTUNIQUE($I$6:I113))"),"")</f>
        <v/>
      </c>
      <c r="I113" s="31"/>
      <c r="J113" s="25" t="str">
        <f t="shared" si="2"/>
        <v/>
      </c>
      <c r="K113" s="26"/>
      <c r="L113" s="26"/>
      <c r="M113" s="26"/>
      <c r="N113" s="27"/>
    </row>
    <row r="114">
      <c r="A114" s="21" t="str">
        <f t="shared" si="1"/>
        <v/>
      </c>
      <c r="B114" s="22" t="str">
        <f>IFERROR(__xludf.DUMMYFUNCTION("IF(C114="""","""",ROMAN(COUNTUNIQUE($C$6:C114)))"),"")</f>
        <v/>
      </c>
      <c r="C114" s="31"/>
      <c r="D114" s="32"/>
      <c r="E114" s="22" t="str">
        <f>IFERROR(__xludf.DUMMYFUNCTION("IF(F114="""","""",LEFT(ADDRESS(1,COUNTUNIQUE($F$6:F114),4)))"),"")</f>
        <v/>
      </c>
      <c r="F114" s="31"/>
      <c r="G114" s="32"/>
      <c r="H114" s="22" t="str">
        <f>IFERROR(__xludf.DUMMYFUNCTION("IF(I114="""","""",COUNTUNIQUE($I$6:I114))"),"")</f>
        <v/>
      </c>
      <c r="I114" s="31"/>
      <c r="J114" s="25" t="str">
        <f t="shared" si="2"/>
        <v/>
      </c>
      <c r="K114" s="26"/>
      <c r="L114" s="26"/>
      <c r="M114" s="26"/>
      <c r="N114" s="27"/>
    </row>
    <row r="115">
      <c r="A115" s="21" t="str">
        <f t="shared" si="1"/>
        <v/>
      </c>
      <c r="B115" s="22" t="str">
        <f>IFERROR(__xludf.DUMMYFUNCTION("IF(C115="""","""",ROMAN(COUNTUNIQUE($C$6:C115)))"),"")</f>
        <v/>
      </c>
      <c r="C115" s="31"/>
      <c r="D115" s="32"/>
      <c r="E115" s="22" t="str">
        <f>IFERROR(__xludf.DUMMYFUNCTION("IF(F115="""","""",LEFT(ADDRESS(1,COUNTUNIQUE($F$6:F115),4)))"),"")</f>
        <v/>
      </c>
      <c r="F115" s="31"/>
      <c r="G115" s="32"/>
      <c r="H115" s="22" t="str">
        <f>IFERROR(__xludf.DUMMYFUNCTION("IF(I115="""","""",COUNTUNIQUE($I$6:I115))"),"")</f>
        <v/>
      </c>
      <c r="I115" s="31"/>
      <c r="J115" s="25" t="str">
        <f t="shared" si="2"/>
        <v/>
      </c>
      <c r="K115" s="26"/>
      <c r="L115" s="26"/>
      <c r="M115" s="26"/>
      <c r="N115" s="27"/>
    </row>
    <row r="116">
      <c r="A116" s="21" t="str">
        <f t="shared" si="1"/>
        <v/>
      </c>
      <c r="B116" s="22" t="str">
        <f>IFERROR(__xludf.DUMMYFUNCTION("IF(C116="""","""",ROMAN(COUNTUNIQUE($C$6:C116)))"),"")</f>
        <v/>
      </c>
      <c r="C116" s="31"/>
      <c r="D116" s="32"/>
      <c r="E116" s="22" t="str">
        <f>IFERROR(__xludf.DUMMYFUNCTION("IF(F116="""","""",LEFT(ADDRESS(1,COUNTUNIQUE($F$6:F116),4)))"),"")</f>
        <v/>
      </c>
      <c r="F116" s="31"/>
      <c r="G116" s="32"/>
      <c r="H116" s="22" t="str">
        <f>IFERROR(__xludf.DUMMYFUNCTION("IF(I116="""","""",COUNTUNIQUE($I$6:I116))"),"")</f>
        <v/>
      </c>
      <c r="I116" s="31"/>
      <c r="J116" s="25" t="str">
        <f t="shared" si="2"/>
        <v/>
      </c>
      <c r="K116" s="26"/>
      <c r="L116" s="26"/>
      <c r="M116" s="26"/>
      <c r="N116" s="27"/>
    </row>
    <row r="117">
      <c r="A117" s="21" t="str">
        <f t="shared" si="1"/>
        <v/>
      </c>
      <c r="B117" s="22" t="str">
        <f>IFERROR(__xludf.DUMMYFUNCTION("IF(C117="""","""",ROMAN(COUNTUNIQUE($C$6:C117)))"),"")</f>
        <v/>
      </c>
      <c r="C117" s="31"/>
      <c r="D117" s="32"/>
      <c r="E117" s="22" t="str">
        <f>IFERROR(__xludf.DUMMYFUNCTION("IF(F117="""","""",LEFT(ADDRESS(1,COUNTUNIQUE($F$6:F117),4)))"),"")</f>
        <v/>
      </c>
      <c r="F117" s="31"/>
      <c r="G117" s="32"/>
      <c r="H117" s="22" t="str">
        <f>IFERROR(__xludf.DUMMYFUNCTION("IF(I117="""","""",COUNTUNIQUE($I$6:I117))"),"")</f>
        <v/>
      </c>
      <c r="I117" s="31"/>
      <c r="J117" s="25" t="str">
        <f t="shared" si="2"/>
        <v/>
      </c>
      <c r="K117" s="26"/>
      <c r="L117" s="26"/>
      <c r="M117" s="26"/>
      <c r="N117" s="27"/>
    </row>
    <row r="118">
      <c r="A118" s="21" t="str">
        <f t="shared" si="1"/>
        <v/>
      </c>
      <c r="B118" s="22" t="str">
        <f>IFERROR(__xludf.DUMMYFUNCTION("IF(C118="""","""",ROMAN(COUNTUNIQUE($C$6:C118)))"),"")</f>
        <v/>
      </c>
      <c r="C118" s="31"/>
      <c r="D118" s="32"/>
      <c r="E118" s="22" t="str">
        <f>IFERROR(__xludf.DUMMYFUNCTION("IF(F118="""","""",LEFT(ADDRESS(1,COUNTUNIQUE($F$6:F118),4)))"),"")</f>
        <v/>
      </c>
      <c r="F118" s="31"/>
      <c r="G118" s="32"/>
      <c r="H118" s="22" t="str">
        <f>IFERROR(__xludf.DUMMYFUNCTION("IF(I118="""","""",COUNTUNIQUE($I$6:I118))"),"")</f>
        <v/>
      </c>
      <c r="I118" s="31"/>
      <c r="J118" s="25" t="str">
        <f t="shared" si="2"/>
        <v/>
      </c>
      <c r="K118" s="26"/>
      <c r="L118" s="26"/>
      <c r="M118" s="26"/>
      <c r="N118" s="27"/>
    </row>
    <row r="119">
      <c r="A119" s="21" t="str">
        <f t="shared" si="1"/>
        <v/>
      </c>
      <c r="B119" s="22" t="str">
        <f>IFERROR(__xludf.DUMMYFUNCTION("IF(C119="""","""",ROMAN(COUNTUNIQUE($C$6:C119)))"),"")</f>
        <v/>
      </c>
      <c r="C119" s="31"/>
      <c r="D119" s="32"/>
      <c r="E119" s="22" t="str">
        <f>IFERROR(__xludf.DUMMYFUNCTION("IF(F119="""","""",LEFT(ADDRESS(1,COUNTUNIQUE($F$6:F119),4)))"),"")</f>
        <v/>
      </c>
      <c r="F119" s="31"/>
      <c r="G119" s="32"/>
      <c r="H119" s="22" t="str">
        <f>IFERROR(__xludf.DUMMYFUNCTION("IF(I119="""","""",COUNTUNIQUE($I$6:I119))"),"")</f>
        <v/>
      </c>
      <c r="I119" s="31"/>
      <c r="J119" s="25" t="str">
        <f t="shared" si="2"/>
        <v/>
      </c>
      <c r="K119" s="26"/>
      <c r="L119" s="26"/>
      <c r="M119" s="26"/>
      <c r="N119" s="27"/>
    </row>
    <row r="120">
      <c r="A120" s="21" t="str">
        <f t="shared" si="1"/>
        <v/>
      </c>
      <c r="B120" s="22" t="str">
        <f>IFERROR(__xludf.DUMMYFUNCTION("IF(C120="""","""",ROMAN(COUNTUNIQUE($C$6:C120)))"),"")</f>
        <v/>
      </c>
      <c r="C120" s="31"/>
      <c r="D120" s="32"/>
      <c r="E120" s="22" t="str">
        <f>IFERROR(__xludf.DUMMYFUNCTION("IF(F120="""","""",LEFT(ADDRESS(1,COUNTUNIQUE($F$6:F120),4)))"),"")</f>
        <v/>
      </c>
      <c r="F120" s="31"/>
      <c r="G120" s="32"/>
      <c r="H120" s="22" t="str">
        <f>IFERROR(__xludf.DUMMYFUNCTION("IF(I120="""","""",COUNTUNIQUE($I$6:I120))"),"")</f>
        <v/>
      </c>
      <c r="I120" s="31"/>
      <c r="J120" s="25" t="str">
        <f t="shared" si="2"/>
        <v/>
      </c>
      <c r="K120" s="26"/>
      <c r="L120" s="26"/>
      <c r="M120" s="26"/>
      <c r="N120" s="27"/>
    </row>
    <row r="121">
      <c r="A121" s="21" t="str">
        <f t="shared" si="1"/>
        <v/>
      </c>
      <c r="B121" s="22" t="str">
        <f>IFERROR(__xludf.DUMMYFUNCTION("IF(C121="""","""",ROMAN(COUNTUNIQUE($C$6:C121)))"),"")</f>
        <v/>
      </c>
      <c r="C121" s="31"/>
      <c r="D121" s="32"/>
      <c r="E121" s="22" t="str">
        <f>IFERROR(__xludf.DUMMYFUNCTION("IF(F121="""","""",LEFT(ADDRESS(1,COUNTUNIQUE($F$6:F121),4)))"),"")</f>
        <v/>
      </c>
      <c r="F121" s="31"/>
      <c r="G121" s="32"/>
      <c r="H121" s="22" t="str">
        <f>IFERROR(__xludf.DUMMYFUNCTION("IF(I121="""","""",COUNTUNIQUE($I$6:I121))"),"")</f>
        <v/>
      </c>
      <c r="I121" s="31"/>
      <c r="J121" s="25" t="str">
        <f t="shared" si="2"/>
        <v/>
      </c>
      <c r="K121" s="26"/>
      <c r="L121" s="26"/>
      <c r="M121" s="26"/>
      <c r="N121" s="27"/>
    </row>
    <row r="122">
      <c r="A122" s="21" t="str">
        <f t="shared" si="1"/>
        <v/>
      </c>
      <c r="B122" s="22" t="str">
        <f>IFERROR(__xludf.DUMMYFUNCTION("IF(C122="""","""",ROMAN(COUNTUNIQUE($C$6:C122)))"),"")</f>
        <v/>
      </c>
      <c r="C122" s="31"/>
      <c r="D122" s="32"/>
      <c r="E122" s="22" t="str">
        <f>IFERROR(__xludf.DUMMYFUNCTION("IF(F122="""","""",LEFT(ADDRESS(1,COUNTUNIQUE($F$6:F122),4)))"),"")</f>
        <v/>
      </c>
      <c r="F122" s="31"/>
      <c r="G122" s="32"/>
      <c r="H122" s="22" t="str">
        <f>IFERROR(__xludf.DUMMYFUNCTION("IF(I122="""","""",COUNTUNIQUE($I$6:I122))"),"")</f>
        <v/>
      </c>
      <c r="I122" s="31"/>
      <c r="J122" s="25" t="str">
        <f t="shared" si="2"/>
        <v/>
      </c>
      <c r="K122" s="26"/>
      <c r="L122" s="26"/>
      <c r="M122" s="26"/>
      <c r="N122" s="27"/>
    </row>
    <row r="123">
      <c r="A123" s="21" t="str">
        <f t="shared" si="1"/>
        <v/>
      </c>
      <c r="B123" s="22" t="str">
        <f>IFERROR(__xludf.DUMMYFUNCTION("IF(C123="""","""",ROMAN(COUNTUNIQUE($C$6:C123)))"),"")</f>
        <v/>
      </c>
      <c r="C123" s="31"/>
      <c r="D123" s="32"/>
      <c r="E123" s="22" t="str">
        <f>IFERROR(__xludf.DUMMYFUNCTION("IF(F123="""","""",LEFT(ADDRESS(1,COUNTUNIQUE($F$6:F123),4)))"),"")</f>
        <v/>
      </c>
      <c r="F123" s="31"/>
      <c r="G123" s="32"/>
      <c r="H123" s="22" t="str">
        <f>IFERROR(__xludf.DUMMYFUNCTION("IF(I123="""","""",COUNTUNIQUE($I$6:I123))"),"")</f>
        <v/>
      </c>
      <c r="I123" s="31"/>
      <c r="J123" s="25" t="str">
        <f t="shared" si="2"/>
        <v/>
      </c>
      <c r="K123" s="26"/>
      <c r="L123" s="26"/>
      <c r="M123" s="26"/>
      <c r="N123" s="27"/>
    </row>
    <row r="124">
      <c r="A124" s="21" t="str">
        <f t="shared" si="1"/>
        <v/>
      </c>
      <c r="B124" s="22" t="str">
        <f>IFERROR(__xludf.DUMMYFUNCTION("IF(C124="""","""",ROMAN(COUNTUNIQUE($C$6:C124)))"),"")</f>
        <v/>
      </c>
      <c r="C124" s="31"/>
      <c r="D124" s="32"/>
      <c r="E124" s="22" t="str">
        <f>IFERROR(__xludf.DUMMYFUNCTION("IF(F124="""","""",LEFT(ADDRESS(1,COUNTUNIQUE($F$6:F124),4)))"),"")</f>
        <v/>
      </c>
      <c r="F124" s="31"/>
      <c r="G124" s="32"/>
      <c r="H124" s="22" t="str">
        <f>IFERROR(__xludf.DUMMYFUNCTION("IF(I124="""","""",COUNTUNIQUE($I$6:I124))"),"")</f>
        <v/>
      </c>
      <c r="I124" s="31"/>
      <c r="J124" s="25" t="str">
        <f t="shared" si="2"/>
        <v/>
      </c>
      <c r="K124" s="26"/>
      <c r="L124" s="26"/>
      <c r="M124" s="26"/>
      <c r="N124" s="27"/>
    </row>
    <row r="125">
      <c r="A125" s="21" t="str">
        <f t="shared" si="1"/>
        <v/>
      </c>
      <c r="B125" s="22" t="str">
        <f>IFERROR(__xludf.DUMMYFUNCTION("IF(C125="""","""",ROMAN(COUNTUNIQUE($C$6:C125)))"),"")</f>
        <v/>
      </c>
      <c r="C125" s="31"/>
      <c r="D125" s="32"/>
      <c r="E125" s="22" t="str">
        <f>IFERROR(__xludf.DUMMYFUNCTION("IF(F125="""","""",LEFT(ADDRESS(1,COUNTUNIQUE($F$6:F125),4)))"),"")</f>
        <v/>
      </c>
      <c r="F125" s="31"/>
      <c r="G125" s="32"/>
      <c r="H125" s="22" t="str">
        <f>IFERROR(__xludf.DUMMYFUNCTION("IF(I125="""","""",COUNTUNIQUE($I$6:I125))"),"")</f>
        <v/>
      </c>
      <c r="I125" s="31"/>
      <c r="J125" s="25" t="str">
        <f t="shared" si="2"/>
        <v/>
      </c>
      <c r="K125" s="26"/>
      <c r="L125" s="26"/>
      <c r="M125" s="26"/>
      <c r="N125" s="27"/>
    </row>
    <row r="126">
      <c r="A126" s="21" t="str">
        <f t="shared" si="1"/>
        <v/>
      </c>
      <c r="B126" s="22" t="str">
        <f>IFERROR(__xludf.DUMMYFUNCTION("IF(C126="""","""",ROMAN(COUNTUNIQUE($C$6:C126)))"),"")</f>
        <v/>
      </c>
      <c r="C126" s="31"/>
      <c r="D126" s="32"/>
      <c r="E126" s="22" t="str">
        <f>IFERROR(__xludf.DUMMYFUNCTION("IF(F126="""","""",LEFT(ADDRESS(1,COUNTUNIQUE($F$6:F126),4)))"),"")</f>
        <v/>
      </c>
      <c r="F126" s="31"/>
      <c r="G126" s="32"/>
      <c r="H126" s="22" t="str">
        <f>IFERROR(__xludf.DUMMYFUNCTION("IF(I126="""","""",COUNTUNIQUE($I$6:I126))"),"")</f>
        <v/>
      </c>
      <c r="I126" s="31"/>
      <c r="J126" s="25" t="str">
        <f t="shared" si="2"/>
        <v/>
      </c>
      <c r="K126" s="26"/>
      <c r="L126" s="26"/>
      <c r="M126" s="26"/>
      <c r="N126" s="27"/>
    </row>
    <row r="127">
      <c r="A127" s="21" t="str">
        <f t="shared" si="1"/>
        <v/>
      </c>
      <c r="B127" s="22" t="str">
        <f>IFERROR(__xludf.DUMMYFUNCTION("IF(C127="""","""",ROMAN(COUNTUNIQUE($C$6:C127)))"),"")</f>
        <v/>
      </c>
      <c r="C127" s="31"/>
      <c r="D127" s="32"/>
      <c r="E127" s="22" t="str">
        <f>IFERROR(__xludf.DUMMYFUNCTION("IF(F127="""","""",LEFT(ADDRESS(1,COUNTUNIQUE($F$6:F127),4)))"),"")</f>
        <v/>
      </c>
      <c r="F127" s="31"/>
      <c r="G127" s="32"/>
      <c r="H127" s="22" t="str">
        <f>IFERROR(__xludf.DUMMYFUNCTION("IF(I127="""","""",COUNTUNIQUE($I$6:I127))"),"")</f>
        <v/>
      </c>
      <c r="I127" s="31"/>
      <c r="J127" s="25" t="str">
        <f t="shared" si="2"/>
        <v/>
      </c>
      <c r="K127" s="26"/>
      <c r="L127" s="26"/>
      <c r="M127" s="26"/>
      <c r="N127" s="27"/>
    </row>
    <row r="128">
      <c r="A128" s="21" t="str">
        <f t="shared" si="1"/>
        <v/>
      </c>
      <c r="B128" s="22" t="str">
        <f>IFERROR(__xludf.DUMMYFUNCTION("IF(C128="""","""",ROMAN(COUNTUNIQUE($C$6:C128)))"),"")</f>
        <v/>
      </c>
      <c r="C128" s="31"/>
      <c r="D128" s="32"/>
      <c r="E128" s="22" t="str">
        <f>IFERROR(__xludf.DUMMYFUNCTION("IF(F128="""","""",LEFT(ADDRESS(1,COUNTUNIQUE($F$6:F128),4)))"),"")</f>
        <v/>
      </c>
      <c r="F128" s="31"/>
      <c r="G128" s="32"/>
      <c r="H128" s="22" t="str">
        <f>IFERROR(__xludf.DUMMYFUNCTION("IF(I128="""","""",COUNTUNIQUE($I$6:I128))"),"")</f>
        <v/>
      </c>
      <c r="I128" s="31"/>
      <c r="J128" s="25" t="str">
        <f t="shared" si="2"/>
        <v/>
      </c>
      <c r="K128" s="26"/>
      <c r="L128" s="26"/>
      <c r="M128" s="26"/>
      <c r="N128" s="27"/>
    </row>
    <row r="129">
      <c r="A129" s="21" t="str">
        <f t="shared" si="1"/>
        <v/>
      </c>
      <c r="B129" s="22" t="str">
        <f>IFERROR(__xludf.DUMMYFUNCTION("IF(C129="""","""",ROMAN(COUNTUNIQUE($C$6:C129)))"),"")</f>
        <v/>
      </c>
      <c r="C129" s="31"/>
      <c r="D129" s="32"/>
      <c r="E129" s="22" t="str">
        <f>IFERROR(__xludf.DUMMYFUNCTION("IF(F129="""","""",LEFT(ADDRESS(1,COUNTUNIQUE($F$6:F129),4)))"),"")</f>
        <v/>
      </c>
      <c r="F129" s="31"/>
      <c r="G129" s="32"/>
      <c r="H129" s="22" t="str">
        <f>IFERROR(__xludf.DUMMYFUNCTION("IF(I129="""","""",COUNTUNIQUE($I$6:I129))"),"")</f>
        <v/>
      </c>
      <c r="I129" s="31"/>
      <c r="J129" s="25" t="str">
        <f t="shared" si="2"/>
        <v/>
      </c>
      <c r="K129" s="26"/>
      <c r="L129" s="26"/>
      <c r="M129" s="26"/>
      <c r="N129" s="27"/>
    </row>
    <row r="130">
      <c r="A130" s="21" t="str">
        <f t="shared" si="1"/>
        <v/>
      </c>
      <c r="B130" s="22" t="str">
        <f>IFERROR(__xludf.DUMMYFUNCTION("IF(C130="""","""",ROMAN(COUNTUNIQUE($C$6:C130)))"),"")</f>
        <v/>
      </c>
      <c r="C130" s="31"/>
      <c r="D130" s="32"/>
      <c r="E130" s="22" t="str">
        <f>IFERROR(__xludf.DUMMYFUNCTION("IF(F130="""","""",LEFT(ADDRESS(1,COUNTUNIQUE($F$6:F130),4)))"),"")</f>
        <v/>
      </c>
      <c r="F130" s="31"/>
      <c r="G130" s="32"/>
      <c r="H130" s="22" t="str">
        <f>IFERROR(__xludf.DUMMYFUNCTION("IF(I130="""","""",COUNTUNIQUE($I$6:I130))"),"")</f>
        <v/>
      </c>
      <c r="I130" s="31"/>
      <c r="J130" s="25" t="str">
        <f t="shared" si="2"/>
        <v/>
      </c>
      <c r="K130" s="26"/>
      <c r="L130" s="26"/>
      <c r="M130" s="26"/>
      <c r="N130" s="27"/>
    </row>
    <row r="131">
      <c r="A131" s="21" t="str">
        <f t="shared" si="1"/>
        <v/>
      </c>
      <c r="B131" s="22" t="str">
        <f>IFERROR(__xludf.DUMMYFUNCTION("IF(C131="""","""",ROMAN(COUNTUNIQUE($C$6:C131)))"),"")</f>
        <v/>
      </c>
      <c r="C131" s="31"/>
      <c r="D131" s="32"/>
      <c r="E131" s="22" t="str">
        <f>IFERROR(__xludf.DUMMYFUNCTION("IF(F131="""","""",LEFT(ADDRESS(1,COUNTUNIQUE($F$6:F131),4)))"),"")</f>
        <v/>
      </c>
      <c r="F131" s="31"/>
      <c r="G131" s="32"/>
      <c r="H131" s="22" t="str">
        <f>IFERROR(__xludf.DUMMYFUNCTION("IF(I131="""","""",COUNTUNIQUE($I$6:I131))"),"")</f>
        <v/>
      </c>
      <c r="I131" s="31"/>
      <c r="J131" s="25" t="str">
        <f t="shared" si="2"/>
        <v/>
      </c>
      <c r="K131" s="26"/>
      <c r="L131" s="26"/>
      <c r="M131" s="26"/>
      <c r="N131" s="27"/>
    </row>
    <row r="132">
      <c r="A132" s="21" t="str">
        <f t="shared" si="1"/>
        <v/>
      </c>
      <c r="B132" s="22" t="str">
        <f>IFERROR(__xludf.DUMMYFUNCTION("IF(C132="""","""",ROMAN(COUNTUNIQUE($C$6:C132)))"),"")</f>
        <v/>
      </c>
      <c r="C132" s="31"/>
      <c r="D132" s="32"/>
      <c r="E132" s="22" t="str">
        <f>IFERROR(__xludf.DUMMYFUNCTION("IF(F132="""","""",LEFT(ADDRESS(1,COUNTUNIQUE($F$6:F132),4)))"),"")</f>
        <v/>
      </c>
      <c r="F132" s="31"/>
      <c r="G132" s="32"/>
      <c r="H132" s="22" t="str">
        <f>IFERROR(__xludf.DUMMYFUNCTION("IF(I132="""","""",COUNTUNIQUE($I$6:I132))"),"")</f>
        <v/>
      </c>
      <c r="I132" s="31"/>
      <c r="J132" s="25" t="str">
        <f t="shared" si="2"/>
        <v/>
      </c>
      <c r="K132" s="26"/>
      <c r="L132" s="26"/>
      <c r="M132" s="26"/>
      <c r="N132" s="27"/>
    </row>
    <row r="133">
      <c r="A133" s="21" t="str">
        <f t="shared" si="1"/>
        <v/>
      </c>
      <c r="B133" s="22" t="str">
        <f>IFERROR(__xludf.DUMMYFUNCTION("IF(C133="""","""",ROMAN(COUNTUNIQUE($C$6:C133)))"),"")</f>
        <v/>
      </c>
      <c r="C133" s="31"/>
      <c r="D133" s="32"/>
      <c r="E133" s="22" t="str">
        <f>IFERROR(__xludf.DUMMYFUNCTION("IF(F133="""","""",LEFT(ADDRESS(1,COUNTUNIQUE($F$6:F133),4)))"),"")</f>
        <v/>
      </c>
      <c r="F133" s="31"/>
      <c r="G133" s="32"/>
      <c r="H133" s="22" t="str">
        <f>IFERROR(__xludf.DUMMYFUNCTION("IF(I133="""","""",COUNTUNIQUE($I$6:I133))"),"")</f>
        <v/>
      </c>
      <c r="I133" s="31"/>
      <c r="J133" s="25" t="str">
        <f t="shared" si="2"/>
        <v/>
      </c>
      <c r="K133" s="26"/>
      <c r="L133" s="26"/>
      <c r="M133" s="26"/>
      <c r="N133" s="27"/>
    </row>
    <row r="134">
      <c r="A134" s="21" t="str">
        <f t="shared" si="1"/>
        <v/>
      </c>
      <c r="B134" s="22" t="str">
        <f>IFERROR(__xludf.DUMMYFUNCTION("IF(C134="""","""",ROMAN(COUNTUNIQUE($C$6:C134)))"),"")</f>
        <v/>
      </c>
      <c r="C134" s="31"/>
      <c r="D134" s="32"/>
      <c r="E134" s="22" t="str">
        <f>IFERROR(__xludf.DUMMYFUNCTION("IF(F134="""","""",LEFT(ADDRESS(1,COUNTUNIQUE($F$6:F134),4)))"),"")</f>
        <v/>
      </c>
      <c r="F134" s="31"/>
      <c r="G134" s="32"/>
      <c r="H134" s="22" t="str">
        <f>IFERROR(__xludf.DUMMYFUNCTION("IF(I134="""","""",COUNTUNIQUE($I$6:I134))"),"")</f>
        <v/>
      </c>
      <c r="I134" s="31"/>
      <c r="J134" s="25" t="str">
        <f t="shared" si="2"/>
        <v/>
      </c>
      <c r="K134" s="26"/>
      <c r="L134" s="26"/>
      <c r="M134" s="26"/>
      <c r="N134" s="27"/>
    </row>
    <row r="135">
      <c r="A135" s="21" t="str">
        <f t="shared" si="1"/>
        <v/>
      </c>
      <c r="B135" s="22" t="str">
        <f>IFERROR(__xludf.DUMMYFUNCTION("IF(C135="""","""",ROMAN(COUNTUNIQUE($C$6:C135)))"),"")</f>
        <v/>
      </c>
      <c r="C135" s="31"/>
      <c r="D135" s="32"/>
      <c r="E135" s="22" t="str">
        <f>IFERROR(__xludf.DUMMYFUNCTION("IF(F135="""","""",LEFT(ADDRESS(1,COUNTUNIQUE($F$6:F135),4)))"),"")</f>
        <v/>
      </c>
      <c r="F135" s="31"/>
      <c r="G135" s="32"/>
      <c r="H135" s="22" t="str">
        <f>IFERROR(__xludf.DUMMYFUNCTION("IF(I135="""","""",COUNTUNIQUE($I$6:I135))"),"")</f>
        <v/>
      </c>
      <c r="I135" s="31"/>
      <c r="J135" s="25" t="str">
        <f t="shared" si="2"/>
        <v/>
      </c>
      <c r="K135" s="26"/>
      <c r="L135" s="26"/>
      <c r="M135" s="26"/>
      <c r="N135" s="27"/>
    </row>
    <row r="136">
      <c r="A136" s="21" t="str">
        <f t="shared" si="1"/>
        <v/>
      </c>
      <c r="B136" s="22" t="str">
        <f>IFERROR(__xludf.DUMMYFUNCTION("IF(C136="""","""",ROMAN(COUNTUNIQUE($C$6:C136)))"),"")</f>
        <v/>
      </c>
      <c r="C136" s="31"/>
      <c r="D136" s="32"/>
      <c r="E136" s="22" t="str">
        <f>IFERROR(__xludf.DUMMYFUNCTION("IF(F136="""","""",LEFT(ADDRESS(1,COUNTUNIQUE($F$6:F136),4)))"),"")</f>
        <v/>
      </c>
      <c r="F136" s="31"/>
      <c r="G136" s="32"/>
      <c r="H136" s="22" t="str">
        <f>IFERROR(__xludf.DUMMYFUNCTION("IF(I136="""","""",COUNTUNIQUE($I$6:I136))"),"")</f>
        <v/>
      </c>
      <c r="I136" s="31"/>
      <c r="J136" s="25" t="str">
        <f t="shared" si="2"/>
        <v/>
      </c>
      <c r="K136" s="26"/>
      <c r="L136" s="26"/>
      <c r="M136" s="26"/>
      <c r="N136" s="27"/>
    </row>
    <row r="137">
      <c r="A137" s="21" t="str">
        <f t="shared" si="1"/>
        <v/>
      </c>
      <c r="B137" s="22" t="str">
        <f>IFERROR(__xludf.DUMMYFUNCTION("IF(C137="""","""",ROMAN(COUNTUNIQUE($C$6:C137)))"),"")</f>
        <v/>
      </c>
      <c r="C137" s="31"/>
      <c r="D137" s="32"/>
      <c r="E137" s="22" t="str">
        <f>IFERROR(__xludf.DUMMYFUNCTION("IF(F137="""","""",LEFT(ADDRESS(1,COUNTUNIQUE($F$6:F137),4)))"),"")</f>
        <v/>
      </c>
      <c r="F137" s="31"/>
      <c r="G137" s="32"/>
      <c r="H137" s="22" t="str">
        <f>IFERROR(__xludf.DUMMYFUNCTION("IF(I137="""","""",COUNTUNIQUE($I$6:I137))"),"")</f>
        <v/>
      </c>
      <c r="I137" s="31"/>
      <c r="J137" s="25" t="str">
        <f t="shared" si="2"/>
        <v/>
      </c>
      <c r="K137" s="26"/>
      <c r="L137" s="26"/>
      <c r="M137" s="26"/>
      <c r="N137" s="27"/>
    </row>
    <row r="138">
      <c r="A138" s="21" t="str">
        <f t="shared" si="1"/>
        <v/>
      </c>
      <c r="B138" s="22" t="str">
        <f>IFERROR(__xludf.DUMMYFUNCTION("IF(C138="""","""",ROMAN(COUNTUNIQUE($C$6:C138)))"),"")</f>
        <v/>
      </c>
      <c r="C138" s="31"/>
      <c r="D138" s="32"/>
      <c r="E138" s="22" t="str">
        <f>IFERROR(__xludf.DUMMYFUNCTION("IF(F138="""","""",LEFT(ADDRESS(1,COUNTUNIQUE($F$6:F138),4)))"),"")</f>
        <v/>
      </c>
      <c r="F138" s="31"/>
      <c r="G138" s="32"/>
      <c r="H138" s="22" t="str">
        <f>IFERROR(__xludf.DUMMYFUNCTION("IF(I138="""","""",COUNTUNIQUE($I$6:I138))"),"")</f>
        <v/>
      </c>
      <c r="I138" s="31"/>
      <c r="J138" s="25" t="str">
        <f t="shared" si="2"/>
        <v/>
      </c>
      <c r="K138" s="26"/>
      <c r="L138" s="26"/>
      <c r="M138" s="26"/>
      <c r="N138" s="27"/>
    </row>
    <row r="139">
      <c r="A139" s="21" t="str">
        <f t="shared" si="1"/>
        <v/>
      </c>
      <c r="B139" s="22" t="str">
        <f>IFERROR(__xludf.DUMMYFUNCTION("IF(C139="""","""",ROMAN(COUNTUNIQUE($C$6:C139)))"),"")</f>
        <v/>
      </c>
      <c r="C139" s="31"/>
      <c r="D139" s="32"/>
      <c r="E139" s="22" t="str">
        <f>IFERROR(__xludf.DUMMYFUNCTION("IF(F139="""","""",LEFT(ADDRESS(1,COUNTUNIQUE($F$6:F139),4)))"),"")</f>
        <v/>
      </c>
      <c r="F139" s="31"/>
      <c r="G139" s="32"/>
      <c r="H139" s="22" t="str">
        <f>IFERROR(__xludf.DUMMYFUNCTION("IF(I139="""","""",COUNTUNIQUE($I$6:I139))"),"")</f>
        <v/>
      </c>
      <c r="I139" s="31"/>
      <c r="J139" s="25" t="str">
        <f t="shared" si="2"/>
        <v/>
      </c>
      <c r="K139" s="26"/>
      <c r="L139" s="26"/>
      <c r="M139" s="26"/>
      <c r="N139" s="27"/>
    </row>
    <row r="140">
      <c r="A140" s="21" t="str">
        <f t="shared" si="1"/>
        <v/>
      </c>
      <c r="B140" s="22" t="str">
        <f>IFERROR(__xludf.DUMMYFUNCTION("IF(C140="""","""",ROMAN(COUNTUNIQUE($C$6:C140)))"),"")</f>
        <v/>
      </c>
      <c r="C140" s="31"/>
      <c r="D140" s="32"/>
      <c r="E140" s="22" t="str">
        <f>IFERROR(__xludf.DUMMYFUNCTION("IF(F140="""","""",LEFT(ADDRESS(1,COUNTUNIQUE($F$6:F140),4)))"),"")</f>
        <v/>
      </c>
      <c r="F140" s="31"/>
      <c r="G140" s="32"/>
      <c r="H140" s="22" t="str">
        <f>IFERROR(__xludf.DUMMYFUNCTION("IF(I140="""","""",COUNTUNIQUE($I$6:I140))"),"")</f>
        <v/>
      </c>
      <c r="I140" s="31"/>
      <c r="J140" s="25" t="str">
        <f t="shared" si="2"/>
        <v/>
      </c>
      <c r="K140" s="26"/>
      <c r="L140" s="26"/>
      <c r="M140" s="26"/>
      <c r="N140" s="27"/>
    </row>
    <row r="141">
      <c r="A141" s="21" t="str">
        <f t="shared" si="1"/>
        <v/>
      </c>
      <c r="B141" s="22" t="str">
        <f>IFERROR(__xludf.DUMMYFUNCTION("IF(C141="""","""",ROMAN(COUNTUNIQUE($C$6:C141)))"),"")</f>
        <v/>
      </c>
      <c r="C141" s="31"/>
      <c r="D141" s="32"/>
      <c r="E141" s="22" t="str">
        <f>IFERROR(__xludf.DUMMYFUNCTION("IF(F141="""","""",LEFT(ADDRESS(1,COUNTUNIQUE($F$6:F141),4)))"),"")</f>
        <v/>
      </c>
      <c r="F141" s="31"/>
      <c r="G141" s="32"/>
      <c r="H141" s="22" t="str">
        <f>IFERROR(__xludf.DUMMYFUNCTION("IF(I141="""","""",COUNTUNIQUE($I$6:I141))"),"")</f>
        <v/>
      </c>
      <c r="I141" s="31"/>
      <c r="J141" s="25" t="str">
        <f t="shared" si="2"/>
        <v/>
      </c>
      <c r="K141" s="26"/>
      <c r="L141" s="26"/>
      <c r="M141" s="26"/>
      <c r="N141" s="27"/>
    </row>
    <row r="142">
      <c r="A142" s="21" t="str">
        <f t="shared" si="1"/>
        <v/>
      </c>
      <c r="B142" s="22" t="str">
        <f>IFERROR(__xludf.DUMMYFUNCTION("IF(C142="""","""",ROMAN(COUNTUNIQUE($C$6:C142)))"),"")</f>
        <v/>
      </c>
      <c r="C142" s="31"/>
      <c r="D142" s="32"/>
      <c r="E142" s="22" t="str">
        <f>IFERROR(__xludf.DUMMYFUNCTION("IF(F142="""","""",LEFT(ADDRESS(1,COUNTUNIQUE($F$6:F142),4)))"),"")</f>
        <v/>
      </c>
      <c r="F142" s="31"/>
      <c r="G142" s="32"/>
      <c r="H142" s="22" t="str">
        <f>IFERROR(__xludf.DUMMYFUNCTION("IF(I142="""","""",COUNTUNIQUE($I$6:I142))"),"")</f>
        <v/>
      </c>
      <c r="I142" s="31"/>
      <c r="J142" s="25" t="str">
        <f t="shared" si="2"/>
        <v/>
      </c>
      <c r="K142" s="26"/>
      <c r="L142" s="26"/>
      <c r="M142" s="26"/>
      <c r="N142" s="27"/>
    </row>
    <row r="143">
      <c r="A143" s="21" t="str">
        <f t="shared" si="1"/>
        <v/>
      </c>
      <c r="B143" s="22" t="str">
        <f>IFERROR(__xludf.DUMMYFUNCTION("IF(C143="""","""",ROMAN(COUNTUNIQUE($C$6:C143)))"),"")</f>
        <v/>
      </c>
      <c r="C143" s="31"/>
      <c r="D143" s="32"/>
      <c r="E143" s="22" t="str">
        <f>IFERROR(__xludf.DUMMYFUNCTION("IF(F143="""","""",LEFT(ADDRESS(1,COUNTUNIQUE($F$6:F143),4)))"),"")</f>
        <v/>
      </c>
      <c r="F143" s="31"/>
      <c r="G143" s="32"/>
      <c r="H143" s="22" t="str">
        <f>IFERROR(__xludf.DUMMYFUNCTION("IF(I143="""","""",COUNTUNIQUE($I$6:I143))"),"")</f>
        <v/>
      </c>
      <c r="I143" s="31"/>
      <c r="J143" s="25" t="str">
        <f t="shared" si="2"/>
        <v/>
      </c>
      <c r="K143" s="26"/>
      <c r="L143" s="26"/>
      <c r="M143" s="26"/>
      <c r="N143" s="27"/>
    </row>
    <row r="144">
      <c r="A144" s="21" t="str">
        <f t="shared" si="1"/>
        <v/>
      </c>
      <c r="B144" s="22" t="str">
        <f>IFERROR(__xludf.DUMMYFUNCTION("IF(C144="""","""",ROMAN(COUNTUNIQUE($C$6:C144)))"),"")</f>
        <v/>
      </c>
      <c r="C144" s="31"/>
      <c r="D144" s="32"/>
      <c r="E144" s="22" t="str">
        <f>IFERROR(__xludf.DUMMYFUNCTION("IF(F144="""","""",LEFT(ADDRESS(1,COUNTUNIQUE($F$6:F144),4)))"),"")</f>
        <v/>
      </c>
      <c r="F144" s="31"/>
      <c r="G144" s="32"/>
      <c r="H144" s="22" t="str">
        <f>IFERROR(__xludf.DUMMYFUNCTION("IF(I144="""","""",COUNTUNIQUE($I$6:I144))"),"")</f>
        <v/>
      </c>
      <c r="I144" s="31"/>
      <c r="J144" s="25" t="str">
        <f t="shared" si="2"/>
        <v/>
      </c>
      <c r="K144" s="26"/>
      <c r="L144" s="26"/>
      <c r="M144" s="26"/>
      <c r="N144" s="27"/>
    </row>
    <row r="145">
      <c r="A145" s="21" t="str">
        <f t="shared" si="1"/>
        <v/>
      </c>
      <c r="B145" s="22" t="str">
        <f>IFERROR(__xludf.DUMMYFUNCTION("IF(C145="""","""",ROMAN(COUNTUNIQUE($C$6:C145)))"),"")</f>
        <v/>
      </c>
      <c r="C145" s="31"/>
      <c r="D145" s="32"/>
      <c r="E145" s="22" t="str">
        <f>IFERROR(__xludf.DUMMYFUNCTION("IF(F145="""","""",LEFT(ADDRESS(1,COUNTUNIQUE($F$6:F145),4)))"),"")</f>
        <v/>
      </c>
      <c r="F145" s="31"/>
      <c r="G145" s="32"/>
      <c r="H145" s="22" t="str">
        <f>IFERROR(__xludf.DUMMYFUNCTION("IF(I145="""","""",COUNTUNIQUE($I$6:I145))"),"")</f>
        <v/>
      </c>
      <c r="I145" s="31"/>
      <c r="J145" s="25" t="str">
        <f t="shared" si="2"/>
        <v/>
      </c>
      <c r="K145" s="26"/>
      <c r="L145" s="26"/>
      <c r="M145" s="26"/>
      <c r="N145" s="27"/>
    </row>
    <row r="146">
      <c r="A146" s="21" t="str">
        <f t="shared" si="1"/>
        <v/>
      </c>
      <c r="B146" s="22" t="str">
        <f>IFERROR(__xludf.DUMMYFUNCTION("IF(C146="""","""",ROMAN(COUNTUNIQUE($C$6:C146)))"),"")</f>
        <v/>
      </c>
      <c r="C146" s="31"/>
      <c r="D146" s="32"/>
      <c r="E146" s="22" t="str">
        <f>IFERROR(__xludf.DUMMYFUNCTION("IF(F146="""","""",LEFT(ADDRESS(1,COUNTUNIQUE($F$6:F146),4)))"),"")</f>
        <v/>
      </c>
      <c r="F146" s="31"/>
      <c r="G146" s="32"/>
      <c r="H146" s="22" t="str">
        <f>IFERROR(__xludf.DUMMYFUNCTION("IF(I146="""","""",COUNTUNIQUE($I$6:I146))"),"")</f>
        <v/>
      </c>
      <c r="I146" s="31"/>
      <c r="J146" s="25" t="str">
        <f t="shared" si="2"/>
        <v/>
      </c>
      <c r="K146" s="26"/>
      <c r="L146" s="26"/>
      <c r="M146" s="26"/>
      <c r="N146" s="27"/>
    </row>
    <row r="147">
      <c r="A147" s="21" t="str">
        <f t="shared" si="1"/>
        <v/>
      </c>
      <c r="B147" s="22" t="str">
        <f>IFERROR(__xludf.DUMMYFUNCTION("IF(C147="""","""",ROMAN(COUNTUNIQUE($C$6:C147)))"),"")</f>
        <v/>
      </c>
      <c r="C147" s="31"/>
      <c r="D147" s="32"/>
      <c r="E147" s="22" t="str">
        <f>IFERROR(__xludf.DUMMYFUNCTION("IF(F147="""","""",LEFT(ADDRESS(1,COUNTUNIQUE($F$6:F147),4)))"),"")</f>
        <v/>
      </c>
      <c r="F147" s="31"/>
      <c r="G147" s="32"/>
      <c r="H147" s="22" t="str">
        <f>IFERROR(__xludf.DUMMYFUNCTION("IF(I147="""","""",COUNTUNIQUE($I$6:I147))"),"")</f>
        <v/>
      </c>
      <c r="I147" s="31"/>
      <c r="J147" s="25" t="str">
        <f t="shared" si="2"/>
        <v/>
      </c>
      <c r="K147" s="26"/>
      <c r="L147" s="26"/>
      <c r="M147" s="26"/>
      <c r="N147" s="27"/>
    </row>
    <row r="148">
      <c r="A148" s="21" t="str">
        <f t="shared" si="1"/>
        <v/>
      </c>
      <c r="B148" s="22" t="str">
        <f>IFERROR(__xludf.DUMMYFUNCTION("IF(C148="""","""",ROMAN(COUNTUNIQUE($C$6:C148)))"),"")</f>
        <v/>
      </c>
      <c r="C148" s="31"/>
      <c r="D148" s="32"/>
      <c r="E148" s="22" t="str">
        <f>IFERROR(__xludf.DUMMYFUNCTION("IF(F148="""","""",LEFT(ADDRESS(1,COUNTUNIQUE($F$6:F148),4)))"),"")</f>
        <v/>
      </c>
      <c r="F148" s="31"/>
      <c r="G148" s="32"/>
      <c r="H148" s="22" t="str">
        <f>IFERROR(__xludf.DUMMYFUNCTION("IF(I148="""","""",COUNTUNIQUE($I$6:I148))"),"")</f>
        <v/>
      </c>
      <c r="I148" s="31"/>
      <c r="J148" s="25" t="str">
        <f t="shared" si="2"/>
        <v/>
      </c>
      <c r="K148" s="26"/>
      <c r="L148" s="26"/>
      <c r="M148" s="26"/>
      <c r="N148" s="27"/>
    </row>
    <row r="149">
      <c r="A149" s="21" t="str">
        <f t="shared" si="1"/>
        <v/>
      </c>
      <c r="B149" s="22" t="str">
        <f>IFERROR(__xludf.DUMMYFUNCTION("IF(C149="""","""",ROMAN(COUNTUNIQUE($C$6:C149)))"),"")</f>
        <v/>
      </c>
      <c r="C149" s="31"/>
      <c r="D149" s="32"/>
      <c r="E149" s="22" t="str">
        <f>IFERROR(__xludf.DUMMYFUNCTION("IF(F149="""","""",LEFT(ADDRESS(1,COUNTUNIQUE($F$6:F149),4)))"),"")</f>
        <v/>
      </c>
      <c r="F149" s="31"/>
      <c r="G149" s="32"/>
      <c r="H149" s="22" t="str">
        <f>IFERROR(__xludf.DUMMYFUNCTION("IF(I149="""","""",COUNTUNIQUE($I$6:I149))"),"")</f>
        <v/>
      </c>
      <c r="I149" s="31"/>
      <c r="J149" s="25" t="str">
        <f t="shared" si="2"/>
        <v/>
      </c>
      <c r="K149" s="26"/>
      <c r="L149" s="26"/>
      <c r="M149" s="26"/>
      <c r="N149" s="27"/>
    </row>
    <row r="150">
      <c r="A150" s="21" t="str">
        <f t="shared" si="1"/>
        <v/>
      </c>
      <c r="B150" s="22" t="str">
        <f>IFERROR(__xludf.DUMMYFUNCTION("IF(C150="""","""",ROMAN(COUNTUNIQUE($C$6:C150)))"),"")</f>
        <v/>
      </c>
      <c r="C150" s="31"/>
      <c r="D150" s="32"/>
      <c r="E150" s="22" t="str">
        <f>IFERROR(__xludf.DUMMYFUNCTION("IF(F150="""","""",LEFT(ADDRESS(1,COUNTUNIQUE($F$6:F150),4)))"),"")</f>
        <v/>
      </c>
      <c r="F150" s="31"/>
      <c r="G150" s="32"/>
      <c r="H150" s="22" t="str">
        <f>IFERROR(__xludf.DUMMYFUNCTION("IF(I150="""","""",COUNTUNIQUE($I$6:I150))"),"")</f>
        <v/>
      </c>
      <c r="I150" s="31"/>
      <c r="J150" s="25" t="str">
        <f t="shared" si="2"/>
        <v/>
      </c>
      <c r="K150" s="26"/>
      <c r="L150" s="26"/>
      <c r="M150" s="26"/>
      <c r="N150" s="27"/>
    </row>
    <row r="151">
      <c r="A151" s="21" t="str">
        <f t="shared" si="1"/>
        <v/>
      </c>
      <c r="B151" s="22" t="str">
        <f>IFERROR(__xludf.DUMMYFUNCTION("IF(C151="""","""",ROMAN(COUNTUNIQUE($C$6:C151)))"),"")</f>
        <v/>
      </c>
      <c r="C151" s="31"/>
      <c r="D151" s="32"/>
      <c r="E151" s="22" t="str">
        <f>IFERROR(__xludf.DUMMYFUNCTION("IF(F151="""","""",LEFT(ADDRESS(1,COUNTUNIQUE($F$6:F151),4)))"),"")</f>
        <v/>
      </c>
      <c r="F151" s="31"/>
      <c r="G151" s="32"/>
      <c r="H151" s="22" t="str">
        <f>IFERROR(__xludf.DUMMYFUNCTION("IF(I151="""","""",COUNTUNIQUE($I$6:I151))"),"")</f>
        <v/>
      </c>
      <c r="I151" s="31"/>
      <c r="J151" s="25" t="str">
        <f t="shared" si="2"/>
        <v/>
      </c>
      <c r="K151" s="26"/>
      <c r="L151" s="26"/>
      <c r="M151" s="26"/>
      <c r="N151" s="27"/>
    </row>
    <row r="152">
      <c r="A152" s="21" t="str">
        <f t="shared" si="1"/>
        <v/>
      </c>
      <c r="B152" s="22" t="str">
        <f>IFERROR(__xludf.DUMMYFUNCTION("IF(C152="""","""",ROMAN(COUNTUNIQUE($C$6:C152)))"),"")</f>
        <v/>
      </c>
      <c r="C152" s="31"/>
      <c r="D152" s="32"/>
      <c r="E152" s="22" t="str">
        <f>IFERROR(__xludf.DUMMYFUNCTION("IF(F152="""","""",LEFT(ADDRESS(1,COUNTUNIQUE($F$6:F152),4)))"),"")</f>
        <v/>
      </c>
      <c r="F152" s="31"/>
      <c r="G152" s="32"/>
      <c r="H152" s="22" t="str">
        <f>IFERROR(__xludf.DUMMYFUNCTION("IF(I152="""","""",COUNTUNIQUE($I$6:I152))"),"")</f>
        <v/>
      </c>
      <c r="I152" s="31"/>
      <c r="J152" s="25" t="str">
        <f t="shared" si="2"/>
        <v/>
      </c>
      <c r="K152" s="26"/>
      <c r="L152" s="26"/>
      <c r="M152" s="26"/>
      <c r="N152" s="27"/>
    </row>
    <row r="153">
      <c r="A153" s="21" t="str">
        <f t="shared" si="1"/>
        <v/>
      </c>
      <c r="B153" s="22" t="str">
        <f>IFERROR(__xludf.DUMMYFUNCTION("IF(C153="""","""",ROMAN(COUNTUNIQUE($C$6:C153)))"),"")</f>
        <v/>
      </c>
      <c r="C153" s="31"/>
      <c r="D153" s="32"/>
      <c r="E153" s="22" t="str">
        <f>IFERROR(__xludf.DUMMYFUNCTION("IF(F153="""","""",LEFT(ADDRESS(1,COUNTUNIQUE($F$6:F153),4)))"),"")</f>
        <v/>
      </c>
      <c r="F153" s="31"/>
      <c r="G153" s="32"/>
      <c r="H153" s="22" t="str">
        <f>IFERROR(__xludf.DUMMYFUNCTION("IF(I153="""","""",COUNTUNIQUE($I$6:I153))"),"")</f>
        <v/>
      </c>
      <c r="I153" s="31"/>
      <c r="J153" s="25" t="str">
        <f t="shared" si="2"/>
        <v/>
      </c>
      <c r="K153" s="26"/>
      <c r="L153" s="26"/>
      <c r="M153" s="26"/>
      <c r="N153" s="27"/>
    </row>
    <row r="154">
      <c r="A154" s="21" t="str">
        <f t="shared" si="1"/>
        <v/>
      </c>
      <c r="B154" s="22" t="str">
        <f>IFERROR(__xludf.DUMMYFUNCTION("IF(C154="""","""",ROMAN(COUNTUNIQUE($C$6:C154)))"),"")</f>
        <v/>
      </c>
      <c r="C154" s="31"/>
      <c r="D154" s="32"/>
      <c r="E154" s="22" t="str">
        <f>IFERROR(__xludf.DUMMYFUNCTION("IF(F154="""","""",LEFT(ADDRESS(1,COUNTUNIQUE($F$6:F154),4)))"),"")</f>
        <v/>
      </c>
      <c r="F154" s="31"/>
      <c r="G154" s="32"/>
      <c r="H154" s="22" t="str">
        <f>IFERROR(__xludf.DUMMYFUNCTION("IF(I154="""","""",COUNTUNIQUE($I$6:I154))"),"")</f>
        <v/>
      </c>
      <c r="I154" s="31"/>
      <c r="J154" s="25" t="str">
        <f t="shared" si="2"/>
        <v/>
      </c>
      <c r="K154" s="26"/>
      <c r="L154" s="26"/>
      <c r="M154" s="26"/>
      <c r="N154" s="27"/>
    </row>
    <row r="155">
      <c r="A155" s="21" t="str">
        <f t="shared" si="1"/>
        <v/>
      </c>
      <c r="B155" s="22" t="str">
        <f>IFERROR(__xludf.DUMMYFUNCTION("IF(C155="""","""",ROMAN(COUNTUNIQUE($C$6:C155)))"),"")</f>
        <v/>
      </c>
      <c r="C155" s="31"/>
      <c r="D155" s="32"/>
      <c r="E155" s="22" t="str">
        <f>IFERROR(__xludf.DUMMYFUNCTION("IF(F155="""","""",LEFT(ADDRESS(1,COUNTUNIQUE($F$6:F155),4)))"),"")</f>
        <v/>
      </c>
      <c r="F155" s="31"/>
      <c r="G155" s="32"/>
      <c r="H155" s="22" t="str">
        <f>IFERROR(__xludf.DUMMYFUNCTION("IF(I155="""","""",COUNTUNIQUE($I$6:I155))"),"")</f>
        <v/>
      </c>
      <c r="I155" s="31"/>
      <c r="J155" s="25" t="str">
        <f t="shared" si="2"/>
        <v/>
      </c>
      <c r="K155" s="26"/>
      <c r="L155" s="26"/>
      <c r="M155" s="26"/>
      <c r="N155" s="27"/>
    </row>
    <row r="156">
      <c r="A156" s="21" t="str">
        <f t="shared" si="1"/>
        <v/>
      </c>
      <c r="B156" s="22" t="str">
        <f>IFERROR(__xludf.DUMMYFUNCTION("IF(C156="""","""",ROMAN(COUNTUNIQUE($C$6:C156)))"),"")</f>
        <v/>
      </c>
      <c r="C156" s="31"/>
      <c r="D156" s="32"/>
      <c r="E156" s="22" t="str">
        <f>IFERROR(__xludf.DUMMYFUNCTION("IF(F156="""","""",LEFT(ADDRESS(1,COUNTUNIQUE($F$6:F156),4)))"),"")</f>
        <v/>
      </c>
      <c r="F156" s="31"/>
      <c r="G156" s="32"/>
      <c r="H156" s="22" t="str">
        <f>IFERROR(__xludf.DUMMYFUNCTION("IF(I156="""","""",COUNTUNIQUE($I$6:I156))"),"")</f>
        <v/>
      </c>
      <c r="I156" s="31"/>
      <c r="J156" s="25" t="str">
        <f t="shared" si="2"/>
        <v/>
      </c>
      <c r="K156" s="26"/>
      <c r="L156" s="26"/>
      <c r="M156" s="26"/>
      <c r="N156" s="27"/>
    </row>
    <row r="157">
      <c r="A157" s="21" t="str">
        <f t="shared" si="1"/>
        <v/>
      </c>
      <c r="B157" s="22" t="str">
        <f>IFERROR(__xludf.DUMMYFUNCTION("IF(C157="""","""",ROMAN(COUNTUNIQUE($C$6:C157)))"),"")</f>
        <v/>
      </c>
      <c r="C157" s="31"/>
      <c r="D157" s="32"/>
      <c r="E157" s="22" t="str">
        <f>IFERROR(__xludf.DUMMYFUNCTION("IF(F157="""","""",LEFT(ADDRESS(1,COUNTUNIQUE($F$6:F157),4)))"),"")</f>
        <v/>
      </c>
      <c r="F157" s="31"/>
      <c r="G157" s="32"/>
      <c r="H157" s="22" t="str">
        <f>IFERROR(__xludf.DUMMYFUNCTION("IF(I157="""","""",COUNTUNIQUE($I$6:I157))"),"")</f>
        <v/>
      </c>
      <c r="I157" s="31"/>
      <c r="J157" s="25" t="str">
        <f t="shared" si="2"/>
        <v/>
      </c>
      <c r="K157" s="26"/>
      <c r="L157" s="26"/>
      <c r="M157" s="26"/>
      <c r="N157" s="27"/>
    </row>
    <row r="158">
      <c r="A158" s="21" t="str">
        <f t="shared" si="1"/>
        <v/>
      </c>
      <c r="B158" s="22" t="str">
        <f>IFERROR(__xludf.DUMMYFUNCTION("IF(C158="""","""",ROMAN(COUNTUNIQUE($C$6:C158)))"),"")</f>
        <v/>
      </c>
      <c r="C158" s="31"/>
      <c r="D158" s="32"/>
      <c r="E158" s="22" t="str">
        <f>IFERROR(__xludf.DUMMYFUNCTION("IF(F158="""","""",LEFT(ADDRESS(1,COUNTUNIQUE($F$6:F158),4)))"),"")</f>
        <v/>
      </c>
      <c r="F158" s="31"/>
      <c r="G158" s="32"/>
      <c r="H158" s="22" t="str">
        <f>IFERROR(__xludf.DUMMYFUNCTION("IF(I158="""","""",COUNTUNIQUE($I$6:I158))"),"")</f>
        <v/>
      </c>
      <c r="I158" s="31"/>
      <c r="J158" s="25" t="str">
        <f t="shared" si="2"/>
        <v/>
      </c>
      <c r="K158" s="26"/>
      <c r="L158" s="26"/>
      <c r="M158" s="26"/>
      <c r="N158" s="27"/>
    </row>
    <row r="159">
      <c r="A159" s="21" t="str">
        <f t="shared" si="1"/>
        <v/>
      </c>
      <c r="B159" s="22" t="str">
        <f>IFERROR(__xludf.DUMMYFUNCTION("IF(C159="""","""",ROMAN(COUNTUNIQUE($C$6:C159)))"),"")</f>
        <v/>
      </c>
      <c r="C159" s="31"/>
      <c r="D159" s="32"/>
      <c r="E159" s="22" t="str">
        <f>IFERROR(__xludf.DUMMYFUNCTION("IF(F159="""","""",LEFT(ADDRESS(1,COUNTUNIQUE($F$6:F159),4)))"),"")</f>
        <v/>
      </c>
      <c r="F159" s="31"/>
      <c r="G159" s="32"/>
      <c r="H159" s="22" t="str">
        <f>IFERROR(__xludf.DUMMYFUNCTION("IF(I159="""","""",COUNTUNIQUE($I$6:I159))"),"")</f>
        <v/>
      </c>
      <c r="I159" s="31"/>
      <c r="J159" s="25" t="str">
        <f t="shared" si="2"/>
        <v/>
      </c>
      <c r="K159" s="26"/>
      <c r="L159" s="26"/>
      <c r="M159" s="26"/>
      <c r="N159" s="27"/>
    </row>
    <row r="160">
      <c r="A160" s="21" t="str">
        <f t="shared" si="1"/>
        <v/>
      </c>
      <c r="B160" s="22" t="str">
        <f>IFERROR(__xludf.DUMMYFUNCTION("IF(C160="""","""",ROMAN(COUNTUNIQUE($C$6:C160)))"),"")</f>
        <v/>
      </c>
      <c r="C160" s="31"/>
      <c r="D160" s="32"/>
      <c r="E160" s="22" t="str">
        <f>IFERROR(__xludf.DUMMYFUNCTION("IF(F160="""","""",LEFT(ADDRESS(1,COUNTUNIQUE($F$6:F160),4)))"),"")</f>
        <v/>
      </c>
      <c r="F160" s="31"/>
      <c r="G160" s="32"/>
      <c r="H160" s="22" t="str">
        <f>IFERROR(__xludf.DUMMYFUNCTION("IF(I160="""","""",COUNTUNIQUE($I$6:I160))"),"")</f>
        <v/>
      </c>
      <c r="I160" s="31"/>
      <c r="J160" s="25" t="str">
        <f t="shared" si="2"/>
        <v/>
      </c>
      <c r="K160" s="26"/>
      <c r="L160" s="26"/>
      <c r="M160" s="26"/>
      <c r="N160" s="27"/>
    </row>
    <row r="161">
      <c r="A161" s="21" t="str">
        <f t="shared" si="1"/>
        <v/>
      </c>
      <c r="B161" s="22" t="str">
        <f>IFERROR(__xludf.DUMMYFUNCTION("IF(C161="""","""",ROMAN(COUNTUNIQUE($C$6:C161)))"),"")</f>
        <v/>
      </c>
      <c r="C161" s="31"/>
      <c r="D161" s="32"/>
      <c r="E161" s="22" t="str">
        <f>IFERROR(__xludf.DUMMYFUNCTION("IF(F161="""","""",LEFT(ADDRESS(1,COUNTUNIQUE($F$6:F161),4)))"),"")</f>
        <v/>
      </c>
      <c r="F161" s="31"/>
      <c r="G161" s="32"/>
      <c r="H161" s="22" t="str">
        <f>IFERROR(__xludf.DUMMYFUNCTION("IF(I161="""","""",COUNTUNIQUE($I$6:I161))"),"")</f>
        <v/>
      </c>
      <c r="I161" s="31"/>
      <c r="J161" s="25" t="str">
        <f t="shared" si="2"/>
        <v/>
      </c>
      <c r="K161" s="26"/>
      <c r="L161" s="26"/>
      <c r="M161" s="26"/>
      <c r="N161" s="27"/>
    </row>
    <row r="162">
      <c r="A162" s="21" t="str">
        <f t="shared" si="1"/>
        <v/>
      </c>
      <c r="B162" s="22" t="str">
        <f>IFERROR(__xludf.DUMMYFUNCTION("IF(C162="""","""",ROMAN(COUNTUNIQUE($C$6:C162)))"),"")</f>
        <v/>
      </c>
      <c r="C162" s="31"/>
      <c r="D162" s="32"/>
      <c r="E162" s="22" t="str">
        <f>IFERROR(__xludf.DUMMYFUNCTION("IF(F162="""","""",LEFT(ADDRESS(1,COUNTUNIQUE($F$6:F162),4)))"),"")</f>
        <v/>
      </c>
      <c r="F162" s="31"/>
      <c r="G162" s="32"/>
      <c r="H162" s="22" t="str">
        <f>IFERROR(__xludf.DUMMYFUNCTION("IF(I162="""","""",COUNTUNIQUE($I$6:I162))"),"")</f>
        <v/>
      </c>
      <c r="I162" s="31"/>
      <c r="J162" s="25" t="str">
        <f t="shared" si="2"/>
        <v/>
      </c>
      <c r="K162" s="26"/>
      <c r="L162" s="26"/>
      <c r="M162" s="26"/>
      <c r="N162" s="27"/>
    </row>
    <row r="163">
      <c r="A163" s="21" t="str">
        <f t="shared" si="1"/>
        <v/>
      </c>
      <c r="B163" s="22" t="str">
        <f>IFERROR(__xludf.DUMMYFUNCTION("IF(C163="""","""",ROMAN(COUNTUNIQUE($C$6:C163)))"),"")</f>
        <v/>
      </c>
      <c r="C163" s="31"/>
      <c r="D163" s="32"/>
      <c r="E163" s="22" t="str">
        <f>IFERROR(__xludf.DUMMYFUNCTION("IF(F163="""","""",LEFT(ADDRESS(1,COUNTUNIQUE($F$6:F163),4)))"),"")</f>
        <v/>
      </c>
      <c r="F163" s="31"/>
      <c r="G163" s="32"/>
      <c r="H163" s="22" t="str">
        <f>IFERROR(__xludf.DUMMYFUNCTION("IF(I163="""","""",COUNTUNIQUE($I$6:I163))"),"")</f>
        <v/>
      </c>
      <c r="I163" s="31"/>
      <c r="J163" s="25" t="str">
        <f t="shared" si="2"/>
        <v/>
      </c>
      <c r="K163" s="26"/>
      <c r="L163" s="26"/>
      <c r="M163" s="26"/>
      <c r="N163" s="27"/>
    </row>
    <row r="164">
      <c r="A164" s="21" t="str">
        <f t="shared" si="1"/>
        <v/>
      </c>
      <c r="B164" s="22" t="str">
        <f>IFERROR(__xludf.DUMMYFUNCTION("IF(C164="""","""",ROMAN(COUNTUNIQUE($C$6:C164)))"),"")</f>
        <v/>
      </c>
      <c r="C164" s="31"/>
      <c r="D164" s="32"/>
      <c r="E164" s="22" t="str">
        <f>IFERROR(__xludf.DUMMYFUNCTION("IF(F164="""","""",LEFT(ADDRESS(1,COUNTUNIQUE($F$6:F164),4)))"),"")</f>
        <v/>
      </c>
      <c r="F164" s="31"/>
      <c r="G164" s="32"/>
      <c r="H164" s="22" t="str">
        <f>IFERROR(__xludf.DUMMYFUNCTION("IF(I164="""","""",COUNTUNIQUE($I$6:I164))"),"")</f>
        <v/>
      </c>
      <c r="I164" s="31"/>
      <c r="J164" s="25" t="str">
        <f t="shared" si="2"/>
        <v/>
      </c>
      <c r="K164" s="26"/>
      <c r="L164" s="26"/>
      <c r="M164" s="26"/>
      <c r="N164" s="27"/>
    </row>
    <row r="165">
      <c r="A165" s="21" t="str">
        <f t="shared" si="1"/>
        <v/>
      </c>
      <c r="B165" s="22" t="str">
        <f>IFERROR(__xludf.DUMMYFUNCTION("IF(C165="""","""",ROMAN(COUNTUNIQUE($C$6:C165)))"),"")</f>
        <v/>
      </c>
      <c r="C165" s="31"/>
      <c r="D165" s="32"/>
      <c r="E165" s="22" t="str">
        <f>IFERROR(__xludf.DUMMYFUNCTION("IF(F165="""","""",LEFT(ADDRESS(1,COUNTUNIQUE($F$6:F165),4)))"),"")</f>
        <v/>
      </c>
      <c r="F165" s="31"/>
      <c r="G165" s="32"/>
      <c r="H165" s="22" t="str">
        <f>IFERROR(__xludf.DUMMYFUNCTION("IF(I165="""","""",COUNTUNIQUE($I$6:I165))"),"")</f>
        <v/>
      </c>
      <c r="I165" s="31"/>
      <c r="J165" s="25" t="str">
        <f t="shared" si="2"/>
        <v/>
      </c>
      <c r="K165" s="26"/>
      <c r="L165" s="26"/>
      <c r="M165" s="26"/>
      <c r="N165" s="27"/>
    </row>
    <row r="166">
      <c r="A166" s="21" t="str">
        <f t="shared" si="1"/>
        <v/>
      </c>
      <c r="B166" s="22" t="str">
        <f>IFERROR(__xludf.DUMMYFUNCTION("IF(C166="""","""",ROMAN(COUNTUNIQUE($C$6:C166)))"),"")</f>
        <v/>
      </c>
      <c r="C166" s="31"/>
      <c r="D166" s="32"/>
      <c r="E166" s="22" t="str">
        <f>IFERROR(__xludf.DUMMYFUNCTION("IF(F166="""","""",LEFT(ADDRESS(1,COUNTUNIQUE($F$6:F166),4)))"),"")</f>
        <v/>
      </c>
      <c r="F166" s="31"/>
      <c r="G166" s="32"/>
      <c r="H166" s="22" t="str">
        <f>IFERROR(__xludf.DUMMYFUNCTION("IF(I166="""","""",COUNTUNIQUE($I$6:I166))"),"")</f>
        <v/>
      </c>
      <c r="I166" s="31"/>
      <c r="J166" s="25" t="str">
        <f t="shared" si="2"/>
        <v/>
      </c>
      <c r="K166" s="26"/>
      <c r="L166" s="26"/>
      <c r="M166" s="26"/>
      <c r="N166" s="27"/>
    </row>
    <row r="167">
      <c r="A167" s="21" t="str">
        <f t="shared" si="1"/>
        <v/>
      </c>
      <c r="B167" s="22" t="str">
        <f>IFERROR(__xludf.DUMMYFUNCTION("IF(C167="""","""",ROMAN(COUNTUNIQUE($C$6:C167)))"),"")</f>
        <v/>
      </c>
      <c r="C167" s="31"/>
      <c r="D167" s="32"/>
      <c r="E167" s="22" t="str">
        <f>IFERROR(__xludf.DUMMYFUNCTION("IF(F167="""","""",LEFT(ADDRESS(1,COUNTUNIQUE($F$6:F167),4)))"),"")</f>
        <v/>
      </c>
      <c r="F167" s="31"/>
      <c r="G167" s="32"/>
      <c r="H167" s="22" t="str">
        <f>IFERROR(__xludf.DUMMYFUNCTION("IF(I167="""","""",COUNTUNIQUE($I$6:I167))"),"")</f>
        <v/>
      </c>
      <c r="I167" s="31"/>
      <c r="J167" s="25" t="str">
        <f t="shared" si="2"/>
        <v/>
      </c>
      <c r="K167" s="26"/>
      <c r="L167" s="26"/>
      <c r="M167" s="26"/>
      <c r="N167" s="27"/>
    </row>
    <row r="168">
      <c r="A168" s="21" t="str">
        <f t="shared" si="1"/>
        <v/>
      </c>
      <c r="B168" s="22" t="str">
        <f>IFERROR(__xludf.DUMMYFUNCTION("IF(C168="""","""",ROMAN(COUNTUNIQUE($C$6:C168)))"),"")</f>
        <v/>
      </c>
      <c r="C168" s="31"/>
      <c r="D168" s="32"/>
      <c r="E168" s="22" t="str">
        <f>IFERROR(__xludf.DUMMYFUNCTION("IF(F168="""","""",LEFT(ADDRESS(1,COUNTUNIQUE($F$6:F168),4)))"),"")</f>
        <v/>
      </c>
      <c r="F168" s="31"/>
      <c r="G168" s="32"/>
      <c r="H168" s="22" t="str">
        <f>IFERROR(__xludf.DUMMYFUNCTION("IF(I168="""","""",COUNTUNIQUE($I$6:I168))"),"")</f>
        <v/>
      </c>
      <c r="I168" s="31"/>
      <c r="J168" s="25" t="str">
        <f t="shared" si="2"/>
        <v/>
      </c>
      <c r="K168" s="26"/>
      <c r="L168" s="26"/>
      <c r="M168" s="26"/>
      <c r="N168" s="27"/>
    </row>
    <row r="169">
      <c r="A169" s="21" t="str">
        <f t="shared" si="1"/>
        <v/>
      </c>
      <c r="B169" s="22" t="str">
        <f>IFERROR(__xludf.DUMMYFUNCTION("IF(C169="""","""",ROMAN(COUNTUNIQUE($C$6:C169)))"),"")</f>
        <v/>
      </c>
      <c r="C169" s="31"/>
      <c r="D169" s="32"/>
      <c r="E169" s="22" t="str">
        <f>IFERROR(__xludf.DUMMYFUNCTION("IF(F169="""","""",LEFT(ADDRESS(1,COUNTUNIQUE($F$6:F169),4)))"),"")</f>
        <v/>
      </c>
      <c r="F169" s="31"/>
      <c r="G169" s="32"/>
      <c r="H169" s="22" t="str">
        <f>IFERROR(__xludf.DUMMYFUNCTION("IF(I169="""","""",COUNTUNIQUE($I$6:I169))"),"")</f>
        <v/>
      </c>
      <c r="I169" s="31"/>
      <c r="J169" s="25" t="str">
        <f t="shared" si="2"/>
        <v/>
      </c>
      <c r="K169" s="26"/>
      <c r="L169" s="26"/>
      <c r="M169" s="26"/>
      <c r="N169" s="27"/>
    </row>
    <row r="170">
      <c r="A170" s="21" t="str">
        <f t="shared" si="1"/>
        <v/>
      </c>
      <c r="B170" s="22" t="str">
        <f>IFERROR(__xludf.DUMMYFUNCTION("IF(C170="""","""",ROMAN(COUNTUNIQUE($C$6:C170)))"),"")</f>
        <v/>
      </c>
      <c r="C170" s="31"/>
      <c r="D170" s="32"/>
      <c r="E170" s="22" t="str">
        <f>IFERROR(__xludf.DUMMYFUNCTION("IF(F170="""","""",LEFT(ADDRESS(1,COUNTUNIQUE($F$6:F170),4)))"),"")</f>
        <v/>
      </c>
      <c r="F170" s="31"/>
      <c r="G170" s="32"/>
      <c r="H170" s="22" t="str">
        <f>IFERROR(__xludf.DUMMYFUNCTION("IF(I170="""","""",COUNTUNIQUE($I$6:I170))"),"")</f>
        <v/>
      </c>
      <c r="I170" s="31"/>
      <c r="J170" s="25" t="str">
        <f t="shared" si="2"/>
        <v/>
      </c>
      <c r="K170" s="26"/>
      <c r="L170" s="26"/>
      <c r="M170" s="26"/>
      <c r="N170" s="27"/>
    </row>
    <row r="171">
      <c r="A171" s="21" t="str">
        <f t="shared" si="1"/>
        <v/>
      </c>
      <c r="B171" s="22" t="str">
        <f>IFERROR(__xludf.DUMMYFUNCTION("IF(C171="""","""",ROMAN(COUNTUNIQUE($C$6:C171)))"),"")</f>
        <v/>
      </c>
      <c r="C171" s="31"/>
      <c r="D171" s="32"/>
      <c r="E171" s="22" t="str">
        <f>IFERROR(__xludf.DUMMYFUNCTION("IF(F171="""","""",LEFT(ADDRESS(1,COUNTUNIQUE($F$6:F171),4)))"),"")</f>
        <v/>
      </c>
      <c r="F171" s="31"/>
      <c r="G171" s="32"/>
      <c r="H171" s="22" t="str">
        <f>IFERROR(__xludf.DUMMYFUNCTION("IF(I171="""","""",COUNTUNIQUE($I$6:I171))"),"")</f>
        <v/>
      </c>
      <c r="I171" s="31"/>
      <c r="J171" s="25" t="str">
        <f t="shared" si="2"/>
        <v/>
      </c>
      <c r="K171" s="26"/>
      <c r="L171" s="26"/>
      <c r="M171" s="26"/>
      <c r="N171" s="27"/>
    </row>
    <row r="172">
      <c r="A172" s="21" t="str">
        <f t="shared" si="1"/>
        <v/>
      </c>
      <c r="B172" s="22" t="str">
        <f>IFERROR(__xludf.DUMMYFUNCTION("IF(C172="""","""",ROMAN(COUNTUNIQUE($C$6:C172)))"),"")</f>
        <v/>
      </c>
      <c r="C172" s="31"/>
      <c r="D172" s="32"/>
      <c r="E172" s="22" t="str">
        <f>IFERROR(__xludf.DUMMYFUNCTION("IF(F172="""","""",LEFT(ADDRESS(1,COUNTUNIQUE($F$6:F172),4)))"),"")</f>
        <v/>
      </c>
      <c r="F172" s="31"/>
      <c r="G172" s="32"/>
      <c r="H172" s="22" t="str">
        <f>IFERROR(__xludf.DUMMYFUNCTION("IF(I172="""","""",COUNTUNIQUE($I$6:I172))"),"")</f>
        <v/>
      </c>
      <c r="I172" s="31"/>
      <c r="J172" s="25" t="str">
        <f t="shared" si="2"/>
        <v/>
      </c>
      <c r="K172" s="26"/>
      <c r="L172" s="26"/>
      <c r="M172" s="26"/>
      <c r="N172" s="27"/>
    </row>
    <row r="173">
      <c r="A173" s="21" t="str">
        <f t="shared" si="1"/>
        <v/>
      </c>
      <c r="B173" s="22" t="str">
        <f>IFERROR(__xludf.DUMMYFUNCTION("IF(C173="""","""",ROMAN(COUNTUNIQUE($C$6:C173)))"),"")</f>
        <v/>
      </c>
      <c r="C173" s="31"/>
      <c r="D173" s="32"/>
      <c r="E173" s="22" t="str">
        <f>IFERROR(__xludf.DUMMYFUNCTION("IF(F173="""","""",LEFT(ADDRESS(1,COUNTUNIQUE($F$6:F173),4)))"),"")</f>
        <v/>
      </c>
      <c r="F173" s="31"/>
      <c r="G173" s="32"/>
      <c r="H173" s="22" t="str">
        <f>IFERROR(__xludf.DUMMYFUNCTION("IF(I173="""","""",COUNTUNIQUE($I$6:I173))"),"")</f>
        <v/>
      </c>
      <c r="I173" s="31"/>
      <c r="J173" s="25" t="str">
        <f t="shared" si="2"/>
        <v/>
      </c>
      <c r="K173" s="26"/>
      <c r="L173" s="26"/>
      <c r="M173" s="26"/>
      <c r="N173" s="27"/>
    </row>
    <row r="174">
      <c r="A174" s="21" t="str">
        <f t="shared" si="1"/>
        <v/>
      </c>
      <c r="B174" s="22" t="str">
        <f>IFERROR(__xludf.DUMMYFUNCTION("IF(C174="""","""",ROMAN(COUNTUNIQUE($C$6:C174)))"),"")</f>
        <v/>
      </c>
      <c r="C174" s="31"/>
      <c r="D174" s="32"/>
      <c r="E174" s="22" t="str">
        <f>IFERROR(__xludf.DUMMYFUNCTION("IF(F174="""","""",LEFT(ADDRESS(1,COUNTUNIQUE($F$6:F174),4)))"),"")</f>
        <v/>
      </c>
      <c r="F174" s="31"/>
      <c r="G174" s="32"/>
      <c r="H174" s="22" t="str">
        <f>IFERROR(__xludf.DUMMYFUNCTION("IF(I174="""","""",COUNTUNIQUE($I$6:I174))"),"")</f>
        <v/>
      </c>
      <c r="I174" s="31"/>
      <c r="J174" s="25" t="str">
        <f t="shared" si="2"/>
        <v/>
      </c>
      <c r="K174" s="26"/>
      <c r="L174" s="26"/>
      <c r="M174" s="26"/>
      <c r="N174" s="27"/>
    </row>
    <row r="175">
      <c r="A175" s="21" t="str">
        <f t="shared" si="1"/>
        <v/>
      </c>
      <c r="B175" s="22" t="str">
        <f>IFERROR(__xludf.DUMMYFUNCTION("IF(C175="""","""",ROMAN(COUNTUNIQUE($C$6:C175)))"),"")</f>
        <v/>
      </c>
      <c r="C175" s="31"/>
      <c r="D175" s="32"/>
      <c r="E175" s="22" t="str">
        <f>IFERROR(__xludf.DUMMYFUNCTION("IF(F175="""","""",LEFT(ADDRESS(1,COUNTUNIQUE($F$6:F175),4)))"),"")</f>
        <v/>
      </c>
      <c r="F175" s="31"/>
      <c r="G175" s="32"/>
      <c r="H175" s="22" t="str">
        <f>IFERROR(__xludf.DUMMYFUNCTION("IF(I175="""","""",COUNTUNIQUE($I$6:I175))"),"")</f>
        <v/>
      </c>
      <c r="I175" s="31"/>
      <c r="J175" s="25" t="str">
        <f t="shared" si="2"/>
        <v/>
      </c>
      <c r="K175" s="26"/>
      <c r="L175" s="26"/>
      <c r="M175" s="26"/>
      <c r="N175" s="27"/>
    </row>
    <row r="176">
      <c r="A176" s="21" t="str">
        <f t="shared" si="1"/>
        <v/>
      </c>
      <c r="B176" s="22" t="str">
        <f>IFERROR(__xludf.DUMMYFUNCTION("IF(C176="""","""",ROMAN(COUNTUNIQUE($C$6:C176)))"),"")</f>
        <v/>
      </c>
      <c r="C176" s="31"/>
      <c r="D176" s="32"/>
      <c r="E176" s="22" t="str">
        <f>IFERROR(__xludf.DUMMYFUNCTION("IF(F176="""","""",LEFT(ADDRESS(1,COUNTUNIQUE($F$6:F176),4)))"),"")</f>
        <v/>
      </c>
      <c r="F176" s="31"/>
      <c r="G176" s="32"/>
      <c r="H176" s="22" t="str">
        <f>IFERROR(__xludf.DUMMYFUNCTION("IF(I176="""","""",COUNTUNIQUE($I$6:I176))"),"")</f>
        <v/>
      </c>
      <c r="I176" s="31"/>
      <c r="J176" s="25" t="str">
        <f t="shared" si="2"/>
        <v/>
      </c>
      <c r="K176" s="26"/>
      <c r="L176" s="26"/>
      <c r="M176" s="26"/>
      <c r="N176" s="27"/>
    </row>
    <row r="177">
      <c r="A177" s="21" t="str">
        <f t="shared" si="1"/>
        <v/>
      </c>
      <c r="B177" s="22" t="str">
        <f>IFERROR(__xludf.DUMMYFUNCTION("IF(C177="""","""",ROMAN(COUNTUNIQUE($C$6:C177)))"),"")</f>
        <v/>
      </c>
      <c r="C177" s="31"/>
      <c r="D177" s="32"/>
      <c r="E177" s="22" t="str">
        <f>IFERROR(__xludf.DUMMYFUNCTION("IF(F177="""","""",LEFT(ADDRESS(1,COUNTUNIQUE($F$6:F177),4)))"),"")</f>
        <v/>
      </c>
      <c r="F177" s="31"/>
      <c r="G177" s="32"/>
      <c r="H177" s="22" t="str">
        <f>IFERROR(__xludf.DUMMYFUNCTION("IF(I177="""","""",COUNTUNIQUE($I$6:I177))"),"")</f>
        <v/>
      </c>
      <c r="I177" s="31"/>
      <c r="J177" s="25" t="str">
        <f t="shared" si="2"/>
        <v/>
      </c>
      <c r="K177" s="26"/>
      <c r="L177" s="26"/>
      <c r="M177" s="26"/>
      <c r="N177" s="27"/>
    </row>
    <row r="178">
      <c r="A178" s="21" t="str">
        <f t="shared" si="1"/>
        <v/>
      </c>
      <c r="B178" s="22" t="str">
        <f>IFERROR(__xludf.DUMMYFUNCTION("IF(C178="""","""",ROMAN(COUNTUNIQUE($C$6:C178)))"),"")</f>
        <v/>
      </c>
      <c r="C178" s="31"/>
      <c r="D178" s="32"/>
      <c r="E178" s="22" t="str">
        <f>IFERROR(__xludf.DUMMYFUNCTION("IF(F178="""","""",LEFT(ADDRESS(1,COUNTUNIQUE($F$6:F178),4)))"),"")</f>
        <v/>
      </c>
      <c r="F178" s="31"/>
      <c r="G178" s="32"/>
      <c r="H178" s="22" t="str">
        <f>IFERROR(__xludf.DUMMYFUNCTION("IF(I178="""","""",COUNTUNIQUE($I$6:I178))"),"")</f>
        <v/>
      </c>
      <c r="I178" s="31"/>
      <c r="J178" s="25" t="str">
        <f t="shared" si="2"/>
        <v/>
      </c>
      <c r="K178" s="26"/>
      <c r="L178" s="26"/>
      <c r="M178" s="26"/>
      <c r="N178" s="27"/>
    </row>
    <row r="179">
      <c r="A179" s="21" t="str">
        <f t="shared" si="1"/>
        <v/>
      </c>
      <c r="B179" s="22" t="str">
        <f>IFERROR(__xludf.DUMMYFUNCTION("IF(C179="""","""",ROMAN(COUNTUNIQUE($C$6:C179)))"),"")</f>
        <v/>
      </c>
      <c r="C179" s="31"/>
      <c r="D179" s="32"/>
      <c r="E179" s="22" t="str">
        <f>IFERROR(__xludf.DUMMYFUNCTION("IF(F179="""","""",LEFT(ADDRESS(1,COUNTUNIQUE($F$6:F179),4)))"),"")</f>
        <v/>
      </c>
      <c r="F179" s="31"/>
      <c r="G179" s="32"/>
      <c r="H179" s="22" t="str">
        <f>IFERROR(__xludf.DUMMYFUNCTION("IF(I179="""","""",COUNTUNIQUE($I$6:I179))"),"")</f>
        <v/>
      </c>
      <c r="I179" s="31"/>
      <c r="J179" s="25" t="str">
        <f t="shared" si="2"/>
        <v/>
      </c>
      <c r="K179" s="26"/>
      <c r="L179" s="26"/>
      <c r="M179" s="26"/>
      <c r="N179" s="27"/>
    </row>
    <row r="180">
      <c r="A180" s="21" t="str">
        <f t="shared" si="1"/>
        <v/>
      </c>
      <c r="B180" s="22" t="str">
        <f>IFERROR(__xludf.DUMMYFUNCTION("IF(C180="""","""",ROMAN(COUNTUNIQUE($C$6:C180)))"),"")</f>
        <v/>
      </c>
      <c r="C180" s="31"/>
      <c r="D180" s="32"/>
      <c r="E180" s="22" t="str">
        <f>IFERROR(__xludf.DUMMYFUNCTION("IF(F180="""","""",LEFT(ADDRESS(1,COUNTUNIQUE($F$6:F180),4)))"),"")</f>
        <v/>
      </c>
      <c r="F180" s="31"/>
      <c r="G180" s="32"/>
      <c r="H180" s="22" t="str">
        <f>IFERROR(__xludf.DUMMYFUNCTION("IF(I180="""","""",COUNTUNIQUE($I$6:I180))"),"")</f>
        <v/>
      </c>
      <c r="I180" s="31"/>
      <c r="J180" s="25" t="str">
        <f t="shared" si="2"/>
        <v/>
      </c>
      <c r="K180" s="26"/>
      <c r="L180" s="26"/>
      <c r="M180" s="26"/>
      <c r="N180" s="27"/>
    </row>
    <row r="181">
      <c r="A181" s="21" t="str">
        <f t="shared" si="1"/>
        <v/>
      </c>
      <c r="B181" s="22" t="str">
        <f>IFERROR(__xludf.DUMMYFUNCTION("IF(C181="""","""",ROMAN(COUNTUNIQUE($C$6:C181)))"),"")</f>
        <v/>
      </c>
      <c r="C181" s="31"/>
      <c r="D181" s="32"/>
      <c r="E181" s="22" t="str">
        <f>IFERROR(__xludf.DUMMYFUNCTION("IF(F181="""","""",LEFT(ADDRESS(1,COUNTUNIQUE($F$6:F181),4)))"),"")</f>
        <v/>
      </c>
      <c r="F181" s="31"/>
      <c r="G181" s="32"/>
      <c r="H181" s="22" t="str">
        <f>IFERROR(__xludf.DUMMYFUNCTION("IF(I181="""","""",COUNTUNIQUE($I$6:I181))"),"")</f>
        <v/>
      </c>
      <c r="I181" s="31"/>
      <c r="J181" s="25" t="str">
        <f t="shared" si="2"/>
        <v/>
      </c>
      <c r="K181" s="26"/>
      <c r="L181" s="26"/>
      <c r="M181" s="26"/>
      <c r="N181" s="27"/>
    </row>
    <row r="182">
      <c r="A182" s="21" t="str">
        <f t="shared" si="1"/>
        <v/>
      </c>
      <c r="B182" s="22" t="str">
        <f>IFERROR(__xludf.DUMMYFUNCTION("IF(C182="""","""",ROMAN(COUNTUNIQUE($C$6:C182)))"),"")</f>
        <v/>
      </c>
      <c r="C182" s="31"/>
      <c r="D182" s="32"/>
      <c r="E182" s="22" t="str">
        <f>IFERROR(__xludf.DUMMYFUNCTION("IF(F182="""","""",LEFT(ADDRESS(1,COUNTUNIQUE($F$6:F182),4)))"),"")</f>
        <v/>
      </c>
      <c r="F182" s="31"/>
      <c r="G182" s="32"/>
      <c r="H182" s="22" t="str">
        <f>IFERROR(__xludf.DUMMYFUNCTION("IF(I182="""","""",COUNTUNIQUE($I$6:I182))"),"")</f>
        <v/>
      </c>
      <c r="I182" s="31"/>
      <c r="J182" s="25" t="str">
        <f t="shared" si="2"/>
        <v/>
      </c>
      <c r="K182" s="26"/>
      <c r="L182" s="26"/>
      <c r="M182" s="26"/>
      <c r="N182" s="27"/>
    </row>
    <row r="183">
      <c r="A183" s="21" t="str">
        <f t="shared" si="1"/>
        <v/>
      </c>
      <c r="B183" s="22" t="str">
        <f>IFERROR(__xludf.DUMMYFUNCTION("IF(C183="""","""",ROMAN(COUNTUNIQUE($C$6:C183)))"),"")</f>
        <v/>
      </c>
      <c r="C183" s="31"/>
      <c r="D183" s="32"/>
      <c r="E183" s="22" t="str">
        <f>IFERROR(__xludf.DUMMYFUNCTION("IF(F183="""","""",LEFT(ADDRESS(1,COUNTUNIQUE($F$6:F183),4)))"),"")</f>
        <v/>
      </c>
      <c r="F183" s="31"/>
      <c r="G183" s="32"/>
      <c r="H183" s="22" t="str">
        <f>IFERROR(__xludf.DUMMYFUNCTION("IF(I183="""","""",COUNTUNIQUE($I$6:I183))"),"")</f>
        <v/>
      </c>
      <c r="I183" s="31"/>
      <c r="J183" s="25" t="str">
        <f t="shared" si="2"/>
        <v/>
      </c>
      <c r="K183" s="26"/>
      <c r="L183" s="26"/>
      <c r="M183" s="26"/>
      <c r="N183" s="27"/>
    </row>
    <row r="184">
      <c r="A184" s="21" t="str">
        <f t="shared" si="1"/>
        <v/>
      </c>
      <c r="B184" s="22" t="str">
        <f>IFERROR(__xludf.DUMMYFUNCTION("IF(C184="""","""",ROMAN(COUNTUNIQUE($C$6:C184)))"),"")</f>
        <v/>
      </c>
      <c r="C184" s="31"/>
      <c r="D184" s="32"/>
      <c r="E184" s="22" t="str">
        <f>IFERROR(__xludf.DUMMYFUNCTION("IF(F184="""","""",LEFT(ADDRESS(1,COUNTUNIQUE($F$6:F184),4)))"),"")</f>
        <v/>
      </c>
      <c r="F184" s="31"/>
      <c r="G184" s="32"/>
      <c r="H184" s="22" t="str">
        <f>IFERROR(__xludf.DUMMYFUNCTION("IF(I184="""","""",COUNTUNIQUE($I$6:I184))"),"")</f>
        <v/>
      </c>
      <c r="I184" s="31"/>
      <c r="J184" s="25" t="str">
        <f t="shared" si="2"/>
        <v/>
      </c>
      <c r="K184" s="26"/>
      <c r="L184" s="26"/>
      <c r="M184" s="26"/>
      <c r="N184" s="27"/>
    </row>
    <row r="185">
      <c r="A185" s="21" t="str">
        <f t="shared" si="1"/>
        <v/>
      </c>
      <c r="B185" s="22" t="str">
        <f>IFERROR(__xludf.DUMMYFUNCTION("IF(C185="""","""",ROMAN(COUNTUNIQUE($C$6:C185)))"),"")</f>
        <v/>
      </c>
      <c r="C185" s="31"/>
      <c r="D185" s="32"/>
      <c r="E185" s="22" t="str">
        <f>IFERROR(__xludf.DUMMYFUNCTION("IF(F185="""","""",LEFT(ADDRESS(1,COUNTUNIQUE($F$6:F185),4)))"),"")</f>
        <v/>
      </c>
      <c r="F185" s="31"/>
      <c r="G185" s="32"/>
      <c r="H185" s="22" t="str">
        <f>IFERROR(__xludf.DUMMYFUNCTION("IF(I185="""","""",COUNTUNIQUE($I$6:I185))"),"")</f>
        <v/>
      </c>
      <c r="I185" s="31"/>
      <c r="J185" s="25" t="str">
        <f t="shared" si="2"/>
        <v/>
      </c>
      <c r="K185" s="26"/>
      <c r="L185" s="26"/>
      <c r="M185" s="26"/>
      <c r="N185" s="27"/>
    </row>
    <row r="186">
      <c r="A186" s="21" t="str">
        <f t="shared" si="1"/>
        <v/>
      </c>
      <c r="B186" s="22" t="str">
        <f>IFERROR(__xludf.DUMMYFUNCTION("IF(C186="""","""",ROMAN(COUNTUNIQUE($C$6:C186)))"),"")</f>
        <v/>
      </c>
      <c r="C186" s="31"/>
      <c r="D186" s="32"/>
      <c r="E186" s="22" t="str">
        <f>IFERROR(__xludf.DUMMYFUNCTION("IF(F186="""","""",LEFT(ADDRESS(1,COUNTUNIQUE($F$6:F186),4)))"),"")</f>
        <v/>
      </c>
      <c r="F186" s="31"/>
      <c r="G186" s="32"/>
      <c r="H186" s="22" t="str">
        <f>IFERROR(__xludf.DUMMYFUNCTION("IF(I186="""","""",COUNTUNIQUE($I$6:I186))"),"")</f>
        <v/>
      </c>
      <c r="I186" s="31"/>
      <c r="J186" s="25" t="str">
        <f t="shared" si="2"/>
        <v/>
      </c>
      <c r="K186" s="26"/>
      <c r="L186" s="26"/>
      <c r="M186" s="26"/>
      <c r="N186" s="27"/>
    </row>
    <row r="187">
      <c r="A187" s="21" t="str">
        <f t="shared" si="1"/>
        <v/>
      </c>
      <c r="B187" s="22" t="str">
        <f>IFERROR(__xludf.DUMMYFUNCTION("IF(C187="""","""",ROMAN(COUNTUNIQUE($C$6:C187)))"),"")</f>
        <v/>
      </c>
      <c r="C187" s="31"/>
      <c r="D187" s="32"/>
      <c r="E187" s="22" t="str">
        <f>IFERROR(__xludf.DUMMYFUNCTION("IF(F187="""","""",LEFT(ADDRESS(1,COUNTUNIQUE($F$6:F187),4)))"),"")</f>
        <v/>
      </c>
      <c r="F187" s="31"/>
      <c r="G187" s="32"/>
      <c r="H187" s="22" t="str">
        <f>IFERROR(__xludf.DUMMYFUNCTION("IF(I187="""","""",COUNTUNIQUE($I$6:I187))"),"")</f>
        <v/>
      </c>
      <c r="I187" s="31"/>
      <c r="J187" s="25" t="str">
        <f t="shared" si="2"/>
        <v/>
      </c>
      <c r="K187" s="26"/>
      <c r="L187" s="26"/>
      <c r="M187" s="26"/>
      <c r="N187" s="27"/>
    </row>
    <row r="188">
      <c r="A188" s="21" t="str">
        <f t="shared" si="1"/>
        <v/>
      </c>
      <c r="B188" s="22" t="str">
        <f>IFERROR(__xludf.DUMMYFUNCTION("IF(C188="""","""",ROMAN(COUNTUNIQUE($C$6:C188)))"),"")</f>
        <v/>
      </c>
      <c r="C188" s="31"/>
      <c r="D188" s="32"/>
      <c r="E188" s="22" t="str">
        <f>IFERROR(__xludf.DUMMYFUNCTION("IF(F188="""","""",LEFT(ADDRESS(1,COUNTUNIQUE($F$6:F188),4)))"),"")</f>
        <v/>
      </c>
      <c r="F188" s="31"/>
      <c r="G188" s="32"/>
      <c r="H188" s="22" t="str">
        <f>IFERROR(__xludf.DUMMYFUNCTION("IF(I188="""","""",COUNTUNIQUE($I$6:I188))"),"")</f>
        <v/>
      </c>
      <c r="I188" s="31"/>
      <c r="J188" s="25" t="str">
        <f t="shared" si="2"/>
        <v/>
      </c>
      <c r="K188" s="26"/>
      <c r="L188" s="26"/>
      <c r="M188" s="26"/>
      <c r="N188" s="27"/>
    </row>
    <row r="189">
      <c r="A189" s="21" t="str">
        <f t="shared" si="1"/>
        <v/>
      </c>
      <c r="B189" s="22" t="str">
        <f>IFERROR(__xludf.DUMMYFUNCTION("IF(C189="""","""",ROMAN(COUNTUNIQUE($C$6:C189)))"),"")</f>
        <v/>
      </c>
      <c r="C189" s="31"/>
      <c r="D189" s="32"/>
      <c r="E189" s="22" t="str">
        <f>IFERROR(__xludf.DUMMYFUNCTION("IF(F189="""","""",LEFT(ADDRESS(1,COUNTUNIQUE($F$6:F189),4)))"),"")</f>
        <v/>
      </c>
      <c r="F189" s="31"/>
      <c r="G189" s="32"/>
      <c r="H189" s="22" t="str">
        <f>IFERROR(__xludf.DUMMYFUNCTION("IF(I189="""","""",COUNTUNIQUE($I$6:I189))"),"")</f>
        <v/>
      </c>
      <c r="I189" s="31"/>
      <c r="J189" s="25" t="str">
        <f t="shared" si="2"/>
        <v/>
      </c>
      <c r="K189" s="26"/>
      <c r="L189" s="26"/>
      <c r="M189" s="26"/>
      <c r="N189" s="27"/>
    </row>
    <row r="190">
      <c r="A190" s="21" t="str">
        <f t="shared" si="1"/>
        <v/>
      </c>
      <c r="B190" s="22" t="str">
        <f>IFERROR(__xludf.DUMMYFUNCTION("IF(C190="""","""",ROMAN(COUNTUNIQUE($C$6:C190)))"),"")</f>
        <v/>
      </c>
      <c r="C190" s="31"/>
      <c r="D190" s="32"/>
      <c r="E190" s="22" t="str">
        <f>IFERROR(__xludf.DUMMYFUNCTION("IF(F190="""","""",LEFT(ADDRESS(1,COUNTUNIQUE($F$6:F190),4)))"),"")</f>
        <v/>
      </c>
      <c r="F190" s="31"/>
      <c r="G190" s="32"/>
      <c r="H190" s="22" t="str">
        <f>IFERROR(__xludf.DUMMYFUNCTION("IF(I190="""","""",COUNTUNIQUE($I$6:I190))"),"")</f>
        <v/>
      </c>
      <c r="I190" s="31"/>
      <c r="J190" s="25" t="str">
        <f t="shared" si="2"/>
        <v/>
      </c>
      <c r="K190" s="26"/>
      <c r="L190" s="26"/>
      <c r="M190" s="26"/>
      <c r="N190" s="27"/>
    </row>
    <row r="191">
      <c r="A191" s="21" t="str">
        <f t="shared" si="1"/>
        <v/>
      </c>
      <c r="B191" s="22" t="str">
        <f>IFERROR(__xludf.DUMMYFUNCTION("IF(C191="""","""",ROMAN(COUNTUNIQUE($C$6:C191)))"),"")</f>
        <v/>
      </c>
      <c r="C191" s="31"/>
      <c r="D191" s="32"/>
      <c r="E191" s="22" t="str">
        <f>IFERROR(__xludf.DUMMYFUNCTION("IF(F191="""","""",LEFT(ADDRESS(1,COUNTUNIQUE($F$6:F191),4)))"),"")</f>
        <v/>
      </c>
      <c r="F191" s="31"/>
      <c r="G191" s="32"/>
      <c r="H191" s="22" t="str">
        <f>IFERROR(__xludf.DUMMYFUNCTION("IF(I191="""","""",COUNTUNIQUE($I$6:I191))"),"")</f>
        <v/>
      </c>
      <c r="I191" s="31"/>
      <c r="J191" s="25" t="str">
        <f t="shared" si="2"/>
        <v/>
      </c>
      <c r="K191" s="26"/>
      <c r="L191" s="26"/>
      <c r="M191" s="26"/>
      <c r="N191" s="27"/>
    </row>
    <row r="192">
      <c r="A192" s="21" t="str">
        <f t="shared" si="1"/>
        <v/>
      </c>
      <c r="B192" s="22" t="str">
        <f>IFERROR(__xludf.DUMMYFUNCTION("IF(C192="""","""",ROMAN(COUNTUNIQUE($C$6:C192)))"),"")</f>
        <v/>
      </c>
      <c r="C192" s="31"/>
      <c r="D192" s="32"/>
      <c r="E192" s="22" t="str">
        <f>IFERROR(__xludf.DUMMYFUNCTION("IF(F192="""","""",LEFT(ADDRESS(1,COUNTUNIQUE($F$6:F192),4)))"),"")</f>
        <v/>
      </c>
      <c r="F192" s="31"/>
      <c r="G192" s="32"/>
      <c r="H192" s="22" t="str">
        <f>IFERROR(__xludf.DUMMYFUNCTION("IF(I192="""","""",COUNTUNIQUE($I$6:I192))"),"")</f>
        <v/>
      </c>
      <c r="I192" s="31"/>
      <c r="J192" s="25" t="str">
        <f t="shared" si="2"/>
        <v/>
      </c>
      <c r="K192" s="26"/>
      <c r="L192" s="26"/>
      <c r="M192" s="26"/>
      <c r="N192" s="27"/>
    </row>
    <row r="193">
      <c r="A193" s="21" t="str">
        <f t="shared" si="1"/>
        <v/>
      </c>
      <c r="B193" s="22" t="str">
        <f>IFERROR(__xludf.DUMMYFUNCTION("IF(C193="""","""",ROMAN(COUNTUNIQUE($C$6:C193)))"),"")</f>
        <v/>
      </c>
      <c r="C193" s="31"/>
      <c r="D193" s="32"/>
      <c r="E193" s="22" t="str">
        <f>IFERROR(__xludf.DUMMYFUNCTION("IF(F193="""","""",LEFT(ADDRESS(1,COUNTUNIQUE($F$6:F193),4)))"),"")</f>
        <v/>
      </c>
      <c r="F193" s="31"/>
      <c r="G193" s="32"/>
      <c r="H193" s="22" t="str">
        <f>IFERROR(__xludf.DUMMYFUNCTION("IF(I193="""","""",COUNTUNIQUE($I$6:I193))"),"")</f>
        <v/>
      </c>
      <c r="I193" s="31"/>
      <c r="J193" s="25" t="str">
        <f t="shared" si="2"/>
        <v/>
      </c>
      <c r="K193" s="26"/>
      <c r="L193" s="26"/>
      <c r="M193" s="26"/>
      <c r="N193" s="27"/>
    </row>
    <row r="194">
      <c r="A194" s="21" t="str">
        <f t="shared" si="1"/>
        <v/>
      </c>
      <c r="B194" s="22" t="str">
        <f>IFERROR(__xludf.DUMMYFUNCTION("IF(C194="""","""",ROMAN(COUNTUNIQUE($C$6:C194)))"),"")</f>
        <v/>
      </c>
      <c r="C194" s="31"/>
      <c r="D194" s="32"/>
      <c r="E194" s="22" t="str">
        <f>IFERROR(__xludf.DUMMYFUNCTION("IF(F194="""","""",LEFT(ADDRESS(1,COUNTUNIQUE($F$6:F194),4)))"),"")</f>
        <v/>
      </c>
      <c r="F194" s="31"/>
      <c r="G194" s="32"/>
      <c r="H194" s="22" t="str">
        <f>IFERROR(__xludf.DUMMYFUNCTION("IF(I194="""","""",COUNTUNIQUE($I$6:I194))"),"")</f>
        <v/>
      </c>
      <c r="I194" s="31"/>
      <c r="J194" s="25" t="str">
        <f t="shared" si="2"/>
        <v/>
      </c>
      <c r="K194" s="26"/>
      <c r="L194" s="26"/>
      <c r="M194" s="26"/>
      <c r="N194" s="27"/>
    </row>
    <row r="195">
      <c r="A195" s="21" t="str">
        <f t="shared" si="1"/>
        <v/>
      </c>
      <c r="B195" s="22" t="str">
        <f>IFERROR(__xludf.DUMMYFUNCTION("IF(C195="""","""",ROMAN(COUNTUNIQUE($C$6:C195)))"),"")</f>
        <v/>
      </c>
      <c r="C195" s="31"/>
      <c r="D195" s="32"/>
      <c r="E195" s="22" t="str">
        <f>IFERROR(__xludf.DUMMYFUNCTION("IF(F195="""","""",LEFT(ADDRESS(1,COUNTUNIQUE($F$6:F195),4)))"),"")</f>
        <v/>
      </c>
      <c r="F195" s="31"/>
      <c r="G195" s="32"/>
      <c r="H195" s="22" t="str">
        <f>IFERROR(__xludf.DUMMYFUNCTION("IF(I195="""","""",COUNTUNIQUE($I$6:I195))"),"")</f>
        <v/>
      </c>
      <c r="I195" s="31"/>
      <c r="J195" s="25" t="str">
        <f t="shared" si="2"/>
        <v/>
      </c>
      <c r="K195" s="26"/>
      <c r="L195" s="26"/>
      <c r="M195" s="26"/>
      <c r="N195" s="27"/>
    </row>
    <row r="196">
      <c r="A196" s="21" t="str">
        <f t="shared" si="1"/>
        <v/>
      </c>
      <c r="B196" s="22" t="str">
        <f>IFERROR(__xludf.DUMMYFUNCTION("IF(C196="""","""",ROMAN(COUNTUNIQUE($C$6:C196)))"),"")</f>
        <v/>
      </c>
      <c r="C196" s="31"/>
      <c r="D196" s="32"/>
      <c r="E196" s="22" t="str">
        <f>IFERROR(__xludf.DUMMYFUNCTION("IF(F196="""","""",LEFT(ADDRESS(1,COUNTUNIQUE($F$6:F196),4)))"),"")</f>
        <v/>
      </c>
      <c r="F196" s="31"/>
      <c r="G196" s="32"/>
      <c r="H196" s="22" t="str">
        <f>IFERROR(__xludf.DUMMYFUNCTION("IF(I196="""","""",COUNTUNIQUE($I$6:I196))"),"")</f>
        <v/>
      </c>
      <c r="I196" s="31"/>
      <c r="J196" s="25" t="str">
        <f t="shared" si="2"/>
        <v/>
      </c>
      <c r="K196" s="26"/>
      <c r="L196" s="26"/>
      <c r="M196" s="26"/>
      <c r="N196" s="27"/>
    </row>
    <row r="197">
      <c r="A197" s="21" t="str">
        <f t="shared" si="1"/>
        <v/>
      </c>
      <c r="B197" s="22" t="str">
        <f>IFERROR(__xludf.DUMMYFUNCTION("IF(C197="""","""",ROMAN(COUNTUNIQUE($C$6:C197)))"),"")</f>
        <v/>
      </c>
      <c r="C197" s="31"/>
      <c r="D197" s="32"/>
      <c r="E197" s="22" t="str">
        <f>IFERROR(__xludf.DUMMYFUNCTION("IF(F197="""","""",LEFT(ADDRESS(1,COUNTUNIQUE($F$6:F197),4)))"),"")</f>
        <v/>
      </c>
      <c r="F197" s="31"/>
      <c r="G197" s="32"/>
      <c r="H197" s="22" t="str">
        <f>IFERROR(__xludf.DUMMYFUNCTION("IF(I197="""","""",COUNTUNIQUE($I$6:I197))"),"")</f>
        <v/>
      </c>
      <c r="I197" s="31"/>
      <c r="J197" s="25" t="str">
        <f t="shared" si="2"/>
        <v/>
      </c>
      <c r="K197" s="26"/>
      <c r="L197" s="26"/>
      <c r="M197" s="26"/>
      <c r="N197" s="27"/>
    </row>
    <row r="198">
      <c r="A198" s="21" t="str">
        <f t="shared" si="1"/>
        <v/>
      </c>
      <c r="B198" s="22" t="str">
        <f>IFERROR(__xludf.DUMMYFUNCTION("IF(C198="""","""",ROMAN(COUNTUNIQUE($C$6:C198)))"),"")</f>
        <v/>
      </c>
      <c r="C198" s="31"/>
      <c r="D198" s="32"/>
      <c r="E198" s="22" t="str">
        <f>IFERROR(__xludf.DUMMYFUNCTION("IF(F198="""","""",LEFT(ADDRESS(1,COUNTUNIQUE($F$6:F198),4)))"),"")</f>
        <v/>
      </c>
      <c r="F198" s="31"/>
      <c r="G198" s="32"/>
      <c r="H198" s="22" t="str">
        <f>IFERROR(__xludf.DUMMYFUNCTION("IF(I198="""","""",COUNTUNIQUE($I$6:I198))"),"")</f>
        <v/>
      </c>
      <c r="I198" s="31"/>
      <c r="J198" s="25" t="str">
        <f t="shared" si="2"/>
        <v/>
      </c>
      <c r="K198" s="26"/>
      <c r="L198" s="26"/>
      <c r="M198" s="26"/>
      <c r="N198" s="27"/>
    </row>
    <row r="199">
      <c r="A199" s="21" t="str">
        <f t="shared" si="1"/>
        <v/>
      </c>
      <c r="B199" s="22" t="str">
        <f>IFERROR(__xludf.DUMMYFUNCTION("IF(C199="""","""",ROMAN(COUNTUNIQUE($C$6:C199)))"),"")</f>
        <v/>
      </c>
      <c r="C199" s="31"/>
      <c r="D199" s="32"/>
      <c r="E199" s="22" t="str">
        <f>IFERROR(__xludf.DUMMYFUNCTION("IF(F199="""","""",LEFT(ADDRESS(1,COUNTUNIQUE($F$6:F199),4)))"),"")</f>
        <v/>
      </c>
      <c r="F199" s="31"/>
      <c r="G199" s="32"/>
      <c r="H199" s="22" t="str">
        <f>IFERROR(__xludf.DUMMYFUNCTION("IF(I199="""","""",COUNTUNIQUE($I$6:I199))"),"")</f>
        <v/>
      </c>
      <c r="I199" s="31"/>
      <c r="J199" s="25" t="str">
        <f t="shared" si="2"/>
        <v/>
      </c>
      <c r="K199" s="26"/>
      <c r="L199" s="26"/>
      <c r="M199" s="26"/>
      <c r="N199" s="27"/>
    </row>
    <row r="200">
      <c r="A200" s="21" t="str">
        <f t="shared" si="1"/>
        <v/>
      </c>
      <c r="B200" s="22" t="str">
        <f>IFERROR(__xludf.DUMMYFUNCTION("IF(C200="""","""",ROMAN(COUNTUNIQUE($C$6:C200)))"),"")</f>
        <v/>
      </c>
      <c r="C200" s="31"/>
      <c r="D200" s="32"/>
      <c r="E200" s="22" t="str">
        <f>IFERROR(__xludf.DUMMYFUNCTION("IF(F200="""","""",LEFT(ADDRESS(1,COUNTUNIQUE($F$6:F200),4)))"),"")</f>
        <v/>
      </c>
      <c r="F200" s="31"/>
      <c r="G200" s="32"/>
      <c r="H200" s="22" t="str">
        <f>IFERROR(__xludf.DUMMYFUNCTION("IF(I200="""","""",COUNTUNIQUE($I$6:I200))"),"")</f>
        <v/>
      </c>
      <c r="I200" s="31"/>
      <c r="J200" s="25" t="str">
        <f t="shared" si="2"/>
        <v/>
      </c>
      <c r="K200" s="26"/>
      <c r="L200" s="26"/>
      <c r="M200" s="26"/>
      <c r="N200" s="27"/>
    </row>
    <row r="201">
      <c r="A201" s="21" t="str">
        <f t="shared" si="1"/>
        <v/>
      </c>
      <c r="B201" s="22" t="str">
        <f>IFERROR(__xludf.DUMMYFUNCTION("IF(C201="""","""",ROMAN(COUNTUNIQUE($C$6:C201)))"),"")</f>
        <v/>
      </c>
      <c r="C201" s="31"/>
      <c r="D201" s="32"/>
      <c r="E201" s="22" t="str">
        <f>IFERROR(__xludf.DUMMYFUNCTION("IF(F201="""","""",LEFT(ADDRESS(1,COUNTUNIQUE($F$6:F201),4)))"),"")</f>
        <v/>
      </c>
      <c r="F201" s="31"/>
      <c r="G201" s="32"/>
      <c r="H201" s="22" t="str">
        <f>IFERROR(__xludf.DUMMYFUNCTION("IF(I201="""","""",COUNTUNIQUE($I$6:I201))"),"")</f>
        <v/>
      </c>
      <c r="I201" s="31"/>
      <c r="J201" s="25" t="str">
        <f t="shared" si="2"/>
        <v/>
      </c>
      <c r="K201" s="26"/>
      <c r="L201" s="26"/>
      <c r="M201" s="26"/>
      <c r="N201" s="27"/>
    </row>
    <row r="202">
      <c r="A202" s="21" t="str">
        <f t="shared" si="1"/>
        <v/>
      </c>
      <c r="B202" s="22" t="str">
        <f>IFERROR(__xludf.DUMMYFUNCTION("IF(C202="""","""",ROMAN(COUNTUNIQUE($C$6:C202)))"),"")</f>
        <v/>
      </c>
      <c r="C202" s="31"/>
      <c r="D202" s="32"/>
      <c r="E202" s="22" t="str">
        <f>IFERROR(__xludf.DUMMYFUNCTION("IF(F202="""","""",LEFT(ADDRESS(1,COUNTUNIQUE($F$6:F202),4)))"),"")</f>
        <v/>
      </c>
      <c r="F202" s="31"/>
      <c r="G202" s="32"/>
      <c r="H202" s="22" t="str">
        <f>IFERROR(__xludf.DUMMYFUNCTION("IF(I202="""","""",COUNTUNIQUE($I$6:I202))"),"")</f>
        <v/>
      </c>
      <c r="I202" s="31"/>
      <c r="J202" s="25" t="str">
        <f t="shared" si="2"/>
        <v/>
      </c>
      <c r="K202" s="26"/>
      <c r="L202" s="26"/>
      <c r="M202" s="26"/>
      <c r="N202" s="27"/>
    </row>
    <row r="203">
      <c r="A203" s="21" t="str">
        <f t="shared" si="1"/>
        <v/>
      </c>
      <c r="B203" s="22" t="str">
        <f>IFERROR(__xludf.DUMMYFUNCTION("IF(C203="""","""",ROMAN(COUNTUNIQUE($C$6:C203)))"),"")</f>
        <v/>
      </c>
      <c r="C203" s="31"/>
      <c r="D203" s="32"/>
      <c r="E203" s="22" t="str">
        <f>IFERROR(__xludf.DUMMYFUNCTION("IF(F203="""","""",LEFT(ADDRESS(1,COUNTUNIQUE($F$6:F203),4)))"),"")</f>
        <v/>
      </c>
      <c r="F203" s="31"/>
      <c r="G203" s="32"/>
      <c r="H203" s="22" t="str">
        <f>IFERROR(__xludf.DUMMYFUNCTION("IF(I203="""","""",COUNTUNIQUE($I$6:I203))"),"")</f>
        <v/>
      </c>
      <c r="I203" s="31"/>
      <c r="J203" s="25" t="str">
        <f t="shared" si="2"/>
        <v/>
      </c>
      <c r="K203" s="26"/>
      <c r="L203" s="26"/>
      <c r="M203" s="26"/>
      <c r="N203" s="27"/>
    </row>
    <row r="204">
      <c r="A204" s="21" t="str">
        <f t="shared" si="1"/>
        <v/>
      </c>
      <c r="B204" s="22" t="str">
        <f>IFERROR(__xludf.DUMMYFUNCTION("IF(C204="""","""",ROMAN(COUNTUNIQUE($C$6:C204)))"),"")</f>
        <v/>
      </c>
      <c r="C204" s="31"/>
      <c r="D204" s="32"/>
      <c r="E204" s="22" t="str">
        <f>IFERROR(__xludf.DUMMYFUNCTION("IF(F204="""","""",LEFT(ADDRESS(1,COUNTUNIQUE($F$6:F204),4)))"),"")</f>
        <v/>
      </c>
      <c r="F204" s="31"/>
      <c r="G204" s="32"/>
      <c r="H204" s="22" t="str">
        <f>IFERROR(__xludf.DUMMYFUNCTION("IF(I204="""","""",COUNTUNIQUE($I$6:I204))"),"")</f>
        <v/>
      </c>
      <c r="I204" s="31"/>
      <c r="J204" s="25" t="str">
        <f t="shared" si="2"/>
        <v/>
      </c>
      <c r="K204" s="26"/>
      <c r="L204" s="26"/>
      <c r="M204" s="26"/>
      <c r="N204" s="27"/>
    </row>
    <row r="205">
      <c r="A205" s="21" t="str">
        <f t="shared" si="1"/>
        <v/>
      </c>
      <c r="B205" s="22" t="str">
        <f>IFERROR(__xludf.DUMMYFUNCTION("IF(C205="""","""",ROMAN(COUNTUNIQUE($C$6:C205)))"),"")</f>
        <v/>
      </c>
      <c r="C205" s="31"/>
      <c r="D205" s="32"/>
      <c r="E205" s="22" t="str">
        <f>IFERROR(__xludf.DUMMYFUNCTION("IF(F205="""","""",LEFT(ADDRESS(1,COUNTUNIQUE($F$6:F205),4)))"),"")</f>
        <v/>
      </c>
      <c r="F205" s="31"/>
      <c r="G205" s="32"/>
      <c r="H205" s="22" t="str">
        <f>IFERROR(__xludf.DUMMYFUNCTION("IF(I205="""","""",COUNTUNIQUE($I$6:I205))"),"")</f>
        <v/>
      </c>
      <c r="I205" s="31"/>
      <c r="J205" s="25" t="str">
        <f t="shared" si="2"/>
        <v/>
      </c>
      <c r="K205" s="26"/>
      <c r="L205" s="26"/>
      <c r="M205" s="26"/>
      <c r="N205" s="27"/>
    </row>
    <row r="206">
      <c r="A206" s="21" t="str">
        <f t="shared" si="1"/>
        <v/>
      </c>
      <c r="B206" s="22" t="str">
        <f>IFERROR(__xludf.DUMMYFUNCTION("IF(C206="""","""",ROMAN(COUNTUNIQUE($C$6:C206)))"),"")</f>
        <v/>
      </c>
      <c r="C206" s="31"/>
      <c r="D206" s="32"/>
      <c r="E206" s="22" t="str">
        <f>IFERROR(__xludf.DUMMYFUNCTION("IF(F206="""","""",LEFT(ADDRESS(1,COUNTUNIQUE($F$6:F206),4)))"),"")</f>
        <v/>
      </c>
      <c r="F206" s="31"/>
      <c r="G206" s="32"/>
      <c r="H206" s="22" t="str">
        <f>IFERROR(__xludf.DUMMYFUNCTION("IF(I206="""","""",COUNTUNIQUE($I$6:I206))"),"")</f>
        <v/>
      </c>
      <c r="I206" s="31"/>
      <c r="J206" s="25" t="str">
        <f t="shared" si="2"/>
        <v/>
      </c>
      <c r="K206" s="26"/>
      <c r="L206" s="26"/>
      <c r="M206" s="26"/>
      <c r="N206" s="27"/>
    </row>
    <row r="207">
      <c r="A207" s="21" t="str">
        <f t="shared" si="1"/>
        <v/>
      </c>
      <c r="B207" s="22" t="str">
        <f>IFERROR(__xludf.DUMMYFUNCTION("IF(C207="""","""",ROMAN(COUNTUNIQUE($C$6:C207)))"),"")</f>
        <v/>
      </c>
      <c r="C207" s="31"/>
      <c r="D207" s="32"/>
      <c r="E207" s="22" t="str">
        <f>IFERROR(__xludf.DUMMYFUNCTION("IF(F207="""","""",LEFT(ADDRESS(1,COUNTUNIQUE($F$6:F207),4)))"),"")</f>
        <v/>
      </c>
      <c r="F207" s="31"/>
      <c r="G207" s="32"/>
      <c r="H207" s="22" t="str">
        <f>IFERROR(__xludf.DUMMYFUNCTION("IF(I207="""","""",COUNTUNIQUE($I$6:I207))"),"")</f>
        <v/>
      </c>
      <c r="I207" s="31"/>
      <c r="J207" s="25" t="str">
        <f t="shared" si="2"/>
        <v/>
      </c>
      <c r="K207" s="26"/>
      <c r="L207" s="26"/>
      <c r="M207" s="26"/>
      <c r="N207" s="27"/>
    </row>
    <row r="208">
      <c r="A208" s="21" t="str">
        <f t="shared" si="1"/>
        <v/>
      </c>
      <c r="B208" s="22" t="str">
        <f>IFERROR(__xludf.DUMMYFUNCTION("IF(C208="""","""",ROMAN(COUNTUNIQUE($C$6:C208)))"),"")</f>
        <v/>
      </c>
      <c r="C208" s="31"/>
      <c r="D208" s="32"/>
      <c r="E208" s="22" t="str">
        <f>IFERROR(__xludf.DUMMYFUNCTION("IF(F208="""","""",LEFT(ADDRESS(1,COUNTUNIQUE($F$6:F208),4)))"),"")</f>
        <v/>
      </c>
      <c r="F208" s="31"/>
      <c r="G208" s="32"/>
      <c r="H208" s="22" t="str">
        <f>IFERROR(__xludf.DUMMYFUNCTION("IF(I208="""","""",COUNTUNIQUE($I$6:I208))"),"")</f>
        <v/>
      </c>
      <c r="I208" s="31"/>
      <c r="J208" s="25" t="str">
        <f t="shared" si="2"/>
        <v/>
      </c>
      <c r="K208" s="26"/>
      <c r="L208" s="26"/>
      <c r="M208" s="26"/>
      <c r="N208" s="27"/>
    </row>
    <row r="209">
      <c r="A209" s="21" t="str">
        <f t="shared" si="1"/>
        <v/>
      </c>
      <c r="B209" s="22" t="str">
        <f>IFERROR(__xludf.DUMMYFUNCTION("IF(C209="""","""",ROMAN(COUNTUNIQUE($C$6:C209)))"),"")</f>
        <v/>
      </c>
      <c r="C209" s="31"/>
      <c r="D209" s="32"/>
      <c r="E209" s="22" t="str">
        <f>IFERROR(__xludf.DUMMYFUNCTION("IF(F209="""","""",LEFT(ADDRESS(1,COUNTUNIQUE($F$6:F209),4)))"),"")</f>
        <v/>
      </c>
      <c r="F209" s="31"/>
      <c r="G209" s="32"/>
      <c r="H209" s="22" t="str">
        <f>IFERROR(__xludf.DUMMYFUNCTION("IF(I209="""","""",COUNTUNIQUE($I$6:I209))"),"")</f>
        <v/>
      </c>
      <c r="I209" s="31"/>
      <c r="J209" s="25" t="str">
        <f t="shared" si="2"/>
        <v/>
      </c>
      <c r="K209" s="26"/>
      <c r="L209" s="26"/>
      <c r="M209" s="26"/>
      <c r="N209" s="27"/>
    </row>
    <row r="210">
      <c r="A210" s="21" t="str">
        <f t="shared" si="1"/>
        <v/>
      </c>
      <c r="B210" s="22" t="str">
        <f>IFERROR(__xludf.DUMMYFUNCTION("IF(C210="""","""",ROMAN(COUNTUNIQUE($C$6:C210)))"),"")</f>
        <v/>
      </c>
      <c r="C210" s="31"/>
      <c r="D210" s="32"/>
      <c r="E210" s="22" t="str">
        <f>IFERROR(__xludf.DUMMYFUNCTION("IF(F210="""","""",LEFT(ADDRESS(1,COUNTUNIQUE($F$6:F210),4)))"),"")</f>
        <v/>
      </c>
      <c r="F210" s="31"/>
      <c r="G210" s="32"/>
      <c r="H210" s="22" t="str">
        <f>IFERROR(__xludf.DUMMYFUNCTION("IF(I210="""","""",COUNTUNIQUE($I$6:I210))"),"")</f>
        <v/>
      </c>
      <c r="I210" s="31"/>
      <c r="J210" s="25" t="str">
        <f t="shared" si="2"/>
        <v/>
      </c>
      <c r="K210" s="26"/>
      <c r="L210" s="26"/>
      <c r="M210" s="26"/>
      <c r="N210" s="27"/>
    </row>
    <row r="211">
      <c r="A211" s="21" t="str">
        <f t="shared" si="1"/>
        <v/>
      </c>
      <c r="B211" s="22" t="str">
        <f>IFERROR(__xludf.DUMMYFUNCTION("IF(C211="""","""",ROMAN(COUNTUNIQUE($C$6:C211)))"),"")</f>
        <v/>
      </c>
      <c r="C211" s="31"/>
      <c r="D211" s="32"/>
      <c r="E211" s="22" t="str">
        <f>IFERROR(__xludf.DUMMYFUNCTION("IF(F211="""","""",LEFT(ADDRESS(1,COUNTUNIQUE($F$6:F211),4)))"),"")</f>
        <v/>
      </c>
      <c r="F211" s="31"/>
      <c r="G211" s="32"/>
      <c r="H211" s="22" t="str">
        <f>IFERROR(__xludf.DUMMYFUNCTION("IF(I211="""","""",COUNTUNIQUE($I$6:I211))"),"")</f>
        <v/>
      </c>
      <c r="I211" s="31"/>
      <c r="J211" s="25" t="str">
        <f t="shared" si="2"/>
        <v/>
      </c>
      <c r="K211" s="26"/>
      <c r="L211" s="26"/>
      <c r="M211" s="26"/>
      <c r="N211" s="27"/>
    </row>
    <row r="212">
      <c r="A212" s="21" t="str">
        <f t="shared" si="1"/>
        <v/>
      </c>
      <c r="B212" s="22" t="str">
        <f>IFERROR(__xludf.DUMMYFUNCTION("IF(C212="""","""",ROMAN(COUNTUNIQUE($C$6:C212)))"),"")</f>
        <v/>
      </c>
      <c r="C212" s="31"/>
      <c r="D212" s="32"/>
      <c r="E212" s="22" t="str">
        <f>IFERROR(__xludf.DUMMYFUNCTION("IF(F212="""","""",LEFT(ADDRESS(1,COUNTUNIQUE($F$6:F212),4)))"),"")</f>
        <v/>
      </c>
      <c r="F212" s="31"/>
      <c r="G212" s="32"/>
      <c r="H212" s="22" t="str">
        <f>IFERROR(__xludf.DUMMYFUNCTION("IF(I212="""","""",COUNTUNIQUE($I$6:I212))"),"")</f>
        <v/>
      </c>
      <c r="I212" s="31"/>
      <c r="J212" s="25" t="str">
        <f t="shared" si="2"/>
        <v/>
      </c>
      <c r="K212" s="26"/>
      <c r="L212" s="26"/>
      <c r="M212" s="26"/>
      <c r="N212" s="27"/>
    </row>
    <row r="213">
      <c r="A213" s="21" t="str">
        <f t="shared" si="1"/>
        <v/>
      </c>
      <c r="B213" s="22" t="str">
        <f>IFERROR(__xludf.DUMMYFUNCTION("IF(C213="""","""",ROMAN(COUNTUNIQUE($C$6:C213)))"),"")</f>
        <v/>
      </c>
      <c r="C213" s="31"/>
      <c r="D213" s="32"/>
      <c r="E213" s="22" t="str">
        <f>IFERROR(__xludf.DUMMYFUNCTION("IF(F213="""","""",LEFT(ADDRESS(1,COUNTUNIQUE($F$6:F213),4)))"),"")</f>
        <v/>
      </c>
      <c r="F213" s="31"/>
      <c r="G213" s="32"/>
      <c r="H213" s="22" t="str">
        <f>IFERROR(__xludf.DUMMYFUNCTION("IF(I213="""","""",COUNTUNIQUE($I$6:I213))"),"")</f>
        <v/>
      </c>
      <c r="I213" s="31"/>
      <c r="J213" s="25" t="str">
        <f t="shared" si="2"/>
        <v/>
      </c>
      <c r="K213" s="26"/>
      <c r="L213" s="26"/>
      <c r="M213" s="26"/>
      <c r="N213" s="27"/>
    </row>
    <row r="214">
      <c r="A214" s="21" t="str">
        <f t="shared" si="1"/>
        <v/>
      </c>
      <c r="B214" s="22" t="str">
        <f>IFERROR(__xludf.DUMMYFUNCTION("IF(C214="""","""",ROMAN(COUNTUNIQUE($C$6:C214)))"),"")</f>
        <v/>
      </c>
      <c r="C214" s="31"/>
      <c r="D214" s="32"/>
      <c r="E214" s="22" t="str">
        <f>IFERROR(__xludf.DUMMYFUNCTION("IF(F214="""","""",LEFT(ADDRESS(1,COUNTUNIQUE($F$6:F214),4)))"),"")</f>
        <v/>
      </c>
      <c r="F214" s="31"/>
      <c r="G214" s="32"/>
      <c r="H214" s="22" t="str">
        <f>IFERROR(__xludf.DUMMYFUNCTION("IF(I214="""","""",COUNTUNIQUE($I$6:I214))"),"")</f>
        <v/>
      </c>
      <c r="I214" s="31"/>
      <c r="J214" s="25" t="str">
        <f t="shared" si="2"/>
        <v/>
      </c>
      <c r="K214" s="26"/>
      <c r="L214" s="26"/>
      <c r="M214" s="26"/>
      <c r="N214" s="27"/>
    </row>
    <row r="215">
      <c r="A215" s="21" t="str">
        <f t="shared" si="1"/>
        <v/>
      </c>
      <c r="B215" s="22" t="str">
        <f>IFERROR(__xludf.DUMMYFUNCTION("IF(C215="""","""",ROMAN(COUNTUNIQUE($C$6:C215)))"),"")</f>
        <v/>
      </c>
      <c r="C215" s="31"/>
      <c r="D215" s="32"/>
      <c r="E215" s="22" t="str">
        <f>IFERROR(__xludf.DUMMYFUNCTION("IF(F215="""","""",LEFT(ADDRESS(1,COUNTUNIQUE($F$6:F215),4)))"),"")</f>
        <v/>
      </c>
      <c r="F215" s="31"/>
      <c r="G215" s="32"/>
      <c r="H215" s="22" t="str">
        <f>IFERROR(__xludf.DUMMYFUNCTION("IF(I215="""","""",COUNTUNIQUE($I$6:I215))"),"")</f>
        <v/>
      </c>
      <c r="I215" s="31"/>
      <c r="J215" s="25" t="str">
        <f t="shared" si="2"/>
        <v/>
      </c>
      <c r="K215" s="26"/>
      <c r="L215" s="26"/>
      <c r="M215" s="26"/>
      <c r="N215" s="27"/>
    </row>
    <row r="216">
      <c r="A216" s="21" t="str">
        <f t="shared" si="1"/>
        <v/>
      </c>
      <c r="B216" s="22" t="str">
        <f>IFERROR(__xludf.DUMMYFUNCTION("IF(C216="""","""",ROMAN(COUNTUNIQUE($C$6:C216)))"),"")</f>
        <v/>
      </c>
      <c r="C216" s="31"/>
      <c r="D216" s="32"/>
      <c r="E216" s="22" t="str">
        <f>IFERROR(__xludf.DUMMYFUNCTION("IF(F216="""","""",LEFT(ADDRESS(1,COUNTUNIQUE($F$6:F216),4)))"),"")</f>
        <v/>
      </c>
      <c r="F216" s="31"/>
      <c r="G216" s="32"/>
      <c r="H216" s="22" t="str">
        <f>IFERROR(__xludf.DUMMYFUNCTION("IF(I216="""","""",COUNTUNIQUE($I$6:I216))"),"")</f>
        <v/>
      </c>
      <c r="I216" s="31"/>
      <c r="J216" s="25" t="str">
        <f t="shared" si="2"/>
        <v/>
      </c>
      <c r="K216" s="26"/>
      <c r="L216" s="26"/>
      <c r="M216" s="26"/>
      <c r="N216" s="27"/>
    </row>
    <row r="217">
      <c r="A217" s="21" t="str">
        <f t="shared" si="1"/>
        <v/>
      </c>
      <c r="B217" s="22" t="str">
        <f>IFERROR(__xludf.DUMMYFUNCTION("IF(C217="""","""",ROMAN(COUNTUNIQUE($C$6:C217)))"),"")</f>
        <v/>
      </c>
      <c r="C217" s="31"/>
      <c r="D217" s="32"/>
      <c r="E217" s="22" t="str">
        <f>IFERROR(__xludf.DUMMYFUNCTION("IF(F217="""","""",LEFT(ADDRESS(1,COUNTUNIQUE($F$6:F217),4)))"),"")</f>
        <v/>
      </c>
      <c r="F217" s="31"/>
      <c r="G217" s="32"/>
      <c r="H217" s="22" t="str">
        <f>IFERROR(__xludf.DUMMYFUNCTION("IF(I217="""","""",COUNTUNIQUE($I$6:I217))"),"")</f>
        <v/>
      </c>
      <c r="I217" s="31"/>
      <c r="J217" s="25" t="str">
        <f t="shared" si="2"/>
        <v/>
      </c>
      <c r="K217" s="26"/>
      <c r="L217" s="26"/>
      <c r="M217" s="26"/>
      <c r="N217" s="27"/>
    </row>
    <row r="218">
      <c r="A218" s="21" t="str">
        <f t="shared" si="1"/>
        <v/>
      </c>
      <c r="B218" s="22" t="str">
        <f>IFERROR(__xludf.DUMMYFUNCTION("IF(C218="""","""",ROMAN(COUNTUNIQUE($C$6:C218)))"),"")</f>
        <v/>
      </c>
      <c r="C218" s="31"/>
      <c r="D218" s="32"/>
      <c r="E218" s="22" t="str">
        <f>IFERROR(__xludf.DUMMYFUNCTION("IF(F218="""","""",LEFT(ADDRESS(1,COUNTUNIQUE($F$6:F218),4)))"),"")</f>
        <v/>
      </c>
      <c r="F218" s="31"/>
      <c r="G218" s="32"/>
      <c r="H218" s="22" t="str">
        <f>IFERROR(__xludf.DUMMYFUNCTION("IF(I218="""","""",COUNTUNIQUE($I$6:I218))"),"")</f>
        <v/>
      </c>
      <c r="I218" s="31"/>
      <c r="J218" s="25" t="str">
        <f t="shared" si="2"/>
        <v/>
      </c>
      <c r="K218" s="26"/>
      <c r="L218" s="26"/>
      <c r="M218" s="26"/>
      <c r="N218" s="27"/>
    </row>
    <row r="219">
      <c r="A219" s="21" t="str">
        <f t="shared" si="1"/>
        <v/>
      </c>
      <c r="B219" s="22" t="str">
        <f>IFERROR(__xludf.DUMMYFUNCTION("IF(C219="""","""",ROMAN(COUNTUNIQUE($C$6:C219)))"),"")</f>
        <v/>
      </c>
      <c r="C219" s="31"/>
      <c r="D219" s="32"/>
      <c r="E219" s="22" t="str">
        <f>IFERROR(__xludf.DUMMYFUNCTION("IF(F219="""","""",LEFT(ADDRESS(1,COUNTUNIQUE($F$6:F219),4)))"),"")</f>
        <v/>
      </c>
      <c r="F219" s="31"/>
      <c r="G219" s="32"/>
      <c r="H219" s="22" t="str">
        <f>IFERROR(__xludf.DUMMYFUNCTION("IF(I219="""","""",COUNTUNIQUE($I$6:I219))"),"")</f>
        <v/>
      </c>
      <c r="I219" s="31"/>
      <c r="J219" s="25" t="str">
        <f t="shared" si="2"/>
        <v/>
      </c>
      <c r="K219" s="26"/>
      <c r="L219" s="26"/>
      <c r="M219" s="26"/>
      <c r="N219" s="27"/>
    </row>
    <row r="220">
      <c r="A220" s="21" t="str">
        <f t="shared" si="1"/>
        <v/>
      </c>
      <c r="B220" s="22" t="str">
        <f>IFERROR(__xludf.DUMMYFUNCTION("IF(C220="""","""",ROMAN(COUNTUNIQUE($C$6:C220)))"),"")</f>
        <v/>
      </c>
      <c r="C220" s="31"/>
      <c r="D220" s="32"/>
      <c r="E220" s="22" t="str">
        <f>IFERROR(__xludf.DUMMYFUNCTION("IF(F220="""","""",LEFT(ADDRESS(1,COUNTUNIQUE($F$6:F220),4)))"),"")</f>
        <v/>
      </c>
      <c r="F220" s="31"/>
      <c r="G220" s="32"/>
      <c r="H220" s="22" t="str">
        <f>IFERROR(__xludf.DUMMYFUNCTION("IF(I220="""","""",COUNTUNIQUE($I$6:I220))"),"")</f>
        <v/>
      </c>
      <c r="I220" s="31"/>
      <c r="J220" s="25" t="str">
        <f t="shared" si="2"/>
        <v/>
      </c>
      <c r="K220" s="26"/>
      <c r="L220" s="26"/>
      <c r="M220" s="26"/>
      <c r="N220" s="27"/>
    </row>
    <row r="221">
      <c r="A221" s="21" t="str">
        <f t="shared" si="1"/>
        <v/>
      </c>
      <c r="B221" s="22" t="str">
        <f>IFERROR(__xludf.DUMMYFUNCTION("IF(C221="""","""",ROMAN(COUNTUNIQUE($C$6:C221)))"),"")</f>
        <v/>
      </c>
      <c r="C221" s="31"/>
      <c r="D221" s="32"/>
      <c r="E221" s="22" t="str">
        <f>IFERROR(__xludf.DUMMYFUNCTION("IF(F221="""","""",LEFT(ADDRESS(1,COUNTUNIQUE($F$6:F221),4)))"),"")</f>
        <v/>
      </c>
      <c r="F221" s="31"/>
      <c r="G221" s="32"/>
      <c r="H221" s="22" t="str">
        <f>IFERROR(__xludf.DUMMYFUNCTION("IF(I221="""","""",COUNTUNIQUE($I$6:I221))"),"")</f>
        <v/>
      </c>
      <c r="I221" s="31"/>
      <c r="J221" s="25" t="str">
        <f t="shared" si="2"/>
        <v/>
      </c>
      <c r="K221" s="26"/>
      <c r="L221" s="26"/>
      <c r="M221" s="26"/>
      <c r="N221" s="27"/>
    </row>
    <row r="222">
      <c r="A222" s="21" t="str">
        <f t="shared" si="1"/>
        <v/>
      </c>
      <c r="B222" s="22" t="str">
        <f>IFERROR(__xludf.DUMMYFUNCTION("IF(C222="""","""",ROMAN(COUNTUNIQUE($C$6:C222)))"),"")</f>
        <v/>
      </c>
      <c r="C222" s="31"/>
      <c r="D222" s="32"/>
      <c r="E222" s="22" t="str">
        <f>IFERROR(__xludf.DUMMYFUNCTION("IF(F222="""","""",LEFT(ADDRESS(1,COUNTUNIQUE($F$6:F222),4)))"),"")</f>
        <v/>
      </c>
      <c r="F222" s="31"/>
      <c r="G222" s="32"/>
      <c r="H222" s="22" t="str">
        <f>IFERROR(__xludf.DUMMYFUNCTION("IF(I222="""","""",COUNTUNIQUE($I$6:I222))"),"")</f>
        <v/>
      </c>
      <c r="I222" s="31"/>
      <c r="J222" s="25" t="str">
        <f t="shared" si="2"/>
        <v/>
      </c>
      <c r="K222" s="26"/>
      <c r="L222" s="26"/>
      <c r="M222" s="26"/>
      <c r="N222" s="27"/>
    </row>
    <row r="223">
      <c r="A223" s="21" t="str">
        <f t="shared" si="1"/>
        <v/>
      </c>
      <c r="B223" s="22" t="str">
        <f>IFERROR(__xludf.DUMMYFUNCTION("IF(C223="""","""",ROMAN(COUNTUNIQUE($C$6:C223)))"),"")</f>
        <v/>
      </c>
      <c r="C223" s="31"/>
      <c r="D223" s="32"/>
      <c r="E223" s="22" t="str">
        <f>IFERROR(__xludf.DUMMYFUNCTION("IF(F223="""","""",LEFT(ADDRESS(1,COUNTUNIQUE($F$6:F223),4)))"),"")</f>
        <v/>
      </c>
      <c r="F223" s="31"/>
      <c r="G223" s="32"/>
      <c r="H223" s="22" t="str">
        <f>IFERROR(__xludf.DUMMYFUNCTION("IF(I223="""","""",COUNTUNIQUE($I$6:I223))"),"")</f>
        <v/>
      </c>
      <c r="I223" s="31"/>
      <c r="J223" s="25" t="str">
        <f t="shared" si="2"/>
        <v/>
      </c>
      <c r="K223" s="26"/>
      <c r="L223" s="26"/>
      <c r="M223" s="26"/>
      <c r="N223" s="27"/>
    </row>
    <row r="224">
      <c r="A224" s="21" t="str">
        <f t="shared" si="1"/>
        <v/>
      </c>
      <c r="B224" s="22" t="str">
        <f>IFERROR(__xludf.DUMMYFUNCTION("IF(C224="""","""",ROMAN(COUNTUNIQUE($C$6:C224)))"),"")</f>
        <v/>
      </c>
      <c r="C224" s="31"/>
      <c r="D224" s="32"/>
      <c r="E224" s="22" t="str">
        <f>IFERROR(__xludf.DUMMYFUNCTION("IF(F224="""","""",LEFT(ADDRESS(1,COUNTUNIQUE($F$6:F224),4)))"),"")</f>
        <v/>
      </c>
      <c r="F224" s="31"/>
      <c r="G224" s="32"/>
      <c r="H224" s="22" t="str">
        <f>IFERROR(__xludf.DUMMYFUNCTION("IF(I224="""","""",COUNTUNIQUE($I$6:I224))"),"")</f>
        <v/>
      </c>
      <c r="I224" s="31"/>
      <c r="J224" s="25" t="str">
        <f t="shared" si="2"/>
        <v/>
      </c>
      <c r="K224" s="26"/>
      <c r="L224" s="26"/>
      <c r="M224" s="26"/>
      <c r="N224" s="27"/>
    </row>
    <row r="225">
      <c r="A225" s="21" t="str">
        <f t="shared" si="1"/>
        <v/>
      </c>
      <c r="B225" s="22" t="str">
        <f>IFERROR(__xludf.DUMMYFUNCTION("IF(C225="""","""",ROMAN(COUNTUNIQUE($C$6:C225)))"),"")</f>
        <v/>
      </c>
      <c r="C225" s="31"/>
      <c r="D225" s="32"/>
      <c r="E225" s="22" t="str">
        <f>IFERROR(__xludf.DUMMYFUNCTION("IF(F225="""","""",LEFT(ADDRESS(1,COUNTUNIQUE($F$6:F225),4)))"),"")</f>
        <v/>
      </c>
      <c r="F225" s="31"/>
      <c r="G225" s="32"/>
      <c r="H225" s="22" t="str">
        <f>IFERROR(__xludf.DUMMYFUNCTION("IF(I225="""","""",COUNTUNIQUE($I$6:I225))"),"")</f>
        <v/>
      </c>
      <c r="I225" s="31"/>
      <c r="J225" s="25" t="str">
        <f t="shared" si="2"/>
        <v/>
      </c>
      <c r="K225" s="26"/>
      <c r="L225" s="26"/>
      <c r="M225" s="26"/>
      <c r="N225" s="27"/>
    </row>
    <row r="226">
      <c r="A226" s="21" t="str">
        <f t="shared" si="1"/>
        <v/>
      </c>
      <c r="B226" s="22" t="str">
        <f>IFERROR(__xludf.DUMMYFUNCTION("IF(C226="""","""",ROMAN(COUNTUNIQUE($C$6:C226)))"),"")</f>
        <v/>
      </c>
      <c r="C226" s="31"/>
      <c r="D226" s="32"/>
      <c r="E226" s="22" t="str">
        <f>IFERROR(__xludf.DUMMYFUNCTION("IF(F226="""","""",LEFT(ADDRESS(1,COUNTUNIQUE($F$6:F226),4)))"),"")</f>
        <v/>
      </c>
      <c r="F226" s="31"/>
      <c r="G226" s="32"/>
      <c r="H226" s="22" t="str">
        <f>IFERROR(__xludf.DUMMYFUNCTION("IF(I226="""","""",COUNTUNIQUE($I$6:I226))"),"")</f>
        <v/>
      </c>
      <c r="I226" s="31"/>
      <c r="J226" s="25" t="str">
        <f t="shared" si="2"/>
        <v/>
      </c>
      <c r="K226" s="26"/>
      <c r="L226" s="26"/>
      <c r="M226" s="26"/>
      <c r="N226" s="27"/>
    </row>
    <row r="227">
      <c r="A227" s="21" t="str">
        <f t="shared" si="1"/>
        <v/>
      </c>
      <c r="B227" s="22" t="str">
        <f>IFERROR(__xludf.DUMMYFUNCTION("IF(C227="""","""",ROMAN(COUNTUNIQUE($C$6:C227)))"),"")</f>
        <v/>
      </c>
      <c r="C227" s="31"/>
      <c r="D227" s="32"/>
      <c r="E227" s="22" t="str">
        <f>IFERROR(__xludf.DUMMYFUNCTION("IF(F227="""","""",LEFT(ADDRESS(1,COUNTUNIQUE($F$6:F227),4)))"),"")</f>
        <v/>
      </c>
      <c r="F227" s="31"/>
      <c r="G227" s="32"/>
      <c r="H227" s="22" t="str">
        <f>IFERROR(__xludf.DUMMYFUNCTION("IF(I227="""","""",COUNTUNIQUE($I$6:I227))"),"")</f>
        <v/>
      </c>
      <c r="I227" s="31"/>
      <c r="J227" s="25" t="str">
        <f t="shared" si="2"/>
        <v/>
      </c>
      <c r="K227" s="26"/>
      <c r="L227" s="26"/>
      <c r="M227" s="26"/>
      <c r="N227" s="27"/>
    </row>
    <row r="228">
      <c r="A228" s="21" t="str">
        <f t="shared" si="1"/>
        <v/>
      </c>
      <c r="B228" s="22" t="str">
        <f>IFERROR(__xludf.DUMMYFUNCTION("IF(C228="""","""",ROMAN(COUNTUNIQUE($C$6:C228)))"),"")</f>
        <v/>
      </c>
      <c r="C228" s="31"/>
      <c r="D228" s="32"/>
      <c r="E228" s="22" t="str">
        <f>IFERROR(__xludf.DUMMYFUNCTION("IF(F228="""","""",LEFT(ADDRESS(1,COUNTUNIQUE($F$6:F228),4)))"),"")</f>
        <v/>
      </c>
      <c r="F228" s="31"/>
      <c r="G228" s="32"/>
      <c r="H228" s="22" t="str">
        <f>IFERROR(__xludf.DUMMYFUNCTION("IF(I228="""","""",COUNTUNIQUE($I$6:I228))"),"")</f>
        <v/>
      </c>
      <c r="I228" s="31"/>
      <c r="J228" s="25" t="str">
        <f t="shared" si="2"/>
        <v/>
      </c>
      <c r="K228" s="26"/>
      <c r="L228" s="26"/>
      <c r="M228" s="26"/>
      <c r="N228" s="27"/>
    </row>
    <row r="229">
      <c r="A229" s="21" t="str">
        <f t="shared" si="1"/>
        <v/>
      </c>
      <c r="B229" s="22" t="str">
        <f>IFERROR(__xludf.DUMMYFUNCTION("IF(C229="""","""",ROMAN(COUNTUNIQUE($C$6:C229)))"),"")</f>
        <v/>
      </c>
      <c r="C229" s="31"/>
      <c r="D229" s="32"/>
      <c r="E229" s="22" t="str">
        <f>IFERROR(__xludf.DUMMYFUNCTION("IF(F229="""","""",LEFT(ADDRESS(1,COUNTUNIQUE($F$6:F229),4)))"),"")</f>
        <v/>
      </c>
      <c r="F229" s="31"/>
      <c r="G229" s="32"/>
      <c r="H229" s="22" t="str">
        <f>IFERROR(__xludf.DUMMYFUNCTION("IF(I229="""","""",COUNTUNIQUE($I$6:I229))"),"")</f>
        <v/>
      </c>
      <c r="I229" s="31"/>
      <c r="J229" s="25" t="str">
        <f t="shared" si="2"/>
        <v/>
      </c>
      <c r="K229" s="26"/>
      <c r="L229" s="26"/>
      <c r="M229" s="26"/>
      <c r="N229" s="27"/>
    </row>
    <row r="230">
      <c r="A230" s="21" t="str">
        <f t="shared" si="1"/>
        <v/>
      </c>
      <c r="B230" s="22" t="str">
        <f>IFERROR(__xludf.DUMMYFUNCTION("IF(C230="""","""",ROMAN(COUNTUNIQUE($C$6:C230)))"),"")</f>
        <v/>
      </c>
      <c r="C230" s="31"/>
      <c r="D230" s="32"/>
      <c r="E230" s="22" t="str">
        <f>IFERROR(__xludf.DUMMYFUNCTION("IF(F230="""","""",LEFT(ADDRESS(1,COUNTUNIQUE($F$6:F230),4)))"),"")</f>
        <v/>
      </c>
      <c r="F230" s="31"/>
      <c r="G230" s="32"/>
      <c r="H230" s="22" t="str">
        <f>IFERROR(__xludf.DUMMYFUNCTION("IF(I230="""","""",COUNTUNIQUE($I$6:I230))"),"")</f>
        <v/>
      </c>
      <c r="I230" s="31"/>
      <c r="J230" s="25" t="str">
        <f t="shared" si="2"/>
        <v/>
      </c>
      <c r="K230" s="26"/>
      <c r="L230" s="26"/>
      <c r="M230" s="26"/>
      <c r="N230" s="27"/>
    </row>
    <row r="231">
      <c r="A231" s="21" t="str">
        <f t="shared" si="1"/>
        <v/>
      </c>
      <c r="B231" s="22" t="str">
        <f>IFERROR(__xludf.DUMMYFUNCTION("IF(C231="""","""",ROMAN(COUNTUNIQUE($C$6:C231)))"),"")</f>
        <v/>
      </c>
      <c r="C231" s="31"/>
      <c r="D231" s="32"/>
      <c r="E231" s="22" t="str">
        <f>IFERROR(__xludf.DUMMYFUNCTION("IF(F231="""","""",LEFT(ADDRESS(1,COUNTUNIQUE($F$6:F231),4)))"),"")</f>
        <v/>
      </c>
      <c r="F231" s="31"/>
      <c r="G231" s="32"/>
      <c r="H231" s="22" t="str">
        <f>IFERROR(__xludf.DUMMYFUNCTION("IF(I231="""","""",COUNTUNIQUE($I$6:I231))"),"")</f>
        <v/>
      </c>
      <c r="I231" s="31"/>
      <c r="J231" s="25" t="str">
        <f t="shared" si="2"/>
        <v/>
      </c>
      <c r="K231" s="26"/>
      <c r="L231" s="26"/>
      <c r="M231" s="26"/>
      <c r="N231" s="27"/>
    </row>
    <row r="232">
      <c r="A232" s="21" t="str">
        <f t="shared" si="1"/>
        <v/>
      </c>
      <c r="B232" s="22" t="str">
        <f>IFERROR(__xludf.DUMMYFUNCTION("IF(C232="""","""",ROMAN(COUNTUNIQUE($C$6:C232)))"),"")</f>
        <v/>
      </c>
      <c r="C232" s="31"/>
      <c r="D232" s="32"/>
      <c r="E232" s="22" t="str">
        <f>IFERROR(__xludf.DUMMYFUNCTION("IF(F232="""","""",LEFT(ADDRESS(1,COUNTUNIQUE($F$6:F232),4)))"),"")</f>
        <v/>
      </c>
      <c r="F232" s="31"/>
      <c r="G232" s="32"/>
      <c r="H232" s="22" t="str">
        <f>IFERROR(__xludf.DUMMYFUNCTION("IF(I232="""","""",COUNTUNIQUE($I$6:I232))"),"")</f>
        <v/>
      </c>
      <c r="I232" s="31"/>
      <c r="J232" s="25" t="str">
        <f t="shared" si="2"/>
        <v/>
      </c>
      <c r="K232" s="26"/>
      <c r="L232" s="26"/>
      <c r="M232" s="26"/>
      <c r="N232" s="27"/>
    </row>
    <row r="233">
      <c r="A233" s="21" t="str">
        <f t="shared" si="1"/>
        <v/>
      </c>
      <c r="B233" s="22" t="str">
        <f>IFERROR(__xludf.DUMMYFUNCTION("IF(C233="""","""",ROMAN(COUNTUNIQUE($C$6:C233)))"),"")</f>
        <v/>
      </c>
      <c r="C233" s="31"/>
      <c r="D233" s="32"/>
      <c r="E233" s="22" t="str">
        <f>IFERROR(__xludf.DUMMYFUNCTION("IF(F233="""","""",LEFT(ADDRESS(1,COUNTUNIQUE($F$6:F233),4)))"),"")</f>
        <v/>
      </c>
      <c r="F233" s="31"/>
      <c r="G233" s="32"/>
      <c r="H233" s="22" t="str">
        <f>IFERROR(__xludf.DUMMYFUNCTION("IF(I233="""","""",COUNTUNIQUE($I$6:I233))"),"")</f>
        <v/>
      </c>
      <c r="I233" s="31"/>
      <c r="J233" s="25" t="str">
        <f t="shared" si="2"/>
        <v/>
      </c>
      <c r="K233" s="26"/>
      <c r="L233" s="26"/>
      <c r="M233" s="26"/>
      <c r="N233" s="27"/>
    </row>
    <row r="234">
      <c r="A234" s="21" t="str">
        <f t="shared" si="1"/>
        <v/>
      </c>
      <c r="B234" s="22" t="str">
        <f>IFERROR(__xludf.DUMMYFUNCTION("IF(C234="""","""",ROMAN(COUNTUNIQUE($C$6:C234)))"),"")</f>
        <v/>
      </c>
      <c r="C234" s="31"/>
      <c r="D234" s="32"/>
      <c r="E234" s="22" t="str">
        <f>IFERROR(__xludf.DUMMYFUNCTION("IF(F234="""","""",LEFT(ADDRESS(1,COUNTUNIQUE($F$6:F234),4)))"),"")</f>
        <v/>
      </c>
      <c r="F234" s="31"/>
      <c r="G234" s="32"/>
      <c r="H234" s="22" t="str">
        <f>IFERROR(__xludf.DUMMYFUNCTION("IF(I234="""","""",COUNTUNIQUE($I$6:I234))"),"")</f>
        <v/>
      </c>
      <c r="I234" s="31"/>
      <c r="J234" s="25" t="str">
        <f t="shared" si="2"/>
        <v/>
      </c>
      <c r="K234" s="26"/>
      <c r="L234" s="26"/>
      <c r="M234" s="26"/>
      <c r="N234" s="27"/>
    </row>
    <row r="235">
      <c r="A235" s="21" t="str">
        <f t="shared" si="1"/>
        <v/>
      </c>
      <c r="B235" s="22" t="str">
        <f>IFERROR(__xludf.DUMMYFUNCTION("IF(C235="""","""",ROMAN(COUNTUNIQUE($C$6:C235)))"),"")</f>
        <v/>
      </c>
      <c r="C235" s="31"/>
      <c r="D235" s="32"/>
      <c r="E235" s="22" t="str">
        <f>IFERROR(__xludf.DUMMYFUNCTION("IF(F235="""","""",LEFT(ADDRESS(1,COUNTUNIQUE($F$6:F235),4)))"),"")</f>
        <v/>
      </c>
      <c r="F235" s="31"/>
      <c r="G235" s="32"/>
      <c r="H235" s="22" t="str">
        <f>IFERROR(__xludf.DUMMYFUNCTION("IF(I235="""","""",COUNTUNIQUE($I$6:I235))"),"")</f>
        <v/>
      </c>
      <c r="I235" s="31"/>
      <c r="J235" s="25" t="str">
        <f t="shared" si="2"/>
        <v/>
      </c>
      <c r="K235" s="26"/>
      <c r="L235" s="26"/>
      <c r="M235" s="26"/>
      <c r="N235" s="27"/>
    </row>
    <row r="236">
      <c r="A236" s="21" t="str">
        <f t="shared" si="1"/>
        <v/>
      </c>
      <c r="B236" s="22" t="str">
        <f>IFERROR(__xludf.DUMMYFUNCTION("IF(C236="""","""",ROMAN(COUNTUNIQUE($C$6:C236)))"),"")</f>
        <v/>
      </c>
      <c r="C236" s="31"/>
      <c r="D236" s="32"/>
      <c r="E236" s="22" t="str">
        <f>IFERROR(__xludf.DUMMYFUNCTION("IF(F236="""","""",LEFT(ADDRESS(1,COUNTUNIQUE($F$6:F236),4)))"),"")</f>
        <v/>
      </c>
      <c r="F236" s="31"/>
      <c r="G236" s="32"/>
      <c r="H236" s="22" t="str">
        <f>IFERROR(__xludf.DUMMYFUNCTION("IF(I236="""","""",COUNTUNIQUE($I$6:I236))"),"")</f>
        <v/>
      </c>
      <c r="I236" s="31"/>
      <c r="J236" s="25" t="str">
        <f t="shared" si="2"/>
        <v/>
      </c>
      <c r="K236" s="26"/>
      <c r="L236" s="26"/>
      <c r="M236" s="26"/>
      <c r="N236" s="27"/>
    </row>
    <row r="237">
      <c r="A237" s="21" t="str">
        <f t="shared" si="1"/>
        <v/>
      </c>
      <c r="B237" s="22" t="str">
        <f>IFERROR(__xludf.DUMMYFUNCTION("IF(C237="""","""",ROMAN(COUNTUNIQUE($C$6:C237)))"),"")</f>
        <v/>
      </c>
      <c r="C237" s="31"/>
      <c r="D237" s="32"/>
      <c r="E237" s="22" t="str">
        <f>IFERROR(__xludf.DUMMYFUNCTION("IF(F237="""","""",LEFT(ADDRESS(1,COUNTUNIQUE($F$6:F237),4)))"),"")</f>
        <v/>
      </c>
      <c r="F237" s="31"/>
      <c r="G237" s="32"/>
      <c r="H237" s="22" t="str">
        <f>IFERROR(__xludf.DUMMYFUNCTION("IF(I237="""","""",COUNTUNIQUE($I$6:I237))"),"")</f>
        <v/>
      </c>
      <c r="I237" s="31"/>
      <c r="J237" s="25" t="str">
        <f t="shared" si="2"/>
        <v/>
      </c>
      <c r="K237" s="26"/>
      <c r="L237" s="26"/>
      <c r="M237" s="26"/>
      <c r="N237" s="27"/>
    </row>
    <row r="238">
      <c r="A238" s="21" t="str">
        <f t="shared" si="1"/>
        <v/>
      </c>
      <c r="B238" s="22" t="str">
        <f>IFERROR(__xludf.DUMMYFUNCTION("IF(C238="""","""",ROMAN(COUNTUNIQUE($C$6:C238)))"),"")</f>
        <v/>
      </c>
      <c r="C238" s="31"/>
      <c r="D238" s="32"/>
      <c r="E238" s="22" t="str">
        <f>IFERROR(__xludf.DUMMYFUNCTION("IF(F238="""","""",LEFT(ADDRESS(1,COUNTUNIQUE($F$6:F238),4)))"),"")</f>
        <v/>
      </c>
      <c r="F238" s="31"/>
      <c r="G238" s="32"/>
      <c r="H238" s="22" t="str">
        <f>IFERROR(__xludf.DUMMYFUNCTION("IF(I238="""","""",COUNTUNIQUE($I$6:I238))"),"")</f>
        <v/>
      </c>
      <c r="I238" s="31"/>
      <c r="J238" s="25" t="str">
        <f t="shared" si="2"/>
        <v/>
      </c>
      <c r="K238" s="26"/>
      <c r="L238" s="26"/>
      <c r="M238" s="26"/>
      <c r="N238" s="27"/>
    </row>
    <row r="239">
      <c r="A239" s="21" t="str">
        <f t="shared" si="1"/>
        <v/>
      </c>
      <c r="B239" s="22" t="str">
        <f>IFERROR(__xludf.DUMMYFUNCTION("IF(C239="""","""",ROMAN(COUNTUNIQUE($C$6:C239)))"),"")</f>
        <v/>
      </c>
      <c r="C239" s="31"/>
      <c r="D239" s="32"/>
      <c r="E239" s="22" t="str">
        <f>IFERROR(__xludf.DUMMYFUNCTION("IF(F239="""","""",LEFT(ADDRESS(1,COUNTUNIQUE($F$6:F239),4)))"),"")</f>
        <v/>
      </c>
      <c r="F239" s="31"/>
      <c r="G239" s="32"/>
      <c r="H239" s="22" t="str">
        <f>IFERROR(__xludf.DUMMYFUNCTION("IF(I239="""","""",COUNTUNIQUE($I$6:I239))"),"")</f>
        <v/>
      </c>
      <c r="I239" s="31"/>
      <c r="J239" s="25" t="str">
        <f t="shared" si="2"/>
        <v/>
      </c>
      <c r="K239" s="26"/>
      <c r="L239" s="26"/>
      <c r="M239" s="26"/>
      <c r="N239" s="27"/>
    </row>
    <row r="240">
      <c r="A240" s="21" t="str">
        <f t="shared" si="1"/>
        <v/>
      </c>
      <c r="B240" s="22" t="str">
        <f>IFERROR(__xludf.DUMMYFUNCTION("IF(C240="""","""",ROMAN(COUNTUNIQUE($C$6:C240)))"),"")</f>
        <v/>
      </c>
      <c r="C240" s="31"/>
      <c r="D240" s="32"/>
      <c r="E240" s="22" t="str">
        <f>IFERROR(__xludf.DUMMYFUNCTION("IF(F240="""","""",LEFT(ADDRESS(1,COUNTUNIQUE($F$6:F240),4)))"),"")</f>
        <v/>
      </c>
      <c r="F240" s="31"/>
      <c r="G240" s="32"/>
      <c r="H240" s="22" t="str">
        <f>IFERROR(__xludf.DUMMYFUNCTION("IF(I240="""","""",COUNTUNIQUE($I$6:I240))"),"")</f>
        <v/>
      </c>
      <c r="I240" s="31"/>
      <c r="J240" s="25" t="str">
        <f t="shared" si="2"/>
        <v/>
      </c>
      <c r="K240" s="26"/>
      <c r="L240" s="26"/>
      <c r="M240" s="26"/>
      <c r="N240" s="27"/>
    </row>
    <row r="241">
      <c r="A241" s="21" t="str">
        <f t="shared" si="1"/>
        <v/>
      </c>
      <c r="B241" s="22" t="str">
        <f>IFERROR(__xludf.DUMMYFUNCTION("IF(C241="""","""",ROMAN(COUNTUNIQUE($C$6:C241)))"),"")</f>
        <v/>
      </c>
      <c r="C241" s="31"/>
      <c r="D241" s="32"/>
      <c r="E241" s="22" t="str">
        <f>IFERROR(__xludf.DUMMYFUNCTION("IF(F241="""","""",LEFT(ADDRESS(1,COUNTUNIQUE($F$6:F241),4)))"),"")</f>
        <v/>
      </c>
      <c r="F241" s="31"/>
      <c r="G241" s="32"/>
      <c r="H241" s="22" t="str">
        <f>IFERROR(__xludf.DUMMYFUNCTION("IF(I241="""","""",COUNTUNIQUE($I$6:I241))"),"")</f>
        <v/>
      </c>
      <c r="I241" s="31"/>
      <c r="J241" s="25" t="str">
        <f t="shared" si="2"/>
        <v/>
      </c>
      <c r="K241" s="26"/>
      <c r="L241" s="26"/>
      <c r="M241" s="26"/>
      <c r="N241" s="27"/>
    </row>
    <row r="242">
      <c r="A242" s="21" t="str">
        <f t="shared" si="1"/>
        <v/>
      </c>
      <c r="B242" s="22" t="str">
        <f>IFERROR(__xludf.DUMMYFUNCTION("IF(C242="""","""",ROMAN(COUNTUNIQUE($C$6:C242)))"),"")</f>
        <v/>
      </c>
      <c r="C242" s="31"/>
      <c r="D242" s="32"/>
      <c r="E242" s="22" t="str">
        <f>IFERROR(__xludf.DUMMYFUNCTION("IF(F242="""","""",LEFT(ADDRESS(1,COUNTUNIQUE($F$6:F242),4)))"),"")</f>
        <v/>
      </c>
      <c r="F242" s="31"/>
      <c r="G242" s="32"/>
      <c r="H242" s="22" t="str">
        <f>IFERROR(__xludf.DUMMYFUNCTION("IF(I242="""","""",COUNTUNIQUE($I$6:I242))"),"")</f>
        <v/>
      </c>
      <c r="I242" s="31"/>
      <c r="J242" s="25" t="str">
        <f t="shared" si="2"/>
        <v/>
      </c>
      <c r="K242" s="26"/>
      <c r="L242" s="26"/>
      <c r="M242" s="26"/>
      <c r="N242" s="27"/>
    </row>
    <row r="243">
      <c r="A243" s="21" t="str">
        <f t="shared" si="1"/>
        <v/>
      </c>
      <c r="B243" s="22" t="str">
        <f>IFERROR(__xludf.DUMMYFUNCTION("IF(C243="""","""",ROMAN(COUNTUNIQUE($C$6:C243)))"),"")</f>
        <v/>
      </c>
      <c r="C243" s="31"/>
      <c r="D243" s="32"/>
      <c r="E243" s="22" t="str">
        <f>IFERROR(__xludf.DUMMYFUNCTION("IF(F243="""","""",LEFT(ADDRESS(1,COUNTUNIQUE($F$6:F243),4)))"),"")</f>
        <v/>
      </c>
      <c r="F243" s="31"/>
      <c r="G243" s="32"/>
      <c r="H243" s="22" t="str">
        <f>IFERROR(__xludf.DUMMYFUNCTION("IF(I243="""","""",COUNTUNIQUE($I$6:I243))"),"")</f>
        <v/>
      </c>
      <c r="I243" s="31"/>
      <c r="J243" s="25" t="str">
        <f t="shared" si="2"/>
        <v/>
      </c>
      <c r="K243" s="26"/>
      <c r="L243" s="26"/>
      <c r="M243" s="26"/>
      <c r="N243" s="27"/>
    </row>
    <row r="244">
      <c r="A244" s="21" t="str">
        <f t="shared" si="1"/>
        <v/>
      </c>
      <c r="B244" s="22" t="str">
        <f>IFERROR(__xludf.DUMMYFUNCTION("IF(C244="""","""",ROMAN(COUNTUNIQUE($C$6:C244)))"),"")</f>
        <v/>
      </c>
      <c r="C244" s="31"/>
      <c r="D244" s="32"/>
      <c r="E244" s="22" t="str">
        <f>IFERROR(__xludf.DUMMYFUNCTION("IF(F244="""","""",LEFT(ADDRESS(1,COUNTUNIQUE($F$6:F244),4)))"),"")</f>
        <v/>
      </c>
      <c r="F244" s="31"/>
      <c r="G244" s="32"/>
      <c r="H244" s="22" t="str">
        <f>IFERROR(__xludf.DUMMYFUNCTION("IF(I244="""","""",COUNTUNIQUE($I$6:I244))"),"")</f>
        <v/>
      </c>
      <c r="I244" s="31"/>
      <c r="J244" s="25" t="str">
        <f t="shared" si="2"/>
        <v/>
      </c>
      <c r="K244" s="26"/>
      <c r="L244" s="26"/>
      <c r="M244" s="26"/>
      <c r="N244" s="27"/>
    </row>
    <row r="245">
      <c r="A245" s="21" t="str">
        <f t="shared" si="1"/>
        <v/>
      </c>
      <c r="B245" s="22" t="str">
        <f>IFERROR(__xludf.DUMMYFUNCTION("IF(C245="""","""",ROMAN(COUNTUNIQUE($C$6:C245)))"),"")</f>
        <v/>
      </c>
      <c r="C245" s="31"/>
      <c r="D245" s="32"/>
      <c r="E245" s="22" t="str">
        <f>IFERROR(__xludf.DUMMYFUNCTION("IF(F245="""","""",LEFT(ADDRESS(1,COUNTUNIQUE($F$6:F245),4)))"),"")</f>
        <v/>
      </c>
      <c r="F245" s="31"/>
      <c r="G245" s="32"/>
      <c r="H245" s="22" t="str">
        <f>IFERROR(__xludf.DUMMYFUNCTION("IF(I245="""","""",COUNTUNIQUE($I$6:I245))"),"")</f>
        <v/>
      </c>
      <c r="I245" s="31"/>
      <c r="J245" s="25" t="str">
        <f t="shared" si="2"/>
        <v/>
      </c>
      <c r="K245" s="26"/>
      <c r="L245" s="26"/>
      <c r="M245" s="26"/>
      <c r="N245" s="27"/>
    </row>
    <row r="246">
      <c r="A246" s="21" t="str">
        <f t="shared" si="1"/>
        <v/>
      </c>
      <c r="B246" s="22" t="str">
        <f>IFERROR(__xludf.DUMMYFUNCTION("IF(C246="""","""",ROMAN(COUNTUNIQUE($C$6:C246)))"),"")</f>
        <v/>
      </c>
      <c r="C246" s="31"/>
      <c r="D246" s="32"/>
      <c r="E246" s="22" t="str">
        <f>IFERROR(__xludf.DUMMYFUNCTION("IF(F246="""","""",LEFT(ADDRESS(1,COUNTUNIQUE($F$6:F246),4)))"),"")</f>
        <v/>
      </c>
      <c r="F246" s="31"/>
      <c r="G246" s="32"/>
      <c r="H246" s="22" t="str">
        <f>IFERROR(__xludf.DUMMYFUNCTION("IF(I246="""","""",COUNTUNIQUE($I$6:I246))"),"")</f>
        <v/>
      </c>
      <c r="I246" s="31"/>
      <c r="J246" s="25" t="str">
        <f t="shared" si="2"/>
        <v/>
      </c>
      <c r="K246" s="26"/>
      <c r="L246" s="26"/>
      <c r="M246" s="26"/>
      <c r="N246" s="27"/>
    </row>
    <row r="247">
      <c r="A247" s="21" t="str">
        <f t="shared" si="1"/>
        <v/>
      </c>
      <c r="B247" s="22" t="str">
        <f>IFERROR(__xludf.DUMMYFUNCTION("IF(C247="""","""",ROMAN(COUNTUNIQUE($C$6:C247)))"),"")</f>
        <v/>
      </c>
      <c r="C247" s="31"/>
      <c r="D247" s="32"/>
      <c r="E247" s="22" t="str">
        <f>IFERROR(__xludf.DUMMYFUNCTION("IF(F247="""","""",LEFT(ADDRESS(1,COUNTUNIQUE($F$6:F247),4)))"),"")</f>
        <v/>
      </c>
      <c r="F247" s="31"/>
      <c r="G247" s="32"/>
      <c r="H247" s="22" t="str">
        <f>IFERROR(__xludf.DUMMYFUNCTION("IF(I247="""","""",COUNTUNIQUE($I$6:I247))"),"")</f>
        <v/>
      </c>
      <c r="I247" s="31"/>
      <c r="J247" s="25" t="str">
        <f t="shared" si="2"/>
        <v/>
      </c>
      <c r="K247" s="26"/>
      <c r="L247" s="26"/>
      <c r="M247" s="26"/>
      <c r="N247" s="27"/>
    </row>
    <row r="248">
      <c r="A248" s="21" t="str">
        <f t="shared" si="1"/>
        <v/>
      </c>
      <c r="B248" s="22" t="str">
        <f>IFERROR(__xludf.DUMMYFUNCTION("IF(C248="""","""",ROMAN(COUNTUNIQUE($C$6:C248)))"),"")</f>
        <v/>
      </c>
      <c r="C248" s="31"/>
      <c r="D248" s="32"/>
      <c r="E248" s="22" t="str">
        <f>IFERROR(__xludf.DUMMYFUNCTION("IF(F248="""","""",LEFT(ADDRESS(1,COUNTUNIQUE($F$6:F248),4)))"),"")</f>
        <v/>
      </c>
      <c r="F248" s="31"/>
      <c r="G248" s="32"/>
      <c r="H248" s="22" t="str">
        <f>IFERROR(__xludf.DUMMYFUNCTION("IF(I248="""","""",COUNTUNIQUE($I$6:I248))"),"")</f>
        <v/>
      </c>
      <c r="I248" s="31"/>
      <c r="J248" s="25" t="str">
        <f t="shared" si="2"/>
        <v/>
      </c>
      <c r="K248" s="26"/>
      <c r="L248" s="26"/>
      <c r="M248" s="26"/>
      <c r="N248" s="27"/>
    </row>
    <row r="249">
      <c r="A249" s="21" t="str">
        <f t="shared" si="1"/>
        <v/>
      </c>
      <c r="B249" s="22" t="str">
        <f>IFERROR(__xludf.DUMMYFUNCTION("IF(C249="""","""",ROMAN(COUNTUNIQUE($C$6:C249)))"),"")</f>
        <v/>
      </c>
      <c r="C249" s="31"/>
      <c r="D249" s="32"/>
      <c r="E249" s="22" t="str">
        <f>IFERROR(__xludf.DUMMYFUNCTION("IF(F249="""","""",LEFT(ADDRESS(1,COUNTUNIQUE($F$6:F249),4)))"),"")</f>
        <v/>
      </c>
      <c r="F249" s="31"/>
      <c r="G249" s="32"/>
      <c r="H249" s="22" t="str">
        <f>IFERROR(__xludf.DUMMYFUNCTION("IF(I249="""","""",COUNTUNIQUE($I$6:I249))"),"")</f>
        <v/>
      </c>
      <c r="I249" s="31"/>
      <c r="J249" s="25" t="str">
        <f t="shared" si="2"/>
        <v/>
      </c>
      <c r="K249" s="26"/>
      <c r="L249" s="26"/>
      <c r="M249" s="26"/>
      <c r="N249" s="27"/>
    </row>
    <row r="250">
      <c r="A250" s="21" t="str">
        <f t="shared" si="1"/>
        <v/>
      </c>
      <c r="B250" s="22" t="str">
        <f>IFERROR(__xludf.DUMMYFUNCTION("IF(C250="""","""",ROMAN(COUNTUNIQUE($C$6:C250)))"),"")</f>
        <v/>
      </c>
      <c r="C250" s="31"/>
      <c r="D250" s="32"/>
      <c r="E250" s="22" t="str">
        <f>IFERROR(__xludf.DUMMYFUNCTION("IF(F250="""","""",LEFT(ADDRESS(1,COUNTUNIQUE($F$6:F250),4)))"),"")</f>
        <v/>
      </c>
      <c r="F250" s="31"/>
      <c r="G250" s="32"/>
      <c r="H250" s="22" t="str">
        <f>IFERROR(__xludf.DUMMYFUNCTION("IF(I250="""","""",COUNTUNIQUE($I$6:I250))"),"")</f>
        <v/>
      </c>
      <c r="I250" s="31"/>
      <c r="J250" s="25" t="str">
        <f t="shared" si="2"/>
        <v/>
      </c>
      <c r="K250" s="26"/>
      <c r="L250" s="26"/>
      <c r="M250" s="26"/>
      <c r="N250" s="27"/>
    </row>
    <row r="251">
      <c r="A251" s="21" t="str">
        <f t="shared" si="1"/>
        <v/>
      </c>
      <c r="B251" s="22" t="str">
        <f>IFERROR(__xludf.DUMMYFUNCTION("IF(C251="""","""",ROMAN(COUNTUNIQUE($C$6:C251)))"),"")</f>
        <v/>
      </c>
      <c r="C251" s="31"/>
      <c r="D251" s="32"/>
      <c r="E251" s="22" t="str">
        <f>IFERROR(__xludf.DUMMYFUNCTION("IF(F251="""","""",LEFT(ADDRESS(1,COUNTUNIQUE($F$6:F251),4)))"),"")</f>
        <v/>
      </c>
      <c r="F251" s="31"/>
      <c r="G251" s="32"/>
      <c r="H251" s="22" t="str">
        <f>IFERROR(__xludf.DUMMYFUNCTION("IF(I251="""","""",COUNTUNIQUE($I$6:I251))"),"")</f>
        <v/>
      </c>
      <c r="I251" s="31"/>
      <c r="J251" s="25" t="str">
        <f t="shared" si="2"/>
        <v/>
      </c>
      <c r="K251" s="26"/>
      <c r="L251" s="26"/>
      <c r="M251" s="26"/>
      <c r="N251" s="27"/>
    </row>
    <row r="252">
      <c r="A252" s="21" t="str">
        <f t="shared" si="1"/>
        <v/>
      </c>
      <c r="B252" s="22" t="str">
        <f>IFERROR(__xludf.DUMMYFUNCTION("IF(C252="""","""",ROMAN(COUNTUNIQUE($C$6:C252)))"),"")</f>
        <v/>
      </c>
      <c r="C252" s="31"/>
      <c r="D252" s="32"/>
      <c r="E252" s="22" t="str">
        <f>IFERROR(__xludf.DUMMYFUNCTION("IF(F252="""","""",LEFT(ADDRESS(1,COUNTUNIQUE($F$6:F252),4)))"),"")</f>
        <v/>
      </c>
      <c r="F252" s="31"/>
      <c r="G252" s="32"/>
      <c r="H252" s="22" t="str">
        <f>IFERROR(__xludf.DUMMYFUNCTION("IF(I252="""","""",COUNTUNIQUE($I$6:I252))"),"")</f>
        <v/>
      </c>
      <c r="I252" s="31"/>
      <c r="J252" s="25" t="str">
        <f t="shared" si="2"/>
        <v/>
      </c>
      <c r="K252" s="26"/>
      <c r="L252" s="26"/>
      <c r="M252" s="26"/>
      <c r="N252" s="27"/>
    </row>
    <row r="253">
      <c r="A253" s="21" t="str">
        <f t="shared" si="1"/>
        <v/>
      </c>
      <c r="B253" s="22" t="str">
        <f>IFERROR(__xludf.DUMMYFUNCTION("IF(C253="""","""",ROMAN(COUNTUNIQUE($C$6:C253)))"),"")</f>
        <v/>
      </c>
      <c r="C253" s="31"/>
      <c r="D253" s="32"/>
      <c r="E253" s="22" t="str">
        <f>IFERROR(__xludf.DUMMYFUNCTION("IF(F253="""","""",LEFT(ADDRESS(1,COUNTUNIQUE($F$6:F253),4)))"),"")</f>
        <v/>
      </c>
      <c r="F253" s="31"/>
      <c r="G253" s="32"/>
      <c r="H253" s="22" t="str">
        <f>IFERROR(__xludf.DUMMYFUNCTION("IF(I253="""","""",COUNTUNIQUE($I$6:I253))"),"")</f>
        <v/>
      </c>
      <c r="I253" s="31"/>
      <c r="J253" s="25" t="str">
        <f t="shared" si="2"/>
        <v/>
      </c>
      <c r="K253" s="26"/>
      <c r="L253" s="26"/>
      <c r="M253" s="26"/>
      <c r="N253" s="27"/>
    </row>
    <row r="254">
      <c r="A254" s="21" t="str">
        <f t="shared" si="1"/>
        <v/>
      </c>
      <c r="B254" s="22" t="str">
        <f>IFERROR(__xludf.DUMMYFUNCTION("IF(C254="""","""",ROMAN(COUNTUNIQUE($C$6:C254)))"),"")</f>
        <v/>
      </c>
      <c r="C254" s="31"/>
      <c r="D254" s="32"/>
      <c r="E254" s="22" t="str">
        <f>IFERROR(__xludf.DUMMYFUNCTION("IF(F254="""","""",LEFT(ADDRESS(1,COUNTUNIQUE($F$6:F254),4)))"),"")</f>
        <v/>
      </c>
      <c r="F254" s="31"/>
      <c r="G254" s="32"/>
      <c r="H254" s="22" t="str">
        <f>IFERROR(__xludf.DUMMYFUNCTION("IF(I254="""","""",COUNTUNIQUE($I$6:I254))"),"")</f>
        <v/>
      </c>
      <c r="I254" s="31"/>
      <c r="J254" s="25" t="str">
        <f t="shared" si="2"/>
        <v/>
      </c>
      <c r="K254" s="26"/>
      <c r="L254" s="26"/>
      <c r="M254" s="26"/>
      <c r="N254" s="27"/>
    </row>
    <row r="255">
      <c r="A255" s="21" t="str">
        <f t="shared" si="1"/>
        <v/>
      </c>
      <c r="B255" s="22" t="str">
        <f>IFERROR(__xludf.DUMMYFUNCTION("IF(C255="""","""",ROMAN(COUNTUNIQUE($C$6:C255)))"),"")</f>
        <v/>
      </c>
      <c r="C255" s="31"/>
      <c r="D255" s="32"/>
      <c r="E255" s="22" t="str">
        <f>IFERROR(__xludf.DUMMYFUNCTION("IF(F255="""","""",LEFT(ADDRESS(1,COUNTUNIQUE($F$6:F255),4)))"),"")</f>
        <v/>
      </c>
      <c r="F255" s="31"/>
      <c r="G255" s="32"/>
      <c r="H255" s="22" t="str">
        <f>IFERROR(__xludf.DUMMYFUNCTION("IF(I255="""","""",COUNTUNIQUE($I$6:I255))"),"")</f>
        <v/>
      </c>
      <c r="I255" s="31"/>
      <c r="J255" s="25" t="str">
        <f t="shared" si="2"/>
        <v/>
      </c>
      <c r="K255" s="26"/>
      <c r="L255" s="26"/>
      <c r="M255" s="26"/>
      <c r="N255" s="27"/>
    </row>
    <row r="256">
      <c r="A256" s="21" t="str">
        <f t="shared" si="1"/>
        <v/>
      </c>
      <c r="B256" s="22" t="str">
        <f>IFERROR(__xludf.DUMMYFUNCTION("IF(C256="""","""",ROMAN(COUNTUNIQUE($C$6:C256)))"),"")</f>
        <v/>
      </c>
      <c r="C256" s="31"/>
      <c r="D256" s="32"/>
      <c r="E256" s="22" t="str">
        <f>IFERROR(__xludf.DUMMYFUNCTION("IF(F256="""","""",LEFT(ADDRESS(1,COUNTUNIQUE($F$6:F256),4)))"),"")</f>
        <v/>
      </c>
      <c r="F256" s="31"/>
      <c r="G256" s="32"/>
      <c r="H256" s="22" t="str">
        <f>IFERROR(__xludf.DUMMYFUNCTION("IF(I256="""","""",COUNTUNIQUE($I$6:I256))"),"")</f>
        <v/>
      </c>
      <c r="I256" s="31"/>
      <c r="J256" s="25" t="str">
        <f t="shared" si="2"/>
        <v/>
      </c>
      <c r="K256" s="26"/>
      <c r="L256" s="26"/>
      <c r="M256" s="26"/>
      <c r="N256" s="27"/>
    </row>
    <row r="257">
      <c r="A257" s="21" t="str">
        <f t="shared" si="1"/>
        <v/>
      </c>
      <c r="B257" s="22" t="str">
        <f>IFERROR(__xludf.DUMMYFUNCTION("IF(C257="""","""",ROMAN(COUNTUNIQUE($C$6:C257)))"),"")</f>
        <v/>
      </c>
      <c r="C257" s="31"/>
      <c r="D257" s="32"/>
      <c r="E257" s="22" t="str">
        <f>IFERROR(__xludf.DUMMYFUNCTION("IF(F257="""","""",LEFT(ADDRESS(1,COUNTUNIQUE($F$6:F257),4)))"),"")</f>
        <v/>
      </c>
      <c r="F257" s="31"/>
      <c r="G257" s="32"/>
      <c r="H257" s="22" t="str">
        <f>IFERROR(__xludf.DUMMYFUNCTION("IF(I257="""","""",COUNTUNIQUE($I$6:I257))"),"")</f>
        <v/>
      </c>
      <c r="I257" s="31"/>
      <c r="J257" s="25" t="str">
        <f t="shared" si="2"/>
        <v/>
      </c>
      <c r="K257" s="26"/>
      <c r="L257" s="26"/>
      <c r="M257" s="26"/>
      <c r="N257" s="27"/>
    </row>
    <row r="258">
      <c r="A258" s="21" t="str">
        <f t="shared" si="1"/>
        <v/>
      </c>
      <c r="B258" s="22" t="str">
        <f>IFERROR(__xludf.DUMMYFUNCTION("IF(C258="""","""",ROMAN(COUNTUNIQUE($C$6:C258)))"),"")</f>
        <v/>
      </c>
      <c r="C258" s="31"/>
      <c r="D258" s="32"/>
      <c r="E258" s="22" t="str">
        <f>IFERROR(__xludf.DUMMYFUNCTION("IF(F258="""","""",LEFT(ADDRESS(1,COUNTUNIQUE($F$6:F258),4)))"),"")</f>
        <v/>
      </c>
      <c r="F258" s="31"/>
      <c r="G258" s="32"/>
      <c r="H258" s="22" t="str">
        <f>IFERROR(__xludf.DUMMYFUNCTION("IF(I258="""","""",COUNTUNIQUE($I$6:I258))"),"")</f>
        <v/>
      </c>
      <c r="I258" s="31"/>
      <c r="J258" s="25" t="str">
        <f t="shared" si="2"/>
        <v/>
      </c>
      <c r="K258" s="26"/>
      <c r="L258" s="26"/>
      <c r="M258" s="26"/>
      <c r="N258" s="27"/>
    </row>
    <row r="259">
      <c r="A259" s="21" t="str">
        <f t="shared" si="1"/>
        <v/>
      </c>
      <c r="B259" s="22" t="str">
        <f>IFERROR(__xludf.DUMMYFUNCTION("IF(C259="""","""",ROMAN(COUNTUNIQUE($C$6:C259)))"),"")</f>
        <v/>
      </c>
      <c r="C259" s="31"/>
      <c r="D259" s="32"/>
      <c r="E259" s="22" t="str">
        <f>IFERROR(__xludf.DUMMYFUNCTION("IF(F259="""","""",LEFT(ADDRESS(1,COUNTUNIQUE($F$6:F259),4)))"),"")</f>
        <v/>
      </c>
      <c r="F259" s="31"/>
      <c r="G259" s="32"/>
      <c r="H259" s="22" t="str">
        <f>IFERROR(__xludf.DUMMYFUNCTION("IF(I259="""","""",COUNTUNIQUE($I$6:I259))"),"")</f>
        <v/>
      </c>
      <c r="I259" s="31"/>
      <c r="J259" s="25" t="str">
        <f t="shared" si="2"/>
        <v/>
      </c>
      <c r="K259" s="26"/>
      <c r="L259" s="26"/>
      <c r="M259" s="26"/>
      <c r="N259" s="27"/>
    </row>
    <row r="260">
      <c r="A260" s="21" t="str">
        <f t="shared" si="1"/>
        <v/>
      </c>
      <c r="B260" s="22" t="str">
        <f>IFERROR(__xludf.DUMMYFUNCTION("IF(C260="""","""",ROMAN(COUNTUNIQUE($C$6:C260)))"),"")</f>
        <v/>
      </c>
      <c r="C260" s="31"/>
      <c r="D260" s="32"/>
      <c r="E260" s="22" t="str">
        <f>IFERROR(__xludf.DUMMYFUNCTION("IF(F260="""","""",LEFT(ADDRESS(1,COUNTUNIQUE($F$6:F260),4)))"),"")</f>
        <v/>
      </c>
      <c r="F260" s="31"/>
      <c r="G260" s="32"/>
      <c r="H260" s="22" t="str">
        <f>IFERROR(__xludf.DUMMYFUNCTION("IF(I260="""","""",COUNTUNIQUE($I$6:I260))"),"")</f>
        <v/>
      </c>
      <c r="I260" s="31"/>
      <c r="J260" s="25" t="str">
        <f t="shared" si="2"/>
        <v/>
      </c>
      <c r="K260" s="26"/>
      <c r="L260" s="26"/>
      <c r="M260" s="26"/>
      <c r="N260" s="27"/>
    </row>
    <row r="261">
      <c r="A261" s="21" t="str">
        <f t="shared" si="1"/>
        <v/>
      </c>
      <c r="B261" s="22" t="str">
        <f>IFERROR(__xludf.DUMMYFUNCTION("IF(C261="""","""",ROMAN(COUNTUNIQUE($C$6:C261)))"),"")</f>
        <v/>
      </c>
      <c r="C261" s="31"/>
      <c r="D261" s="32"/>
      <c r="E261" s="22" t="str">
        <f>IFERROR(__xludf.DUMMYFUNCTION("IF(F261="""","""",LEFT(ADDRESS(1,COUNTUNIQUE($F$6:F261),4)))"),"")</f>
        <v/>
      </c>
      <c r="F261" s="31"/>
      <c r="G261" s="32"/>
      <c r="H261" s="22" t="str">
        <f>IFERROR(__xludf.DUMMYFUNCTION("IF(I261="""","""",COUNTUNIQUE($I$6:I261))"),"")</f>
        <v/>
      </c>
      <c r="I261" s="31"/>
      <c r="J261" s="25" t="str">
        <f t="shared" si="2"/>
        <v/>
      </c>
      <c r="K261" s="26"/>
      <c r="L261" s="26"/>
      <c r="M261" s="26"/>
      <c r="N261" s="27"/>
    </row>
    <row r="262">
      <c r="A262" s="21" t="str">
        <f t="shared" si="1"/>
        <v/>
      </c>
      <c r="B262" s="22" t="str">
        <f>IFERROR(__xludf.DUMMYFUNCTION("IF(C262="""","""",ROMAN(COUNTUNIQUE($C$6:C262)))"),"")</f>
        <v/>
      </c>
      <c r="C262" s="31"/>
      <c r="D262" s="32"/>
      <c r="E262" s="22" t="str">
        <f>IFERROR(__xludf.DUMMYFUNCTION("IF(F262="""","""",LEFT(ADDRESS(1,COUNTUNIQUE($F$6:F262),4)))"),"")</f>
        <v/>
      </c>
      <c r="F262" s="31"/>
      <c r="G262" s="32"/>
      <c r="H262" s="22" t="str">
        <f>IFERROR(__xludf.DUMMYFUNCTION("IF(I262="""","""",COUNTUNIQUE($I$6:I262))"),"")</f>
        <v/>
      </c>
      <c r="I262" s="31"/>
      <c r="J262" s="25" t="str">
        <f t="shared" si="2"/>
        <v/>
      </c>
      <c r="K262" s="26"/>
      <c r="L262" s="26"/>
      <c r="M262" s="26"/>
      <c r="N262" s="27"/>
    </row>
    <row r="263">
      <c r="A263" s="21" t="str">
        <f t="shared" si="1"/>
        <v/>
      </c>
      <c r="B263" s="22" t="str">
        <f>IFERROR(__xludf.DUMMYFUNCTION("IF(C263="""","""",ROMAN(COUNTUNIQUE($C$6:C263)))"),"")</f>
        <v/>
      </c>
      <c r="C263" s="31"/>
      <c r="D263" s="32"/>
      <c r="E263" s="22" t="str">
        <f>IFERROR(__xludf.DUMMYFUNCTION("IF(F263="""","""",LEFT(ADDRESS(1,COUNTUNIQUE($F$6:F263),4)))"),"")</f>
        <v/>
      </c>
      <c r="F263" s="31"/>
      <c r="G263" s="32"/>
      <c r="H263" s="22" t="str">
        <f>IFERROR(__xludf.DUMMYFUNCTION("IF(I263="""","""",COUNTUNIQUE($I$6:I263))"),"")</f>
        <v/>
      </c>
      <c r="I263" s="31"/>
      <c r="J263" s="25" t="str">
        <f t="shared" si="2"/>
        <v/>
      </c>
      <c r="K263" s="26"/>
      <c r="L263" s="26"/>
      <c r="M263" s="26"/>
      <c r="N263" s="27"/>
    </row>
    <row r="264">
      <c r="A264" s="21" t="str">
        <f t="shared" si="1"/>
        <v/>
      </c>
      <c r="B264" s="22" t="str">
        <f>IFERROR(__xludf.DUMMYFUNCTION("IF(C264="""","""",ROMAN(COUNTUNIQUE($C$6:C264)))"),"")</f>
        <v/>
      </c>
      <c r="C264" s="31"/>
      <c r="D264" s="32"/>
      <c r="E264" s="22" t="str">
        <f>IFERROR(__xludf.DUMMYFUNCTION("IF(F264="""","""",LEFT(ADDRESS(1,COUNTUNIQUE($F$6:F264),4)))"),"")</f>
        <v/>
      </c>
      <c r="F264" s="31"/>
      <c r="G264" s="32"/>
      <c r="H264" s="22" t="str">
        <f>IFERROR(__xludf.DUMMYFUNCTION("IF(I264="""","""",COUNTUNIQUE($I$6:I264))"),"")</f>
        <v/>
      </c>
      <c r="I264" s="31"/>
      <c r="J264" s="25" t="str">
        <f t="shared" si="2"/>
        <v/>
      </c>
      <c r="K264" s="26"/>
      <c r="L264" s="26"/>
      <c r="M264" s="26"/>
      <c r="N264" s="27"/>
    </row>
    <row r="265">
      <c r="A265" s="21" t="str">
        <f t="shared" si="1"/>
        <v/>
      </c>
      <c r="B265" s="22" t="str">
        <f>IFERROR(__xludf.DUMMYFUNCTION("IF(C265="""","""",ROMAN(COUNTUNIQUE($C$6:C265)))"),"")</f>
        <v/>
      </c>
      <c r="C265" s="31"/>
      <c r="D265" s="32"/>
      <c r="E265" s="22" t="str">
        <f>IFERROR(__xludf.DUMMYFUNCTION("IF(F265="""","""",LEFT(ADDRESS(1,COUNTUNIQUE($F$6:F265),4)))"),"")</f>
        <v/>
      </c>
      <c r="F265" s="31"/>
      <c r="G265" s="32"/>
      <c r="H265" s="22" t="str">
        <f>IFERROR(__xludf.DUMMYFUNCTION("IF(I265="""","""",COUNTUNIQUE($I$6:I265))"),"")</f>
        <v/>
      </c>
      <c r="I265" s="31"/>
      <c r="J265" s="25" t="str">
        <f t="shared" si="2"/>
        <v/>
      </c>
      <c r="K265" s="26"/>
      <c r="L265" s="26"/>
      <c r="M265" s="26"/>
      <c r="N265" s="27"/>
    </row>
    <row r="266">
      <c r="A266" s="21" t="str">
        <f t="shared" si="1"/>
        <v/>
      </c>
      <c r="B266" s="22" t="str">
        <f>IFERROR(__xludf.DUMMYFUNCTION("IF(C266="""","""",ROMAN(COUNTUNIQUE($C$6:C266)))"),"")</f>
        <v/>
      </c>
      <c r="C266" s="31"/>
      <c r="D266" s="32"/>
      <c r="E266" s="22" t="str">
        <f>IFERROR(__xludf.DUMMYFUNCTION("IF(F266="""","""",LEFT(ADDRESS(1,COUNTUNIQUE($F$6:F266),4)))"),"")</f>
        <v/>
      </c>
      <c r="F266" s="31"/>
      <c r="G266" s="32"/>
      <c r="H266" s="22" t="str">
        <f>IFERROR(__xludf.DUMMYFUNCTION("IF(I266="""","""",COUNTUNIQUE($I$6:I266))"),"")</f>
        <v/>
      </c>
      <c r="I266" s="31"/>
      <c r="J266" s="25" t="str">
        <f t="shared" si="2"/>
        <v/>
      </c>
      <c r="K266" s="26"/>
      <c r="L266" s="26"/>
      <c r="M266" s="26"/>
      <c r="N266" s="27"/>
    </row>
    <row r="267">
      <c r="A267" s="21" t="str">
        <f t="shared" si="1"/>
        <v/>
      </c>
      <c r="B267" s="22" t="str">
        <f>IFERROR(__xludf.DUMMYFUNCTION("IF(C267="""","""",ROMAN(COUNTUNIQUE($C$6:C267)))"),"")</f>
        <v/>
      </c>
      <c r="C267" s="31"/>
      <c r="D267" s="32"/>
      <c r="E267" s="22" t="str">
        <f>IFERROR(__xludf.DUMMYFUNCTION("IF(F267="""","""",LEFT(ADDRESS(1,COUNTUNIQUE($F$6:F267),4)))"),"")</f>
        <v/>
      </c>
      <c r="F267" s="31"/>
      <c r="G267" s="32"/>
      <c r="H267" s="22" t="str">
        <f>IFERROR(__xludf.DUMMYFUNCTION("IF(I267="""","""",COUNTUNIQUE($I$6:I267))"),"")</f>
        <v/>
      </c>
      <c r="I267" s="31"/>
      <c r="J267" s="25" t="str">
        <f t="shared" si="2"/>
        <v/>
      </c>
      <c r="K267" s="26"/>
      <c r="L267" s="26"/>
      <c r="M267" s="26"/>
      <c r="N267" s="27"/>
    </row>
    <row r="268">
      <c r="A268" s="21" t="str">
        <f t="shared" si="1"/>
        <v/>
      </c>
      <c r="B268" s="22" t="str">
        <f>IFERROR(__xludf.DUMMYFUNCTION("IF(C268="""","""",ROMAN(COUNTUNIQUE($C$6:C268)))"),"")</f>
        <v/>
      </c>
      <c r="C268" s="31"/>
      <c r="D268" s="32"/>
      <c r="E268" s="22" t="str">
        <f>IFERROR(__xludf.DUMMYFUNCTION("IF(F268="""","""",LEFT(ADDRESS(1,COUNTUNIQUE($F$6:F268),4)))"),"")</f>
        <v/>
      </c>
      <c r="F268" s="31"/>
      <c r="G268" s="32"/>
      <c r="H268" s="22" t="str">
        <f>IFERROR(__xludf.DUMMYFUNCTION("IF(I268="""","""",COUNTUNIQUE($I$6:I268))"),"")</f>
        <v/>
      </c>
      <c r="I268" s="31"/>
      <c r="J268" s="25" t="str">
        <f t="shared" si="2"/>
        <v/>
      </c>
      <c r="K268" s="26"/>
      <c r="L268" s="26"/>
      <c r="M268" s="26"/>
      <c r="N268" s="27"/>
    </row>
    <row r="269">
      <c r="A269" s="21" t="str">
        <f t="shared" si="1"/>
        <v/>
      </c>
      <c r="B269" s="22" t="str">
        <f>IFERROR(__xludf.DUMMYFUNCTION("IF(C269="""","""",ROMAN(COUNTUNIQUE($C$6:C269)))"),"")</f>
        <v/>
      </c>
      <c r="C269" s="31"/>
      <c r="D269" s="32"/>
      <c r="E269" s="22" t="str">
        <f>IFERROR(__xludf.DUMMYFUNCTION("IF(F269="""","""",LEFT(ADDRESS(1,COUNTUNIQUE($F$6:F269),4)))"),"")</f>
        <v/>
      </c>
      <c r="F269" s="31"/>
      <c r="G269" s="32"/>
      <c r="H269" s="22" t="str">
        <f>IFERROR(__xludf.DUMMYFUNCTION("IF(I269="""","""",COUNTUNIQUE($I$6:I269))"),"")</f>
        <v/>
      </c>
      <c r="I269" s="31"/>
      <c r="J269" s="25" t="str">
        <f t="shared" si="2"/>
        <v/>
      </c>
      <c r="K269" s="26"/>
      <c r="L269" s="26"/>
      <c r="M269" s="26"/>
      <c r="N269" s="27"/>
    </row>
    <row r="270">
      <c r="A270" s="21" t="str">
        <f t="shared" si="1"/>
        <v/>
      </c>
      <c r="B270" s="22" t="str">
        <f>IFERROR(__xludf.DUMMYFUNCTION("IF(C270="""","""",ROMAN(COUNTUNIQUE($C$6:C270)))"),"")</f>
        <v/>
      </c>
      <c r="C270" s="31"/>
      <c r="D270" s="32"/>
      <c r="E270" s="22" t="str">
        <f>IFERROR(__xludf.DUMMYFUNCTION("IF(F270="""","""",LEFT(ADDRESS(1,COUNTUNIQUE($F$6:F270),4)))"),"")</f>
        <v/>
      </c>
      <c r="F270" s="31"/>
      <c r="G270" s="32"/>
      <c r="H270" s="22" t="str">
        <f>IFERROR(__xludf.DUMMYFUNCTION("IF(I270="""","""",COUNTUNIQUE($I$6:I270))"),"")</f>
        <v/>
      </c>
      <c r="I270" s="31"/>
      <c r="J270" s="25" t="str">
        <f t="shared" si="2"/>
        <v/>
      </c>
      <c r="K270" s="26"/>
      <c r="L270" s="26"/>
      <c r="M270" s="26"/>
      <c r="N270" s="27"/>
    </row>
    <row r="271">
      <c r="A271" s="21" t="str">
        <f t="shared" si="1"/>
        <v/>
      </c>
      <c r="B271" s="22" t="str">
        <f>IFERROR(__xludf.DUMMYFUNCTION("IF(C271="""","""",ROMAN(COUNTUNIQUE($C$6:C271)))"),"")</f>
        <v/>
      </c>
      <c r="C271" s="31"/>
      <c r="D271" s="32"/>
      <c r="E271" s="22" t="str">
        <f>IFERROR(__xludf.DUMMYFUNCTION("IF(F271="""","""",LEFT(ADDRESS(1,COUNTUNIQUE($F$6:F271),4)))"),"")</f>
        <v/>
      </c>
      <c r="F271" s="31"/>
      <c r="G271" s="32"/>
      <c r="H271" s="22" t="str">
        <f>IFERROR(__xludf.DUMMYFUNCTION("IF(I271="""","""",COUNTUNIQUE($I$6:I271))"),"")</f>
        <v/>
      </c>
      <c r="I271" s="31"/>
      <c r="J271" s="25" t="str">
        <f t="shared" si="2"/>
        <v/>
      </c>
      <c r="K271" s="26"/>
      <c r="L271" s="26"/>
      <c r="M271" s="26"/>
      <c r="N271" s="27"/>
    </row>
    <row r="272">
      <c r="A272" s="21" t="str">
        <f t="shared" si="1"/>
        <v/>
      </c>
      <c r="B272" s="22" t="str">
        <f>IFERROR(__xludf.DUMMYFUNCTION("IF(C272="""","""",ROMAN(COUNTUNIQUE($C$6:C272)))"),"")</f>
        <v/>
      </c>
      <c r="C272" s="31"/>
      <c r="D272" s="32"/>
      <c r="E272" s="22" t="str">
        <f>IFERROR(__xludf.DUMMYFUNCTION("IF(F272="""","""",LEFT(ADDRESS(1,COUNTUNIQUE($F$6:F272),4)))"),"")</f>
        <v/>
      </c>
      <c r="F272" s="31"/>
      <c r="G272" s="32"/>
      <c r="H272" s="22" t="str">
        <f>IFERROR(__xludf.DUMMYFUNCTION("IF(I272="""","""",COUNTUNIQUE($I$6:I272))"),"")</f>
        <v/>
      </c>
      <c r="I272" s="31"/>
      <c r="J272" s="25" t="str">
        <f t="shared" si="2"/>
        <v/>
      </c>
      <c r="K272" s="26"/>
      <c r="L272" s="26"/>
      <c r="M272" s="26"/>
      <c r="N272" s="27"/>
    </row>
    <row r="273">
      <c r="A273" s="21" t="str">
        <f t="shared" si="1"/>
        <v/>
      </c>
      <c r="B273" s="22" t="str">
        <f>IFERROR(__xludf.DUMMYFUNCTION("IF(C273="""","""",ROMAN(COUNTUNIQUE($C$6:C273)))"),"")</f>
        <v/>
      </c>
      <c r="C273" s="31"/>
      <c r="D273" s="32"/>
      <c r="E273" s="22" t="str">
        <f>IFERROR(__xludf.DUMMYFUNCTION("IF(F273="""","""",LEFT(ADDRESS(1,COUNTUNIQUE($F$6:F273),4)))"),"")</f>
        <v/>
      </c>
      <c r="F273" s="31"/>
      <c r="G273" s="32"/>
      <c r="H273" s="22" t="str">
        <f>IFERROR(__xludf.DUMMYFUNCTION("IF(I273="""","""",COUNTUNIQUE($I$6:I273))"),"")</f>
        <v/>
      </c>
      <c r="I273" s="31"/>
      <c r="J273" s="25" t="str">
        <f t="shared" si="2"/>
        <v/>
      </c>
      <c r="K273" s="26"/>
      <c r="L273" s="26"/>
      <c r="M273" s="26"/>
      <c r="N273" s="27"/>
    </row>
    <row r="274">
      <c r="A274" s="21" t="str">
        <f t="shared" si="1"/>
        <v/>
      </c>
      <c r="B274" s="22" t="str">
        <f>IFERROR(__xludf.DUMMYFUNCTION("IF(C274="""","""",ROMAN(COUNTUNIQUE($C$6:C274)))"),"")</f>
        <v/>
      </c>
      <c r="C274" s="31"/>
      <c r="D274" s="32"/>
      <c r="E274" s="22" t="str">
        <f>IFERROR(__xludf.DUMMYFUNCTION("IF(F274="""","""",LEFT(ADDRESS(1,COUNTUNIQUE($F$6:F274),4)))"),"")</f>
        <v/>
      </c>
      <c r="F274" s="31"/>
      <c r="G274" s="32"/>
      <c r="H274" s="22" t="str">
        <f>IFERROR(__xludf.DUMMYFUNCTION("IF(I274="""","""",COUNTUNIQUE($I$6:I274))"),"")</f>
        <v/>
      </c>
      <c r="I274" s="31"/>
      <c r="J274" s="25" t="str">
        <f t="shared" si="2"/>
        <v/>
      </c>
      <c r="K274" s="26"/>
      <c r="L274" s="26"/>
      <c r="M274" s="26"/>
      <c r="N274" s="27"/>
    </row>
    <row r="275">
      <c r="A275" s="21" t="str">
        <f t="shared" si="1"/>
        <v/>
      </c>
      <c r="B275" s="22" t="str">
        <f>IFERROR(__xludf.DUMMYFUNCTION("IF(C275="""","""",ROMAN(COUNTUNIQUE($C$6:C275)))"),"")</f>
        <v/>
      </c>
      <c r="C275" s="31"/>
      <c r="D275" s="32"/>
      <c r="E275" s="22" t="str">
        <f>IFERROR(__xludf.DUMMYFUNCTION("IF(F275="""","""",LEFT(ADDRESS(1,COUNTUNIQUE($F$6:F275),4)))"),"")</f>
        <v/>
      </c>
      <c r="F275" s="31"/>
      <c r="G275" s="32"/>
      <c r="H275" s="22" t="str">
        <f>IFERROR(__xludf.DUMMYFUNCTION("IF(I275="""","""",COUNTUNIQUE($I$6:I275))"),"")</f>
        <v/>
      </c>
      <c r="I275" s="31"/>
      <c r="J275" s="25" t="str">
        <f t="shared" si="2"/>
        <v/>
      </c>
      <c r="K275" s="26"/>
      <c r="L275" s="26"/>
      <c r="M275" s="26"/>
      <c r="N275" s="27"/>
    </row>
    <row r="276">
      <c r="A276" s="21" t="str">
        <f t="shared" si="1"/>
        <v/>
      </c>
      <c r="B276" s="22" t="str">
        <f>IFERROR(__xludf.DUMMYFUNCTION("IF(C276="""","""",ROMAN(COUNTUNIQUE($C$6:C276)))"),"")</f>
        <v/>
      </c>
      <c r="C276" s="31"/>
      <c r="D276" s="32"/>
      <c r="E276" s="22" t="str">
        <f>IFERROR(__xludf.DUMMYFUNCTION("IF(F276="""","""",LEFT(ADDRESS(1,COUNTUNIQUE($F$6:F276),4)))"),"")</f>
        <v/>
      </c>
      <c r="F276" s="31"/>
      <c r="G276" s="32"/>
      <c r="H276" s="22" t="str">
        <f>IFERROR(__xludf.DUMMYFUNCTION("IF(I276="""","""",COUNTUNIQUE($I$6:I276))"),"")</f>
        <v/>
      </c>
      <c r="I276" s="31"/>
      <c r="J276" s="25" t="str">
        <f t="shared" si="2"/>
        <v/>
      </c>
      <c r="K276" s="26"/>
      <c r="L276" s="26"/>
      <c r="M276" s="26"/>
      <c r="N276" s="27"/>
    </row>
    <row r="277">
      <c r="A277" s="21" t="str">
        <f t="shared" si="1"/>
        <v/>
      </c>
      <c r="B277" s="22" t="str">
        <f>IFERROR(__xludf.DUMMYFUNCTION("IF(C277="""","""",ROMAN(COUNTUNIQUE($C$6:C277)))"),"")</f>
        <v/>
      </c>
      <c r="C277" s="31"/>
      <c r="D277" s="32"/>
      <c r="E277" s="22" t="str">
        <f>IFERROR(__xludf.DUMMYFUNCTION("IF(F277="""","""",LEFT(ADDRESS(1,COUNTUNIQUE($F$6:F277),4)))"),"")</f>
        <v/>
      </c>
      <c r="F277" s="31"/>
      <c r="G277" s="32"/>
      <c r="H277" s="22" t="str">
        <f>IFERROR(__xludf.DUMMYFUNCTION("IF(I277="""","""",COUNTUNIQUE($I$6:I277))"),"")</f>
        <v/>
      </c>
      <c r="I277" s="31"/>
      <c r="J277" s="25" t="str">
        <f t="shared" si="2"/>
        <v/>
      </c>
      <c r="K277" s="26"/>
      <c r="L277" s="26"/>
      <c r="M277" s="26"/>
      <c r="N277" s="27"/>
    </row>
    <row r="278">
      <c r="A278" s="21" t="str">
        <f t="shared" si="1"/>
        <v/>
      </c>
      <c r="B278" s="22" t="str">
        <f>IFERROR(__xludf.DUMMYFUNCTION("IF(C278="""","""",ROMAN(COUNTUNIQUE($C$6:C278)))"),"")</f>
        <v/>
      </c>
      <c r="C278" s="31"/>
      <c r="D278" s="32"/>
      <c r="E278" s="22" t="str">
        <f>IFERROR(__xludf.DUMMYFUNCTION("IF(F278="""","""",LEFT(ADDRESS(1,COUNTUNIQUE($F$6:F278),4)))"),"")</f>
        <v/>
      </c>
      <c r="F278" s="31"/>
      <c r="G278" s="32"/>
      <c r="H278" s="22" t="str">
        <f>IFERROR(__xludf.DUMMYFUNCTION("IF(I278="""","""",COUNTUNIQUE($I$6:I278))"),"")</f>
        <v/>
      </c>
      <c r="I278" s="31"/>
      <c r="J278" s="25" t="str">
        <f t="shared" si="2"/>
        <v/>
      </c>
      <c r="K278" s="26"/>
      <c r="L278" s="26"/>
      <c r="M278" s="26"/>
      <c r="N278" s="27"/>
    </row>
    <row r="279">
      <c r="A279" s="21" t="str">
        <f t="shared" si="1"/>
        <v/>
      </c>
      <c r="B279" s="22" t="str">
        <f>IFERROR(__xludf.DUMMYFUNCTION("IF(C279="""","""",ROMAN(COUNTUNIQUE($C$6:C279)))"),"")</f>
        <v/>
      </c>
      <c r="C279" s="31"/>
      <c r="D279" s="32"/>
      <c r="E279" s="22" t="str">
        <f>IFERROR(__xludf.DUMMYFUNCTION("IF(F279="""","""",LEFT(ADDRESS(1,COUNTUNIQUE($F$6:F279),4)))"),"")</f>
        <v/>
      </c>
      <c r="F279" s="31"/>
      <c r="G279" s="32"/>
      <c r="H279" s="22" t="str">
        <f>IFERROR(__xludf.DUMMYFUNCTION("IF(I279="""","""",COUNTUNIQUE($I$6:I279))"),"")</f>
        <v/>
      </c>
      <c r="I279" s="31"/>
      <c r="J279" s="25" t="str">
        <f t="shared" si="2"/>
        <v/>
      </c>
      <c r="K279" s="26"/>
      <c r="L279" s="26"/>
      <c r="M279" s="26"/>
      <c r="N279" s="27"/>
    </row>
    <row r="280">
      <c r="A280" s="21" t="str">
        <f t="shared" si="1"/>
        <v/>
      </c>
      <c r="B280" s="22" t="str">
        <f>IFERROR(__xludf.DUMMYFUNCTION("IF(C280="""","""",ROMAN(COUNTUNIQUE($C$6:C280)))"),"")</f>
        <v/>
      </c>
      <c r="C280" s="31"/>
      <c r="D280" s="32"/>
      <c r="E280" s="22" t="str">
        <f>IFERROR(__xludf.DUMMYFUNCTION("IF(F280="""","""",LEFT(ADDRESS(1,COUNTUNIQUE($F$6:F280),4)))"),"")</f>
        <v/>
      </c>
      <c r="F280" s="31"/>
      <c r="G280" s="32"/>
      <c r="H280" s="22" t="str">
        <f>IFERROR(__xludf.DUMMYFUNCTION("IF(I280="""","""",COUNTUNIQUE($I$6:I280))"),"")</f>
        <v/>
      </c>
      <c r="I280" s="31"/>
      <c r="J280" s="25" t="str">
        <f t="shared" si="2"/>
        <v/>
      </c>
      <c r="K280" s="26"/>
      <c r="L280" s="26"/>
      <c r="M280" s="26"/>
      <c r="N280" s="27"/>
    </row>
    <row r="281">
      <c r="A281" s="21" t="str">
        <f t="shared" si="1"/>
        <v/>
      </c>
      <c r="B281" s="22" t="str">
        <f>IFERROR(__xludf.DUMMYFUNCTION("IF(C281="""","""",ROMAN(COUNTUNIQUE($C$6:C281)))"),"")</f>
        <v/>
      </c>
      <c r="C281" s="31"/>
      <c r="D281" s="32"/>
      <c r="E281" s="22" t="str">
        <f>IFERROR(__xludf.DUMMYFUNCTION("IF(F281="""","""",LEFT(ADDRESS(1,COUNTUNIQUE($F$6:F281),4)))"),"")</f>
        <v/>
      </c>
      <c r="F281" s="31"/>
      <c r="G281" s="32"/>
      <c r="H281" s="22" t="str">
        <f>IFERROR(__xludf.DUMMYFUNCTION("IF(I281="""","""",COUNTUNIQUE($I$6:I281))"),"")</f>
        <v/>
      </c>
      <c r="I281" s="31"/>
      <c r="J281" s="25" t="str">
        <f t="shared" si="2"/>
        <v/>
      </c>
      <c r="K281" s="26"/>
      <c r="L281" s="26"/>
      <c r="M281" s="26"/>
      <c r="N281" s="27"/>
    </row>
    <row r="282">
      <c r="A282" s="21" t="str">
        <f t="shared" si="1"/>
        <v/>
      </c>
      <c r="B282" s="22" t="str">
        <f>IFERROR(__xludf.DUMMYFUNCTION("IF(C282="""","""",ROMAN(COUNTUNIQUE($C$6:C282)))"),"")</f>
        <v/>
      </c>
      <c r="C282" s="31"/>
      <c r="D282" s="32"/>
      <c r="E282" s="22" t="str">
        <f>IFERROR(__xludf.DUMMYFUNCTION("IF(F282="""","""",LEFT(ADDRESS(1,COUNTUNIQUE($F$6:F282),4)))"),"")</f>
        <v/>
      </c>
      <c r="F282" s="31"/>
      <c r="G282" s="32"/>
      <c r="H282" s="22" t="str">
        <f>IFERROR(__xludf.DUMMYFUNCTION("IF(I282="""","""",COUNTUNIQUE($I$6:I282))"),"")</f>
        <v/>
      </c>
      <c r="I282" s="31"/>
      <c r="J282" s="25" t="str">
        <f t="shared" si="2"/>
        <v/>
      </c>
      <c r="K282" s="26"/>
      <c r="L282" s="26"/>
      <c r="M282" s="26"/>
      <c r="N282" s="27"/>
    </row>
    <row r="283">
      <c r="A283" s="21" t="str">
        <f t="shared" si="1"/>
        <v/>
      </c>
      <c r="B283" s="22" t="str">
        <f>IFERROR(__xludf.DUMMYFUNCTION("IF(C283="""","""",ROMAN(COUNTUNIQUE($C$6:C283)))"),"")</f>
        <v/>
      </c>
      <c r="C283" s="31"/>
      <c r="D283" s="32"/>
      <c r="E283" s="22" t="str">
        <f>IFERROR(__xludf.DUMMYFUNCTION("IF(F283="""","""",LEFT(ADDRESS(1,COUNTUNIQUE($F$6:F283),4)))"),"")</f>
        <v/>
      </c>
      <c r="F283" s="31"/>
      <c r="G283" s="32"/>
      <c r="H283" s="22" t="str">
        <f>IFERROR(__xludf.DUMMYFUNCTION("IF(I283="""","""",COUNTUNIQUE($I$6:I283))"),"")</f>
        <v/>
      </c>
      <c r="I283" s="31"/>
      <c r="J283" s="25" t="str">
        <f t="shared" si="2"/>
        <v/>
      </c>
      <c r="K283" s="26"/>
      <c r="L283" s="26"/>
      <c r="M283" s="26"/>
      <c r="N283" s="27"/>
    </row>
    <row r="284">
      <c r="A284" s="21" t="str">
        <f t="shared" si="1"/>
        <v/>
      </c>
      <c r="B284" s="22" t="str">
        <f>IFERROR(__xludf.DUMMYFUNCTION("IF(C284="""","""",ROMAN(COUNTUNIQUE($C$6:C284)))"),"")</f>
        <v/>
      </c>
      <c r="C284" s="31"/>
      <c r="D284" s="32"/>
      <c r="E284" s="22" t="str">
        <f>IFERROR(__xludf.DUMMYFUNCTION("IF(F284="""","""",LEFT(ADDRESS(1,COUNTUNIQUE($F$6:F284),4)))"),"")</f>
        <v/>
      </c>
      <c r="F284" s="31"/>
      <c r="G284" s="32"/>
      <c r="H284" s="22" t="str">
        <f>IFERROR(__xludf.DUMMYFUNCTION("IF(I284="""","""",COUNTUNIQUE($I$6:I284))"),"")</f>
        <v/>
      </c>
      <c r="I284" s="31"/>
      <c r="J284" s="25" t="str">
        <f t="shared" si="2"/>
        <v/>
      </c>
      <c r="K284" s="26"/>
      <c r="L284" s="26"/>
      <c r="M284" s="26"/>
      <c r="N284" s="27"/>
    </row>
    <row r="285">
      <c r="A285" s="21" t="str">
        <f t="shared" si="1"/>
        <v/>
      </c>
      <c r="B285" s="22" t="str">
        <f>IFERROR(__xludf.DUMMYFUNCTION("IF(C285="""","""",ROMAN(COUNTUNIQUE($C$6:C285)))"),"")</f>
        <v/>
      </c>
      <c r="C285" s="31"/>
      <c r="D285" s="32"/>
      <c r="E285" s="22" t="str">
        <f>IFERROR(__xludf.DUMMYFUNCTION("IF(F285="""","""",LEFT(ADDRESS(1,COUNTUNIQUE($F$6:F285),4)))"),"")</f>
        <v/>
      </c>
      <c r="F285" s="31"/>
      <c r="G285" s="32"/>
      <c r="H285" s="22" t="str">
        <f>IFERROR(__xludf.DUMMYFUNCTION("IF(I285="""","""",COUNTUNIQUE($I$6:I285))"),"")</f>
        <v/>
      </c>
      <c r="I285" s="31"/>
      <c r="J285" s="25" t="str">
        <f t="shared" si="2"/>
        <v/>
      </c>
      <c r="K285" s="26"/>
      <c r="L285" s="26"/>
      <c r="M285" s="26"/>
      <c r="N285" s="27"/>
    </row>
    <row r="286">
      <c r="A286" s="21" t="str">
        <f t="shared" si="1"/>
        <v/>
      </c>
      <c r="B286" s="22" t="str">
        <f>IFERROR(__xludf.DUMMYFUNCTION("IF(C286="""","""",ROMAN(COUNTUNIQUE($C$6:C286)))"),"")</f>
        <v/>
      </c>
      <c r="C286" s="31"/>
      <c r="D286" s="32"/>
      <c r="E286" s="22" t="str">
        <f>IFERROR(__xludf.DUMMYFUNCTION("IF(F286="""","""",LEFT(ADDRESS(1,COUNTUNIQUE($F$6:F286),4)))"),"")</f>
        <v/>
      </c>
      <c r="F286" s="31"/>
      <c r="G286" s="32"/>
      <c r="H286" s="22" t="str">
        <f>IFERROR(__xludf.DUMMYFUNCTION("IF(I286="""","""",COUNTUNIQUE($I$6:I286))"),"")</f>
        <v/>
      </c>
      <c r="I286" s="31"/>
      <c r="J286" s="25" t="str">
        <f t="shared" si="2"/>
        <v/>
      </c>
      <c r="K286" s="26"/>
      <c r="L286" s="26"/>
      <c r="M286" s="26"/>
      <c r="N286" s="27"/>
    </row>
    <row r="287">
      <c r="A287" s="21" t="str">
        <f t="shared" si="1"/>
        <v/>
      </c>
      <c r="B287" s="22" t="str">
        <f>IFERROR(__xludf.DUMMYFUNCTION("IF(C287="""","""",ROMAN(COUNTUNIQUE($C$6:C287)))"),"")</f>
        <v/>
      </c>
      <c r="C287" s="31"/>
      <c r="D287" s="32"/>
      <c r="E287" s="22" t="str">
        <f>IFERROR(__xludf.DUMMYFUNCTION("IF(F287="""","""",LEFT(ADDRESS(1,COUNTUNIQUE($F$6:F287),4)))"),"")</f>
        <v/>
      </c>
      <c r="F287" s="31"/>
      <c r="G287" s="32"/>
      <c r="H287" s="22" t="str">
        <f>IFERROR(__xludf.DUMMYFUNCTION("IF(I287="""","""",COUNTUNIQUE($I$6:I287))"),"")</f>
        <v/>
      </c>
      <c r="I287" s="31"/>
      <c r="J287" s="25" t="str">
        <f t="shared" si="2"/>
        <v/>
      </c>
      <c r="K287" s="26"/>
      <c r="L287" s="26"/>
      <c r="M287" s="26"/>
      <c r="N287" s="27"/>
    </row>
    <row r="288">
      <c r="A288" s="21" t="str">
        <f t="shared" si="1"/>
        <v/>
      </c>
      <c r="B288" s="22" t="str">
        <f>IFERROR(__xludf.DUMMYFUNCTION("IF(C288="""","""",ROMAN(COUNTUNIQUE($C$6:C288)))"),"")</f>
        <v/>
      </c>
      <c r="C288" s="31"/>
      <c r="D288" s="32"/>
      <c r="E288" s="22" t="str">
        <f>IFERROR(__xludf.DUMMYFUNCTION("IF(F288="""","""",LEFT(ADDRESS(1,COUNTUNIQUE($F$6:F288),4)))"),"")</f>
        <v/>
      </c>
      <c r="F288" s="31"/>
      <c r="G288" s="32"/>
      <c r="H288" s="22" t="str">
        <f>IFERROR(__xludf.DUMMYFUNCTION("IF(I288="""","""",COUNTUNIQUE($I$6:I288))"),"")</f>
        <v/>
      </c>
      <c r="I288" s="31"/>
      <c r="J288" s="25" t="str">
        <f t="shared" si="2"/>
        <v/>
      </c>
      <c r="K288" s="26"/>
      <c r="L288" s="26"/>
      <c r="M288" s="26"/>
      <c r="N288" s="27"/>
    </row>
    <row r="289">
      <c r="A289" s="21" t="str">
        <f t="shared" si="1"/>
        <v/>
      </c>
      <c r="B289" s="22" t="str">
        <f>IFERROR(__xludf.DUMMYFUNCTION("IF(C289="""","""",ROMAN(COUNTUNIQUE($C$6:C289)))"),"")</f>
        <v/>
      </c>
      <c r="C289" s="31"/>
      <c r="D289" s="32"/>
      <c r="E289" s="22" t="str">
        <f>IFERROR(__xludf.DUMMYFUNCTION("IF(F289="""","""",LEFT(ADDRESS(1,COUNTUNIQUE($F$6:F289),4)))"),"")</f>
        <v/>
      </c>
      <c r="F289" s="31"/>
      <c r="G289" s="32"/>
      <c r="H289" s="22" t="str">
        <f>IFERROR(__xludf.DUMMYFUNCTION("IF(I289="""","""",COUNTUNIQUE($I$6:I289))"),"")</f>
        <v/>
      </c>
      <c r="I289" s="31"/>
      <c r="J289" s="25" t="str">
        <f t="shared" si="2"/>
        <v/>
      </c>
      <c r="K289" s="26"/>
      <c r="L289" s="26"/>
      <c r="M289" s="26"/>
      <c r="N289" s="27"/>
    </row>
    <row r="290">
      <c r="A290" s="21" t="str">
        <f t="shared" si="1"/>
        <v/>
      </c>
      <c r="B290" s="22" t="str">
        <f>IFERROR(__xludf.DUMMYFUNCTION("IF(C290="""","""",ROMAN(COUNTUNIQUE($C$6:C290)))"),"")</f>
        <v/>
      </c>
      <c r="C290" s="31"/>
      <c r="D290" s="32"/>
      <c r="E290" s="22" t="str">
        <f>IFERROR(__xludf.DUMMYFUNCTION("IF(F290="""","""",LEFT(ADDRESS(1,COUNTUNIQUE($F$6:F290),4)))"),"")</f>
        <v/>
      </c>
      <c r="F290" s="31"/>
      <c r="G290" s="32"/>
      <c r="H290" s="22" t="str">
        <f>IFERROR(__xludf.DUMMYFUNCTION("IF(I290="""","""",COUNTUNIQUE($I$6:I290))"),"")</f>
        <v/>
      </c>
      <c r="I290" s="31"/>
      <c r="J290" s="25" t="str">
        <f t="shared" si="2"/>
        <v/>
      </c>
      <c r="K290" s="26"/>
      <c r="L290" s="26"/>
      <c r="M290" s="26"/>
      <c r="N290" s="27"/>
    </row>
    <row r="291">
      <c r="A291" s="21" t="str">
        <f t="shared" si="1"/>
        <v/>
      </c>
      <c r="B291" s="22" t="str">
        <f>IFERROR(__xludf.DUMMYFUNCTION("IF(C291="""","""",ROMAN(COUNTUNIQUE($C$6:C291)))"),"")</f>
        <v/>
      </c>
      <c r="C291" s="31"/>
      <c r="D291" s="32"/>
      <c r="E291" s="22" t="str">
        <f>IFERROR(__xludf.DUMMYFUNCTION("IF(F291="""","""",LEFT(ADDRESS(1,COUNTUNIQUE($F$6:F291),4)))"),"")</f>
        <v/>
      </c>
      <c r="F291" s="31"/>
      <c r="G291" s="32"/>
      <c r="H291" s="22" t="str">
        <f>IFERROR(__xludf.DUMMYFUNCTION("IF(I291="""","""",COUNTUNIQUE($I$6:I291))"),"")</f>
        <v/>
      </c>
      <c r="I291" s="31"/>
      <c r="J291" s="25" t="str">
        <f t="shared" si="2"/>
        <v/>
      </c>
      <c r="K291" s="26"/>
      <c r="L291" s="26"/>
      <c r="M291" s="26"/>
      <c r="N291" s="27"/>
    </row>
    <row r="292">
      <c r="A292" s="21" t="str">
        <f t="shared" si="1"/>
        <v/>
      </c>
      <c r="B292" s="22" t="str">
        <f>IFERROR(__xludf.DUMMYFUNCTION("IF(C292="""","""",ROMAN(COUNTUNIQUE($C$6:C292)))"),"")</f>
        <v/>
      </c>
      <c r="C292" s="31"/>
      <c r="D292" s="32"/>
      <c r="E292" s="22" t="str">
        <f>IFERROR(__xludf.DUMMYFUNCTION("IF(F292="""","""",LEFT(ADDRESS(1,COUNTUNIQUE($F$6:F292),4)))"),"")</f>
        <v/>
      </c>
      <c r="F292" s="31"/>
      <c r="G292" s="32"/>
      <c r="H292" s="22" t="str">
        <f>IFERROR(__xludf.DUMMYFUNCTION("IF(I292="""","""",COUNTUNIQUE($I$6:I292))"),"")</f>
        <v/>
      </c>
      <c r="I292" s="31"/>
      <c r="J292" s="25" t="str">
        <f t="shared" si="2"/>
        <v/>
      </c>
      <c r="K292" s="26"/>
      <c r="L292" s="26"/>
      <c r="M292" s="26"/>
      <c r="N292" s="27"/>
    </row>
    <row r="293">
      <c r="A293" s="21" t="str">
        <f t="shared" si="1"/>
        <v/>
      </c>
      <c r="B293" s="22" t="str">
        <f>IFERROR(__xludf.DUMMYFUNCTION("IF(C293="""","""",ROMAN(COUNTUNIQUE($C$6:C293)))"),"")</f>
        <v/>
      </c>
      <c r="C293" s="31"/>
      <c r="D293" s="32"/>
      <c r="E293" s="22" t="str">
        <f>IFERROR(__xludf.DUMMYFUNCTION("IF(F293="""","""",LEFT(ADDRESS(1,COUNTUNIQUE($F$6:F293),4)))"),"")</f>
        <v/>
      </c>
      <c r="F293" s="31"/>
      <c r="G293" s="32"/>
      <c r="H293" s="22" t="str">
        <f>IFERROR(__xludf.DUMMYFUNCTION("IF(I293="""","""",COUNTUNIQUE($I$6:I293))"),"")</f>
        <v/>
      </c>
      <c r="I293" s="31"/>
      <c r="J293" s="25" t="str">
        <f t="shared" si="2"/>
        <v/>
      </c>
      <c r="K293" s="26"/>
      <c r="L293" s="26"/>
      <c r="M293" s="26"/>
      <c r="N293" s="27"/>
    </row>
    <row r="294">
      <c r="A294" s="21" t="str">
        <f t="shared" si="1"/>
        <v/>
      </c>
      <c r="B294" s="22" t="str">
        <f>IFERROR(__xludf.DUMMYFUNCTION("IF(C294="""","""",ROMAN(COUNTUNIQUE($C$6:C294)))"),"")</f>
        <v/>
      </c>
      <c r="C294" s="31"/>
      <c r="D294" s="32"/>
      <c r="E294" s="22" t="str">
        <f>IFERROR(__xludf.DUMMYFUNCTION("IF(F294="""","""",LEFT(ADDRESS(1,COUNTUNIQUE($F$6:F294),4)))"),"")</f>
        <v/>
      </c>
      <c r="F294" s="31"/>
      <c r="G294" s="32"/>
      <c r="H294" s="22" t="str">
        <f>IFERROR(__xludf.DUMMYFUNCTION("IF(I294="""","""",COUNTUNIQUE($I$6:I294))"),"")</f>
        <v/>
      </c>
      <c r="I294" s="31"/>
      <c r="J294" s="25" t="str">
        <f t="shared" si="2"/>
        <v/>
      </c>
      <c r="K294" s="26"/>
      <c r="L294" s="26"/>
      <c r="M294" s="26"/>
      <c r="N294" s="27"/>
    </row>
    <row r="295">
      <c r="A295" s="21" t="str">
        <f t="shared" si="1"/>
        <v/>
      </c>
      <c r="B295" s="22" t="str">
        <f>IFERROR(__xludf.DUMMYFUNCTION("IF(C295="""","""",ROMAN(COUNTUNIQUE($C$6:C295)))"),"")</f>
        <v/>
      </c>
      <c r="C295" s="31"/>
      <c r="D295" s="32"/>
      <c r="E295" s="22" t="str">
        <f>IFERROR(__xludf.DUMMYFUNCTION("IF(F295="""","""",LEFT(ADDRESS(1,COUNTUNIQUE($F$6:F295),4)))"),"")</f>
        <v/>
      </c>
      <c r="F295" s="31"/>
      <c r="G295" s="32"/>
      <c r="H295" s="22" t="str">
        <f>IFERROR(__xludf.DUMMYFUNCTION("IF(I295="""","""",COUNTUNIQUE($I$6:I295))"),"")</f>
        <v/>
      </c>
      <c r="I295" s="31"/>
      <c r="J295" s="25" t="str">
        <f t="shared" si="2"/>
        <v/>
      </c>
      <c r="K295" s="26"/>
      <c r="L295" s="26"/>
      <c r="M295" s="26"/>
      <c r="N295" s="27"/>
    </row>
    <row r="296">
      <c r="A296" s="21" t="str">
        <f t="shared" si="1"/>
        <v/>
      </c>
      <c r="B296" s="22" t="str">
        <f>IFERROR(__xludf.DUMMYFUNCTION("IF(C296="""","""",ROMAN(COUNTUNIQUE($C$6:C296)))"),"")</f>
        <v/>
      </c>
      <c r="C296" s="31"/>
      <c r="D296" s="32"/>
      <c r="E296" s="22" t="str">
        <f>IFERROR(__xludf.DUMMYFUNCTION("IF(F296="""","""",LEFT(ADDRESS(1,COUNTUNIQUE($F$6:F296),4)))"),"")</f>
        <v/>
      </c>
      <c r="F296" s="31"/>
      <c r="G296" s="32"/>
      <c r="H296" s="22" t="str">
        <f>IFERROR(__xludf.DUMMYFUNCTION("IF(I296="""","""",COUNTUNIQUE($I$6:I296))"),"")</f>
        <v/>
      </c>
      <c r="I296" s="31"/>
      <c r="J296" s="25" t="str">
        <f t="shared" si="2"/>
        <v/>
      </c>
      <c r="K296" s="26"/>
      <c r="L296" s="26"/>
      <c r="M296" s="26"/>
      <c r="N296" s="27"/>
    </row>
    <row r="297">
      <c r="A297" s="21" t="str">
        <f t="shared" si="1"/>
        <v/>
      </c>
      <c r="B297" s="22" t="str">
        <f>IFERROR(__xludf.DUMMYFUNCTION("IF(C297="""","""",ROMAN(COUNTUNIQUE($C$6:C297)))"),"")</f>
        <v/>
      </c>
      <c r="C297" s="31"/>
      <c r="D297" s="32"/>
      <c r="E297" s="22" t="str">
        <f>IFERROR(__xludf.DUMMYFUNCTION("IF(F297="""","""",LEFT(ADDRESS(1,COUNTUNIQUE($F$6:F297),4)))"),"")</f>
        <v/>
      </c>
      <c r="F297" s="31"/>
      <c r="G297" s="32"/>
      <c r="H297" s="22" t="str">
        <f>IFERROR(__xludf.DUMMYFUNCTION("IF(I297="""","""",COUNTUNIQUE($I$6:I297))"),"")</f>
        <v/>
      </c>
      <c r="I297" s="31"/>
      <c r="J297" s="25" t="str">
        <f t="shared" si="2"/>
        <v/>
      </c>
      <c r="K297" s="26"/>
      <c r="L297" s="26"/>
      <c r="M297" s="26"/>
      <c r="N297" s="27"/>
    </row>
    <row r="298">
      <c r="A298" s="21" t="str">
        <f t="shared" si="1"/>
        <v/>
      </c>
      <c r="B298" s="22" t="str">
        <f>IFERROR(__xludf.DUMMYFUNCTION("IF(C298="""","""",ROMAN(COUNTUNIQUE($C$6:C298)))"),"")</f>
        <v/>
      </c>
      <c r="C298" s="31"/>
      <c r="D298" s="32"/>
      <c r="E298" s="22" t="str">
        <f>IFERROR(__xludf.DUMMYFUNCTION("IF(F298="""","""",LEFT(ADDRESS(1,COUNTUNIQUE($F$6:F298),4)))"),"")</f>
        <v/>
      </c>
      <c r="F298" s="31"/>
      <c r="G298" s="32"/>
      <c r="H298" s="22" t="str">
        <f>IFERROR(__xludf.DUMMYFUNCTION("IF(I298="""","""",COUNTUNIQUE($I$6:I298))"),"")</f>
        <v/>
      </c>
      <c r="I298" s="31"/>
      <c r="J298" s="25" t="str">
        <f t="shared" si="2"/>
        <v/>
      </c>
      <c r="K298" s="26"/>
      <c r="L298" s="26"/>
      <c r="M298" s="26"/>
      <c r="N298" s="27"/>
    </row>
    <row r="299">
      <c r="A299" s="21" t="str">
        <f t="shared" si="1"/>
        <v/>
      </c>
      <c r="B299" s="22" t="str">
        <f>IFERROR(__xludf.DUMMYFUNCTION("IF(C299="""","""",ROMAN(COUNTUNIQUE($C$6:C299)))"),"")</f>
        <v/>
      </c>
      <c r="C299" s="31"/>
      <c r="D299" s="32"/>
      <c r="E299" s="22" t="str">
        <f>IFERROR(__xludf.DUMMYFUNCTION("IF(F299="""","""",LEFT(ADDRESS(1,COUNTUNIQUE($F$6:F299),4)))"),"")</f>
        <v/>
      </c>
      <c r="F299" s="31"/>
      <c r="G299" s="32"/>
      <c r="H299" s="22" t="str">
        <f>IFERROR(__xludf.DUMMYFUNCTION("IF(I299="""","""",COUNTUNIQUE($I$6:I299))"),"")</f>
        <v/>
      </c>
      <c r="I299" s="31"/>
      <c r="J299" s="25" t="str">
        <f t="shared" si="2"/>
        <v/>
      </c>
      <c r="K299" s="26"/>
      <c r="L299" s="26"/>
      <c r="M299" s="26"/>
      <c r="N299" s="27"/>
    </row>
    <row r="300">
      <c r="A300" s="21" t="str">
        <f t="shared" si="1"/>
        <v/>
      </c>
      <c r="B300" s="22" t="str">
        <f>IFERROR(__xludf.DUMMYFUNCTION("IF(C300="""","""",ROMAN(COUNTUNIQUE($C$6:C300)))"),"")</f>
        <v/>
      </c>
      <c r="C300" s="31"/>
      <c r="D300" s="32"/>
      <c r="E300" s="22" t="str">
        <f>IFERROR(__xludf.DUMMYFUNCTION("IF(F300="""","""",LEFT(ADDRESS(1,COUNTUNIQUE($F$6:F300),4)))"),"")</f>
        <v/>
      </c>
      <c r="F300" s="31"/>
      <c r="G300" s="32"/>
      <c r="H300" s="22" t="str">
        <f>IFERROR(__xludf.DUMMYFUNCTION("IF(I300="""","""",COUNTUNIQUE($I$6:I300))"),"")</f>
        <v/>
      </c>
      <c r="I300" s="31"/>
      <c r="J300" s="25" t="str">
        <f t="shared" si="2"/>
        <v/>
      </c>
      <c r="K300" s="26"/>
      <c r="L300" s="26"/>
      <c r="M300" s="26"/>
      <c r="N300" s="27"/>
    </row>
    <row r="301">
      <c r="A301" s="21" t="str">
        <f t="shared" si="1"/>
        <v/>
      </c>
      <c r="B301" s="22" t="str">
        <f>IFERROR(__xludf.DUMMYFUNCTION("IF(C301="""","""",ROMAN(COUNTUNIQUE($C$6:C301)))"),"")</f>
        <v/>
      </c>
      <c r="C301" s="31"/>
      <c r="D301" s="32"/>
      <c r="E301" s="22" t="str">
        <f>IFERROR(__xludf.DUMMYFUNCTION("IF(F301="""","""",LEFT(ADDRESS(1,COUNTUNIQUE($F$6:F301),4)))"),"")</f>
        <v/>
      </c>
      <c r="F301" s="31"/>
      <c r="G301" s="32"/>
      <c r="H301" s="22" t="str">
        <f>IFERROR(__xludf.DUMMYFUNCTION("IF(I301="""","""",COUNTUNIQUE($I$6:I301))"),"")</f>
        <v/>
      </c>
      <c r="I301" s="31"/>
      <c r="J301" s="25" t="str">
        <f t="shared" si="2"/>
        <v/>
      </c>
      <c r="K301" s="26"/>
      <c r="L301" s="26"/>
      <c r="M301" s="26"/>
      <c r="N301" s="27"/>
    </row>
    <row r="302">
      <c r="A302" s="21" t="str">
        <f t="shared" si="1"/>
        <v/>
      </c>
      <c r="B302" s="22" t="str">
        <f>IFERROR(__xludf.DUMMYFUNCTION("IF(C302="""","""",ROMAN(COUNTUNIQUE($C$6:C302)))"),"")</f>
        <v/>
      </c>
      <c r="C302" s="31"/>
      <c r="D302" s="32"/>
      <c r="E302" s="22" t="str">
        <f>IFERROR(__xludf.DUMMYFUNCTION("IF(F302="""","""",LEFT(ADDRESS(1,COUNTUNIQUE($F$6:F302),4)))"),"")</f>
        <v/>
      </c>
      <c r="F302" s="31"/>
      <c r="G302" s="32"/>
      <c r="H302" s="22" t="str">
        <f>IFERROR(__xludf.DUMMYFUNCTION("IF(I302="""","""",COUNTUNIQUE($I$6:I302))"),"")</f>
        <v/>
      </c>
      <c r="I302" s="31"/>
      <c r="J302" s="25" t="str">
        <f t="shared" si="2"/>
        <v/>
      </c>
      <c r="K302" s="26"/>
      <c r="L302" s="26"/>
      <c r="M302" s="26"/>
      <c r="N302" s="27"/>
    </row>
    <row r="303">
      <c r="A303" s="21" t="str">
        <f t="shared" si="1"/>
        <v/>
      </c>
      <c r="B303" s="22" t="str">
        <f>IFERROR(__xludf.DUMMYFUNCTION("IF(C303="""","""",ROMAN(COUNTUNIQUE($C$6:C303)))"),"")</f>
        <v/>
      </c>
      <c r="C303" s="31"/>
      <c r="D303" s="32"/>
      <c r="E303" s="22" t="str">
        <f>IFERROR(__xludf.DUMMYFUNCTION("IF(F303="""","""",LEFT(ADDRESS(1,COUNTUNIQUE($F$6:F303),4)))"),"")</f>
        <v/>
      </c>
      <c r="F303" s="31"/>
      <c r="G303" s="32"/>
      <c r="H303" s="22" t="str">
        <f>IFERROR(__xludf.DUMMYFUNCTION("IF(I303="""","""",COUNTUNIQUE($I$6:I303))"),"")</f>
        <v/>
      </c>
      <c r="I303" s="31"/>
      <c r="J303" s="25" t="str">
        <f t="shared" si="2"/>
        <v/>
      </c>
      <c r="K303" s="26"/>
      <c r="L303" s="26"/>
      <c r="M303" s="26"/>
      <c r="N303" s="27"/>
    </row>
    <row r="304">
      <c r="A304" s="21" t="str">
        <f t="shared" si="1"/>
        <v/>
      </c>
      <c r="B304" s="22" t="str">
        <f>IFERROR(__xludf.DUMMYFUNCTION("IF(C304="""","""",ROMAN(COUNTUNIQUE($C$6:C304)))"),"")</f>
        <v/>
      </c>
      <c r="C304" s="31"/>
      <c r="D304" s="32"/>
      <c r="E304" s="22" t="str">
        <f>IFERROR(__xludf.DUMMYFUNCTION("IF(F304="""","""",LEFT(ADDRESS(1,COUNTUNIQUE($F$6:F304),4)))"),"")</f>
        <v/>
      </c>
      <c r="F304" s="31"/>
      <c r="G304" s="32"/>
      <c r="H304" s="22" t="str">
        <f>IFERROR(__xludf.DUMMYFUNCTION("IF(I304="""","""",COUNTUNIQUE($I$6:I304))"),"")</f>
        <v/>
      </c>
      <c r="I304" s="31"/>
      <c r="J304" s="25" t="str">
        <f t="shared" si="2"/>
        <v/>
      </c>
      <c r="K304" s="26"/>
      <c r="L304" s="26"/>
      <c r="M304" s="26"/>
      <c r="N304" s="27"/>
    </row>
    <row r="305">
      <c r="A305" s="21" t="str">
        <f t="shared" si="1"/>
        <v/>
      </c>
      <c r="B305" s="22" t="str">
        <f>IFERROR(__xludf.DUMMYFUNCTION("IF(C305="""","""",ROMAN(COUNTUNIQUE($C$6:C305)))"),"")</f>
        <v/>
      </c>
      <c r="C305" s="31"/>
      <c r="D305" s="32"/>
      <c r="E305" s="22" t="str">
        <f>IFERROR(__xludf.DUMMYFUNCTION("IF(F305="""","""",LEFT(ADDRESS(1,COUNTUNIQUE($F$6:F305),4)))"),"")</f>
        <v/>
      </c>
      <c r="F305" s="31"/>
      <c r="G305" s="32"/>
      <c r="H305" s="22" t="str">
        <f>IFERROR(__xludf.DUMMYFUNCTION("IF(I305="""","""",COUNTUNIQUE($I$6:I305))"),"")</f>
        <v/>
      </c>
      <c r="I305" s="31"/>
      <c r="J305" s="25" t="str">
        <f t="shared" si="2"/>
        <v/>
      </c>
      <c r="K305" s="26"/>
      <c r="L305" s="26"/>
      <c r="M305" s="26"/>
      <c r="N305" s="27"/>
    </row>
    <row r="306">
      <c r="A306" s="21" t="str">
        <f t="shared" si="1"/>
        <v/>
      </c>
      <c r="B306" s="22" t="str">
        <f>IFERROR(__xludf.DUMMYFUNCTION("IF(C306="""","""",ROMAN(COUNTUNIQUE($C$6:C306)))"),"")</f>
        <v/>
      </c>
      <c r="C306" s="31"/>
      <c r="D306" s="32"/>
      <c r="E306" s="22" t="str">
        <f>IFERROR(__xludf.DUMMYFUNCTION("IF(F306="""","""",LEFT(ADDRESS(1,COUNTUNIQUE($F$6:F306),4)))"),"")</f>
        <v/>
      </c>
      <c r="F306" s="31"/>
      <c r="G306" s="32"/>
      <c r="H306" s="22" t="str">
        <f>IFERROR(__xludf.DUMMYFUNCTION("IF(I306="""","""",COUNTUNIQUE($I$6:I306))"),"")</f>
        <v/>
      </c>
      <c r="I306" s="31"/>
      <c r="J306" s="25" t="str">
        <f t="shared" si="2"/>
        <v/>
      </c>
      <c r="K306" s="26"/>
      <c r="L306" s="26"/>
      <c r="M306" s="26"/>
      <c r="N306" s="27"/>
    </row>
    <row r="307">
      <c r="A307" s="21" t="str">
        <f t="shared" si="1"/>
        <v/>
      </c>
      <c r="B307" s="22" t="str">
        <f>IFERROR(__xludf.DUMMYFUNCTION("IF(C307="""","""",ROMAN(COUNTUNIQUE($C$6:C307)))"),"")</f>
        <v/>
      </c>
      <c r="C307" s="31"/>
      <c r="D307" s="32"/>
      <c r="E307" s="22" t="str">
        <f>IFERROR(__xludf.DUMMYFUNCTION("IF(F307="""","""",LEFT(ADDRESS(1,COUNTUNIQUE($F$6:F307),4)))"),"")</f>
        <v/>
      </c>
      <c r="F307" s="31"/>
      <c r="G307" s="32"/>
      <c r="H307" s="22" t="str">
        <f>IFERROR(__xludf.DUMMYFUNCTION("IF(I307="""","""",COUNTUNIQUE($I$6:I307))"),"")</f>
        <v/>
      </c>
      <c r="I307" s="31"/>
      <c r="J307" s="25" t="str">
        <f t="shared" si="2"/>
        <v/>
      </c>
      <c r="K307" s="26"/>
      <c r="L307" s="26"/>
      <c r="M307" s="26"/>
      <c r="N307" s="27"/>
    </row>
    <row r="308">
      <c r="A308" s="21" t="str">
        <f t="shared" si="1"/>
        <v/>
      </c>
      <c r="B308" s="22" t="str">
        <f>IFERROR(__xludf.DUMMYFUNCTION("IF(C308="""","""",ROMAN(COUNTUNIQUE($C$6:C308)))"),"")</f>
        <v/>
      </c>
      <c r="C308" s="31"/>
      <c r="D308" s="32"/>
      <c r="E308" s="22" t="str">
        <f>IFERROR(__xludf.DUMMYFUNCTION("IF(F308="""","""",LEFT(ADDRESS(1,COUNTUNIQUE($F$6:F308),4)))"),"")</f>
        <v/>
      </c>
      <c r="F308" s="31"/>
      <c r="G308" s="32"/>
      <c r="H308" s="22" t="str">
        <f>IFERROR(__xludf.DUMMYFUNCTION("IF(I308="""","""",COUNTUNIQUE($I$6:I308))"),"")</f>
        <v/>
      </c>
      <c r="I308" s="31"/>
      <c r="J308" s="25" t="str">
        <f t="shared" si="2"/>
        <v/>
      </c>
      <c r="K308" s="26"/>
      <c r="L308" s="26"/>
      <c r="M308" s="26"/>
      <c r="N308" s="27"/>
    </row>
    <row r="309">
      <c r="A309" s="21" t="str">
        <f t="shared" si="1"/>
        <v/>
      </c>
      <c r="B309" s="22" t="str">
        <f>IFERROR(__xludf.DUMMYFUNCTION("IF(C309="""","""",ROMAN(COUNTUNIQUE($C$6:C309)))"),"")</f>
        <v/>
      </c>
      <c r="C309" s="31"/>
      <c r="D309" s="32"/>
      <c r="E309" s="22" t="str">
        <f>IFERROR(__xludf.DUMMYFUNCTION("IF(F309="""","""",LEFT(ADDRESS(1,COUNTUNIQUE($F$6:F309),4)))"),"")</f>
        <v/>
      </c>
      <c r="F309" s="31"/>
      <c r="G309" s="32"/>
      <c r="H309" s="22" t="str">
        <f>IFERROR(__xludf.DUMMYFUNCTION("IF(I309="""","""",COUNTUNIQUE($I$6:I309))"),"")</f>
        <v/>
      </c>
      <c r="I309" s="31"/>
      <c r="J309" s="25" t="str">
        <f t="shared" si="2"/>
        <v/>
      </c>
      <c r="K309" s="26"/>
      <c r="L309" s="26"/>
      <c r="M309" s="26"/>
      <c r="N309" s="27"/>
    </row>
    <row r="310">
      <c r="A310" s="21" t="str">
        <f t="shared" si="1"/>
        <v/>
      </c>
      <c r="B310" s="22" t="str">
        <f>IFERROR(__xludf.DUMMYFUNCTION("IF(C310="""","""",ROMAN(COUNTUNIQUE($C$6:C310)))"),"")</f>
        <v/>
      </c>
      <c r="C310" s="31"/>
      <c r="D310" s="32"/>
      <c r="E310" s="22" t="str">
        <f>IFERROR(__xludf.DUMMYFUNCTION("IF(F310="""","""",LEFT(ADDRESS(1,COUNTUNIQUE($F$6:F310),4)))"),"")</f>
        <v/>
      </c>
      <c r="F310" s="31"/>
      <c r="G310" s="32"/>
      <c r="H310" s="22" t="str">
        <f>IFERROR(__xludf.DUMMYFUNCTION("IF(I310="""","""",COUNTUNIQUE($I$6:I310))"),"")</f>
        <v/>
      </c>
      <c r="I310" s="31"/>
      <c r="J310" s="25" t="str">
        <f t="shared" si="2"/>
        <v/>
      </c>
      <c r="K310" s="26"/>
      <c r="L310" s="26"/>
      <c r="M310" s="26"/>
      <c r="N310" s="27"/>
    </row>
    <row r="311">
      <c r="A311" s="21" t="str">
        <f t="shared" si="1"/>
        <v/>
      </c>
      <c r="B311" s="22" t="str">
        <f>IFERROR(__xludf.DUMMYFUNCTION("IF(C311="""","""",ROMAN(COUNTUNIQUE($C$6:C311)))"),"")</f>
        <v/>
      </c>
      <c r="C311" s="31"/>
      <c r="D311" s="32"/>
      <c r="E311" s="22" t="str">
        <f>IFERROR(__xludf.DUMMYFUNCTION("IF(F311="""","""",LEFT(ADDRESS(1,COUNTUNIQUE($F$6:F311),4)))"),"")</f>
        <v/>
      </c>
      <c r="F311" s="31"/>
      <c r="G311" s="32"/>
      <c r="H311" s="22" t="str">
        <f>IFERROR(__xludf.DUMMYFUNCTION("IF(I311="""","""",COUNTUNIQUE($I$6:I311))"),"")</f>
        <v/>
      </c>
      <c r="I311" s="31"/>
      <c r="J311" s="25" t="str">
        <f t="shared" si="2"/>
        <v/>
      </c>
      <c r="K311" s="26"/>
      <c r="L311" s="26"/>
      <c r="M311" s="26"/>
      <c r="N311" s="27"/>
    </row>
    <row r="312">
      <c r="A312" s="21" t="str">
        <f t="shared" si="1"/>
        <v/>
      </c>
      <c r="B312" s="22" t="str">
        <f>IFERROR(__xludf.DUMMYFUNCTION("IF(C312="""","""",ROMAN(COUNTUNIQUE($C$6:C312)))"),"")</f>
        <v/>
      </c>
      <c r="C312" s="31"/>
      <c r="D312" s="32"/>
      <c r="E312" s="22" t="str">
        <f>IFERROR(__xludf.DUMMYFUNCTION("IF(F312="""","""",LEFT(ADDRESS(1,COUNTUNIQUE($F$6:F312),4)))"),"")</f>
        <v/>
      </c>
      <c r="F312" s="31"/>
      <c r="G312" s="32"/>
      <c r="H312" s="22" t="str">
        <f>IFERROR(__xludf.DUMMYFUNCTION("IF(I312="""","""",COUNTUNIQUE($I$6:I312))"),"")</f>
        <v/>
      </c>
      <c r="I312" s="31"/>
      <c r="J312" s="25" t="str">
        <f t="shared" si="2"/>
        <v/>
      </c>
      <c r="K312" s="26"/>
      <c r="L312" s="26"/>
      <c r="M312" s="26"/>
      <c r="N312" s="27"/>
    </row>
    <row r="313">
      <c r="A313" s="21" t="str">
        <f t="shared" si="1"/>
        <v/>
      </c>
      <c r="B313" s="22" t="str">
        <f>IFERROR(__xludf.DUMMYFUNCTION("IF(C313="""","""",ROMAN(COUNTUNIQUE($C$6:C313)))"),"")</f>
        <v/>
      </c>
      <c r="C313" s="31"/>
      <c r="D313" s="32"/>
      <c r="E313" s="22" t="str">
        <f>IFERROR(__xludf.DUMMYFUNCTION("IF(F313="""","""",LEFT(ADDRESS(1,COUNTUNIQUE($F$6:F313),4)))"),"")</f>
        <v/>
      </c>
      <c r="F313" s="31"/>
      <c r="G313" s="32"/>
      <c r="H313" s="22" t="str">
        <f>IFERROR(__xludf.DUMMYFUNCTION("IF(I313="""","""",COUNTUNIQUE($I$6:I313))"),"")</f>
        <v/>
      </c>
      <c r="I313" s="31"/>
      <c r="J313" s="25" t="str">
        <f t="shared" si="2"/>
        <v/>
      </c>
      <c r="K313" s="26"/>
      <c r="L313" s="26"/>
      <c r="M313" s="26"/>
      <c r="N313" s="27"/>
    </row>
    <row r="314">
      <c r="A314" s="21" t="str">
        <f t="shared" si="1"/>
        <v/>
      </c>
      <c r="B314" s="22" t="str">
        <f>IFERROR(__xludf.DUMMYFUNCTION("IF(C314="""","""",ROMAN(COUNTUNIQUE($C$6:C314)))"),"")</f>
        <v/>
      </c>
      <c r="C314" s="31"/>
      <c r="D314" s="32"/>
      <c r="E314" s="22" t="str">
        <f>IFERROR(__xludf.DUMMYFUNCTION("IF(F314="""","""",LEFT(ADDRESS(1,COUNTUNIQUE($F$6:F314),4)))"),"")</f>
        <v/>
      </c>
      <c r="F314" s="31"/>
      <c r="G314" s="32"/>
      <c r="H314" s="22" t="str">
        <f>IFERROR(__xludf.DUMMYFUNCTION("IF(I314="""","""",COUNTUNIQUE($I$6:I314))"),"")</f>
        <v/>
      </c>
      <c r="I314" s="31"/>
      <c r="J314" s="25" t="str">
        <f t="shared" si="2"/>
        <v/>
      </c>
      <c r="K314" s="26"/>
      <c r="L314" s="26"/>
      <c r="M314" s="26"/>
      <c r="N314" s="27"/>
    </row>
    <row r="315">
      <c r="A315" s="21" t="str">
        <f t="shared" si="1"/>
        <v/>
      </c>
      <c r="B315" s="22" t="str">
        <f>IFERROR(__xludf.DUMMYFUNCTION("IF(C315="""","""",ROMAN(COUNTUNIQUE($C$6:C315)))"),"")</f>
        <v/>
      </c>
      <c r="C315" s="31"/>
      <c r="D315" s="32"/>
      <c r="E315" s="22" t="str">
        <f>IFERROR(__xludf.DUMMYFUNCTION("IF(F315="""","""",LEFT(ADDRESS(1,COUNTUNIQUE($F$6:F315),4)))"),"")</f>
        <v/>
      </c>
      <c r="F315" s="31"/>
      <c r="G315" s="32"/>
      <c r="H315" s="22" t="str">
        <f>IFERROR(__xludf.DUMMYFUNCTION("IF(I315="""","""",COUNTUNIQUE($I$6:I315))"),"")</f>
        <v/>
      </c>
      <c r="I315" s="31"/>
      <c r="J315" s="25" t="str">
        <f t="shared" si="2"/>
        <v/>
      </c>
      <c r="K315" s="26"/>
      <c r="L315" s="26"/>
      <c r="M315" s="26"/>
      <c r="N315" s="27"/>
    </row>
    <row r="316">
      <c r="A316" s="21" t="str">
        <f t="shared" si="1"/>
        <v/>
      </c>
      <c r="B316" s="22" t="str">
        <f>IFERROR(__xludf.DUMMYFUNCTION("IF(C316="""","""",ROMAN(COUNTUNIQUE($C$6:C316)))"),"")</f>
        <v/>
      </c>
      <c r="C316" s="31"/>
      <c r="D316" s="32"/>
      <c r="E316" s="22" t="str">
        <f>IFERROR(__xludf.DUMMYFUNCTION("IF(F316="""","""",LEFT(ADDRESS(1,COUNTUNIQUE($F$6:F316),4)))"),"")</f>
        <v/>
      </c>
      <c r="F316" s="31"/>
      <c r="G316" s="32"/>
      <c r="H316" s="22" t="str">
        <f>IFERROR(__xludf.DUMMYFUNCTION("IF(I316="""","""",COUNTUNIQUE($I$6:I316))"),"")</f>
        <v/>
      </c>
      <c r="I316" s="31"/>
      <c r="J316" s="25" t="str">
        <f t="shared" si="2"/>
        <v/>
      </c>
      <c r="K316" s="26"/>
      <c r="L316" s="26"/>
      <c r="M316" s="26"/>
      <c r="N316" s="27"/>
    </row>
    <row r="317">
      <c r="A317" s="21" t="str">
        <f t="shared" si="1"/>
        <v/>
      </c>
      <c r="B317" s="22" t="str">
        <f>IFERROR(__xludf.DUMMYFUNCTION("IF(C317="""","""",ROMAN(COUNTUNIQUE($C$6:C317)))"),"")</f>
        <v/>
      </c>
      <c r="C317" s="31"/>
      <c r="D317" s="32"/>
      <c r="E317" s="22" t="str">
        <f>IFERROR(__xludf.DUMMYFUNCTION("IF(F317="""","""",LEFT(ADDRESS(1,COUNTUNIQUE($F$6:F317),4)))"),"")</f>
        <v/>
      </c>
      <c r="F317" s="31"/>
      <c r="G317" s="32"/>
      <c r="H317" s="22" t="str">
        <f>IFERROR(__xludf.DUMMYFUNCTION("IF(I317="""","""",COUNTUNIQUE($I$6:I317))"),"")</f>
        <v/>
      </c>
      <c r="I317" s="31"/>
      <c r="J317" s="25" t="str">
        <f t="shared" si="2"/>
        <v/>
      </c>
      <c r="K317" s="26"/>
      <c r="L317" s="26"/>
      <c r="M317" s="26"/>
      <c r="N317" s="27"/>
    </row>
    <row r="318">
      <c r="A318" s="21" t="str">
        <f t="shared" si="1"/>
        <v/>
      </c>
      <c r="B318" s="22" t="str">
        <f>IFERROR(__xludf.DUMMYFUNCTION("IF(C318="""","""",ROMAN(COUNTUNIQUE($C$6:C318)))"),"")</f>
        <v/>
      </c>
      <c r="C318" s="31"/>
      <c r="D318" s="32"/>
      <c r="E318" s="22" t="str">
        <f>IFERROR(__xludf.DUMMYFUNCTION("IF(F318="""","""",LEFT(ADDRESS(1,COUNTUNIQUE($F$6:F318),4)))"),"")</f>
        <v/>
      </c>
      <c r="F318" s="31"/>
      <c r="G318" s="32"/>
      <c r="H318" s="22" t="str">
        <f>IFERROR(__xludf.DUMMYFUNCTION("IF(I318="""","""",COUNTUNIQUE($I$6:I318))"),"")</f>
        <v/>
      </c>
      <c r="I318" s="31"/>
      <c r="J318" s="25" t="str">
        <f t="shared" si="2"/>
        <v/>
      </c>
      <c r="K318" s="26"/>
      <c r="L318" s="26"/>
      <c r="M318" s="26"/>
      <c r="N318" s="27"/>
    </row>
    <row r="319">
      <c r="A319" s="21" t="str">
        <f t="shared" si="1"/>
        <v/>
      </c>
      <c r="B319" s="22" t="str">
        <f>IFERROR(__xludf.DUMMYFUNCTION("IF(C319="""","""",ROMAN(COUNTUNIQUE($C$6:C319)))"),"")</f>
        <v/>
      </c>
      <c r="C319" s="31"/>
      <c r="D319" s="32"/>
      <c r="E319" s="22" t="str">
        <f>IFERROR(__xludf.DUMMYFUNCTION("IF(F319="""","""",LEFT(ADDRESS(1,COUNTUNIQUE($F$6:F319),4)))"),"")</f>
        <v/>
      </c>
      <c r="F319" s="31"/>
      <c r="G319" s="32"/>
      <c r="H319" s="22" t="str">
        <f>IFERROR(__xludf.DUMMYFUNCTION("IF(I319="""","""",COUNTUNIQUE($I$6:I319))"),"")</f>
        <v/>
      </c>
      <c r="I319" s="31"/>
      <c r="J319" s="25" t="str">
        <f t="shared" si="2"/>
        <v/>
      </c>
      <c r="K319" s="26"/>
      <c r="L319" s="26"/>
      <c r="M319" s="26"/>
      <c r="N319" s="27"/>
    </row>
    <row r="320">
      <c r="A320" s="21" t="str">
        <f t="shared" si="1"/>
        <v/>
      </c>
      <c r="B320" s="22" t="str">
        <f>IFERROR(__xludf.DUMMYFUNCTION("IF(C320="""","""",ROMAN(COUNTUNIQUE($C$6:C320)))"),"")</f>
        <v/>
      </c>
      <c r="C320" s="31"/>
      <c r="D320" s="32"/>
      <c r="E320" s="22" t="str">
        <f>IFERROR(__xludf.DUMMYFUNCTION("IF(F320="""","""",LEFT(ADDRESS(1,COUNTUNIQUE($F$6:F320),4)))"),"")</f>
        <v/>
      </c>
      <c r="F320" s="31"/>
      <c r="G320" s="32"/>
      <c r="H320" s="22" t="str">
        <f>IFERROR(__xludf.DUMMYFUNCTION("IF(I320="""","""",COUNTUNIQUE($I$6:I320))"),"")</f>
        <v/>
      </c>
      <c r="I320" s="31"/>
      <c r="J320" s="25" t="str">
        <f t="shared" si="2"/>
        <v/>
      </c>
      <c r="K320" s="26"/>
      <c r="L320" s="26"/>
      <c r="M320" s="26"/>
      <c r="N320" s="27"/>
    </row>
    <row r="321">
      <c r="A321" s="21" t="str">
        <f t="shared" si="1"/>
        <v/>
      </c>
      <c r="B321" s="22" t="str">
        <f>IFERROR(__xludf.DUMMYFUNCTION("IF(C321="""","""",ROMAN(COUNTUNIQUE($C$6:C321)))"),"")</f>
        <v/>
      </c>
      <c r="C321" s="31"/>
      <c r="D321" s="32"/>
      <c r="E321" s="22" t="str">
        <f>IFERROR(__xludf.DUMMYFUNCTION("IF(F321="""","""",LEFT(ADDRESS(1,COUNTUNIQUE($F$6:F321),4)))"),"")</f>
        <v/>
      </c>
      <c r="F321" s="31"/>
      <c r="G321" s="32"/>
      <c r="H321" s="22" t="str">
        <f>IFERROR(__xludf.DUMMYFUNCTION("IF(I321="""","""",COUNTUNIQUE($I$6:I321))"),"")</f>
        <v/>
      </c>
      <c r="I321" s="31"/>
      <c r="J321" s="25" t="str">
        <f t="shared" si="2"/>
        <v/>
      </c>
      <c r="K321" s="26"/>
      <c r="L321" s="26"/>
      <c r="M321" s="26"/>
      <c r="N321" s="27"/>
    </row>
    <row r="322">
      <c r="A322" s="21" t="str">
        <f t="shared" si="1"/>
        <v/>
      </c>
      <c r="B322" s="22" t="str">
        <f>IFERROR(__xludf.DUMMYFUNCTION("IF(C322="""","""",ROMAN(COUNTUNIQUE($C$6:C322)))"),"")</f>
        <v/>
      </c>
      <c r="C322" s="31"/>
      <c r="D322" s="32"/>
      <c r="E322" s="22" t="str">
        <f>IFERROR(__xludf.DUMMYFUNCTION("IF(F322="""","""",LEFT(ADDRESS(1,COUNTUNIQUE($F$6:F322),4)))"),"")</f>
        <v/>
      </c>
      <c r="F322" s="31"/>
      <c r="G322" s="32"/>
      <c r="H322" s="22" t="str">
        <f>IFERROR(__xludf.DUMMYFUNCTION("IF(I322="""","""",COUNTUNIQUE($I$6:I322))"),"")</f>
        <v/>
      </c>
      <c r="I322" s="31"/>
      <c r="J322" s="25" t="str">
        <f t="shared" si="2"/>
        <v/>
      </c>
      <c r="K322" s="26"/>
      <c r="L322" s="26"/>
      <c r="M322" s="26"/>
      <c r="N322" s="27"/>
    </row>
    <row r="323">
      <c r="A323" s="21" t="str">
        <f t="shared" si="1"/>
        <v/>
      </c>
      <c r="B323" s="22" t="str">
        <f>IFERROR(__xludf.DUMMYFUNCTION("IF(C323="""","""",ROMAN(COUNTUNIQUE($C$6:C323)))"),"")</f>
        <v/>
      </c>
      <c r="C323" s="31"/>
      <c r="D323" s="32"/>
      <c r="E323" s="22" t="str">
        <f>IFERROR(__xludf.DUMMYFUNCTION("IF(F323="""","""",LEFT(ADDRESS(1,COUNTUNIQUE($F$6:F323),4)))"),"")</f>
        <v/>
      </c>
      <c r="F323" s="31"/>
      <c r="G323" s="32"/>
      <c r="H323" s="22" t="str">
        <f>IFERROR(__xludf.DUMMYFUNCTION("IF(I323="""","""",COUNTUNIQUE($I$6:I323))"),"")</f>
        <v/>
      </c>
      <c r="I323" s="31"/>
      <c r="J323" s="25" t="str">
        <f t="shared" si="2"/>
        <v/>
      </c>
      <c r="K323" s="26"/>
      <c r="L323" s="26"/>
      <c r="M323" s="26"/>
      <c r="N323" s="27"/>
    </row>
    <row r="324">
      <c r="A324" s="21" t="str">
        <f t="shared" si="1"/>
        <v/>
      </c>
      <c r="B324" s="22" t="str">
        <f>IFERROR(__xludf.DUMMYFUNCTION("IF(C324="""","""",ROMAN(COUNTUNIQUE($C$6:C324)))"),"")</f>
        <v/>
      </c>
      <c r="C324" s="31"/>
      <c r="D324" s="32"/>
      <c r="E324" s="22" t="str">
        <f>IFERROR(__xludf.DUMMYFUNCTION("IF(F324="""","""",LEFT(ADDRESS(1,COUNTUNIQUE($F$6:F324),4)))"),"")</f>
        <v/>
      </c>
      <c r="F324" s="31"/>
      <c r="G324" s="32"/>
      <c r="H324" s="22" t="str">
        <f>IFERROR(__xludf.DUMMYFUNCTION("IF(I324="""","""",COUNTUNIQUE($I$6:I324))"),"")</f>
        <v/>
      </c>
      <c r="I324" s="31"/>
      <c r="J324" s="25" t="str">
        <f t="shared" si="2"/>
        <v/>
      </c>
      <c r="K324" s="26"/>
      <c r="L324" s="26"/>
      <c r="M324" s="26"/>
      <c r="N324" s="27"/>
    </row>
    <row r="325">
      <c r="A325" s="21" t="str">
        <f t="shared" si="1"/>
        <v/>
      </c>
      <c r="B325" s="22" t="str">
        <f>IFERROR(__xludf.DUMMYFUNCTION("IF(C325="""","""",ROMAN(COUNTUNIQUE($C$6:C325)))"),"")</f>
        <v/>
      </c>
      <c r="C325" s="31"/>
      <c r="D325" s="32"/>
      <c r="E325" s="22" t="str">
        <f>IFERROR(__xludf.DUMMYFUNCTION("IF(F325="""","""",LEFT(ADDRESS(1,COUNTUNIQUE($F$6:F325),4)))"),"")</f>
        <v/>
      </c>
      <c r="F325" s="31"/>
      <c r="G325" s="32"/>
      <c r="H325" s="22" t="str">
        <f>IFERROR(__xludf.DUMMYFUNCTION("IF(I325="""","""",COUNTUNIQUE($I$6:I325))"),"")</f>
        <v/>
      </c>
      <c r="I325" s="31"/>
      <c r="J325" s="25" t="str">
        <f t="shared" si="2"/>
        <v/>
      </c>
      <c r="K325" s="26"/>
      <c r="L325" s="26"/>
      <c r="M325" s="26"/>
      <c r="N325" s="27"/>
    </row>
    <row r="326">
      <c r="A326" s="21" t="str">
        <f t="shared" si="1"/>
        <v/>
      </c>
      <c r="B326" s="22" t="str">
        <f>IFERROR(__xludf.DUMMYFUNCTION("IF(C326="""","""",ROMAN(COUNTUNIQUE($C$6:C326)))"),"")</f>
        <v/>
      </c>
      <c r="C326" s="31"/>
      <c r="D326" s="32"/>
      <c r="E326" s="22" t="str">
        <f>IFERROR(__xludf.DUMMYFUNCTION("IF(F326="""","""",LEFT(ADDRESS(1,COUNTUNIQUE($F$6:F326),4)))"),"")</f>
        <v/>
      </c>
      <c r="F326" s="31"/>
      <c r="G326" s="32"/>
      <c r="H326" s="22" t="str">
        <f>IFERROR(__xludf.DUMMYFUNCTION("IF(I326="""","""",COUNTUNIQUE($I$6:I326))"),"")</f>
        <v/>
      </c>
      <c r="I326" s="31"/>
      <c r="J326" s="25" t="str">
        <f t="shared" si="2"/>
        <v/>
      </c>
      <c r="K326" s="26"/>
      <c r="L326" s="26"/>
      <c r="M326" s="26"/>
      <c r="N326" s="27"/>
    </row>
    <row r="327">
      <c r="A327" s="21" t="str">
        <f t="shared" si="1"/>
        <v/>
      </c>
      <c r="B327" s="22" t="str">
        <f>IFERROR(__xludf.DUMMYFUNCTION("IF(C327="""","""",ROMAN(COUNTUNIQUE($C$6:C327)))"),"")</f>
        <v/>
      </c>
      <c r="C327" s="31"/>
      <c r="D327" s="32"/>
      <c r="E327" s="22" t="str">
        <f>IFERROR(__xludf.DUMMYFUNCTION("IF(F327="""","""",LEFT(ADDRESS(1,COUNTUNIQUE($F$6:F327),4)))"),"")</f>
        <v/>
      </c>
      <c r="F327" s="31"/>
      <c r="G327" s="32"/>
      <c r="H327" s="22" t="str">
        <f>IFERROR(__xludf.DUMMYFUNCTION("IF(I327="""","""",COUNTUNIQUE($I$6:I327))"),"")</f>
        <v/>
      </c>
      <c r="I327" s="31"/>
      <c r="J327" s="25" t="str">
        <f t="shared" si="2"/>
        <v/>
      </c>
      <c r="K327" s="26"/>
      <c r="L327" s="26"/>
      <c r="M327" s="26"/>
      <c r="N327" s="27"/>
    </row>
    <row r="328">
      <c r="A328" s="21" t="str">
        <f t="shared" si="1"/>
        <v/>
      </c>
      <c r="B328" s="22" t="str">
        <f>IFERROR(__xludf.DUMMYFUNCTION("IF(C328="""","""",ROMAN(COUNTUNIQUE($C$6:C328)))"),"")</f>
        <v/>
      </c>
      <c r="C328" s="31"/>
      <c r="D328" s="32"/>
      <c r="E328" s="22" t="str">
        <f>IFERROR(__xludf.DUMMYFUNCTION("IF(F328="""","""",LEFT(ADDRESS(1,COUNTUNIQUE($F$6:F328),4)))"),"")</f>
        <v/>
      </c>
      <c r="F328" s="31"/>
      <c r="G328" s="32"/>
      <c r="H328" s="22" t="str">
        <f>IFERROR(__xludf.DUMMYFUNCTION("IF(I328="""","""",COUNTUNIQUE($I$6:I328))"),"")</f>
        <v/>
      </c>
      <c r="I328" s="31"/>
      <c r="J328" s="25" t="str">
        <f t="shared" si="2"/>
        <v/>
      </c>
      <c r="K328" s="26"/>
      <c r="L328" s="26"/>
      <c r="M328" s="26"/>
      <c r="N328" s="27"/>
    </row>
    <row r="329">
      <c r="A329" s="21" t="str">
        <f t="shared" si="1"/>
        <v/>
      </c>
      <c r="B329" s="22" t="str">
        <f>IFERROR(__xludf.DUMMYFUNCTION("IF(C329="""","""",ROMAN(COUNTUNIQUE($C$6:C329)))"),"")</f>
        <v/>
      </c>
      <c r="C329" s="31"/>
      <c r="D329" s="32"/>
      <c r="E329" s="22" t="str">
        <f>IFERROR(__xludf.DUMMYFUNCTION("IF(F329="""","""",LEFT(ADDRESS(1,COUNTUNIQUE($F$6:F329),4)))"),"")</f>
        <v/>
      </c>
      <c r="F329" s="31"/>
      <c r="G329" s="32"/>
      <c r="H329" s="22" t="str">
        <f>IFERROR(__xludf.DUMMYFUNCTION("IF(I329="""","""",COUNTUNIQUE($I$6:I329))"),"")</f>
        <v/>
      </c>
      <c r="I329" s="31"/>
      <c r="J329" s="25" t="str">
        <f t="shared" si="2"/>
        <v/>
      </c>
      <c r="K329" s="26"/>
      <c r="L329" s="26"/>
      <c r="M329" s="26"/>
      <c r="N329" s="27"/>
    </row>
    <row r="330">
      <c r="A330" s="21" t="str">
        <f t="shared" si="1"/>
        <v/>
      </c>
      <c r="B330" s="22" t="str">
        <f>IFERROR(__xludf.DUMMYFUNCTION("IF(C330="""","""",ROMAN(COUNTUNIQUE($C$6:C330)))"),"")</f>
        <v/>
      </c>
      <c r="C330" s="31"/>
      <c r="D330" s="32"/>
      <c r="E330" s="22" t="str">
        <f>IFERROR(__xludf.DUMMYFUNCTION("IF(F330="""","""",LEFT(ADDRESS(1,COUNTUNIQUE($F$6:F330),4)))"),"")</f>
        <v/>
      </c>
      <c r="F330" s="31"/>
      <c r="G330" s="32"/>
      <c r="H330" s="22" t="str">
        <f>IFERROR(__xludf.DUMMYFUNCTION("IF(I330="""","""",COUNTUNIQUE($I$6:I330))"),"")</f>
        <v/>
      </c>
      <c r="I330" s="31"/>
      <c r="J330" s="25" t="str">
        <f t="shared" si="2"/>
        <v/>
      </c>
      <c r="K330" s="26"/>
      <c r="L330" s="26"/>
      <c r="M330" s="26"/>
      <c r="N330" s="27"/>
    </row>
    <row r="331">
      <c r="A331" s="21" t="str">
        <f t="shared" si="1"/>
        <v/>
      </c>
      <c r="B331" s="22" t="str">
        <f>IFERROR(__xludf.DUMMYFUNCTION("IF(C331="""","""",ROMAN(COUNTUNIQUE($C$6:C331)))"),"")</f>
        <v/>
      </c>
      <c r="C331" s="31"/>
      <c r="D331" s="32"/>
      <c r="E331" s="22" t="str">
        <f>IFERROR(__xludf.DUMMYFUNCTION("IF(F331="""","""",LEFT(ADDRESS(1,COUNTUNIQUE($F$6:F331),4)))"),"")</f>
        <v/>
      </c>
      <c r="F331" s="31"/>
      <c r="G331" s="32"/>
      <c r="H331" s="22" t="str">
        <f>IFERROR(__xludf.DUMMYFUNCTION("IF(I331="""","""",COUNTUNIQUE($I$6:I331))"),"")</f>
        <v/>
      </c>
      <c r="I331" s="31"/>
      <c r="J331" s="25" t="str">
        <f t="shared" si="2"/>
        <v/>
      </c>
      <c r="K331" s="26"/>
      <c r="L331" s="26"/>
      <c r="M331" s="26"/>
      <c r="N331" s="27"/>
    </row>
    <row r="332">
      <c r="A332" s="21" t="str">
        <f t="shared" si="1"/>
        <v/>
      </c>
      <c r="B332" s="22" t="str">
        <f>IFERROR(__xludf.DUMMYFUNCTION("IF(C332="""","""",ROMAN(COUNTUNIQUE($C$6:C332)))"),"")</f>
        <v/>
      </c>
      <c r="C332" s="31"/>
      <c r="D332" s="32"/>
      <c r="E332" s="22" t="str">
        <f>IFERROR(__xludf.DUMMYFUNCTION("IF(F332="""","""",LEFT(ADDRESS(1,COUNTUNIQUE($F$6:F332),4)))"),"")</f>
        <v/>
      </c>
      <c r="F332" s="31"/>
      <c r="G332" s="32"/>
      <c r="H332" s="22" t="str">
        <f>IFERROR(__xludf.DUMMYFUNCTION("IF(I332="""","""",COUNTUNIQUE($I$6:I332))"),"")</f>
        <v/>
      </c>
      <c r="I332" s="31"/>
      <c r="J332" s="25" t="str">
        <f t="shared" si="2"/>
        <v/>
      </c>
      <c r="K332" s="26"/>
      <c r="L332" s="26"/>
      <c r="M332" s="26"/>
      <c r="N332" s="27"/>
    </row>
    <row r="333">
      <c r="A333" s="21" t="str">
        <f t="shared" si="1"/>
        <v/>
      </c>
      <c r="B333" s="22" t="str">
        <f>IFERROR(__xludf.DUMMYFUNCTION("IF(C333="""","""",ROMAN(COUNTUNIQUE($C$6:C333)))"),"")</f>
        <v/>
      </c>
      <c r="C333" s="31"/>
      <c r="D333" s="32"/>
      <c r="E333" s="22" t="str">
        <f>IFERROR(__xludf.DUMMYFUNCTION("IF(F333="""","""",LEFT(ADDRESS(1,COUNTUNIQUE($F$6:F333),4)))"),"")</f>
        <v/>
      </c>
      <c r="F333" s="31"/>
      <c r="G333" s="32"/>
      <c r="H333" s="22" t="str">
        <f>IFERROR(__xludf.DUMMYFUNCTION("IF(I333="""","""",COUNTUNIQUE($I$6:I333))"),"")</f>
        <v/>
      </c>
      <c r="I333" s="31"/>
      <c r="J333" s="25" t="str">
        <f t="shared" si="2"/>
        <v/>
      </c>
      <c r="K333" s="26"/>
      <c r="L333" s="26"/>
      <c r="M333" s="26"/>
      <c r="N333" s="27"/>
    </row>
    <row r="334">
      <c r="A334" s="21" t="str">
        <f t="shared" si="1"/>
        <v/>
      </c>
      <c r="B334" s="22" t="str">
        <f>IFERROR(__xludf.DUMMYFUNCTION("IF(C334="""","""",ROMAN(COUNTUNIQUE($C$6:C334)))"),"")</f>
        <v/>
      </c>
      <c r="C334" s="31"/>
      <c r="D334" s="32"/>
      <c r="E334" s="22" t="str">
        <f>IFERROR(__xludf.DUMMYFUNCTION("IF(F334="""","""",LEFT(ADDRESS(1,COUNTUNIQUE($F$6:F334),4)))"),"")</f>
        <v/>
      </c>
      <c r="F334" s="31"/>
      <c r="G334" s="32"/>
      <c r="H334" s="22" t="str">
        <f>IFERROR(__xludf.DUMMYFUNCTION("IF(I334="""","""",COUNTUNIQUE($I$6:I334))"),"")</f>
        <v/>
      </c>
      <c r="I334" s="31"/>
      <c r="J334" s="25" t="str">
        <f t="shared" si="2"/>
        <v/>
      </c>
      <c r="K334" s="26"/>
      <c r="L334" s="26"/>
      <c r="M334" s="26"/>
      <c r="N334" s="27"/>
    </row>
    <row r="335">
      <c r="A335" s="21" t="str">
        <f t="shared" si="1"/>
        <v/>
      </c>
      <c r="B335" s="22" t="str">
        <f>IFERROR(__xludf.DUMMYFUNCTION("IF(C335="""","""",ROMAN(COUNTUNIQUE($C$6:C335)))"),"")</f>
        <v/>
      </c>
      <c r="C335" s="31"/>
      <c r="D335" s="32"/>
      <c r="E335" s="22" t="str">
        <f>IFERROR(__xludf.DUMMYFUNCTION("IF(F335="""","""",LEFT(ADDRESS(1,COUNTUNIQUE($F$6:F335),4)))"),"")</f>
        <v/>
      </c>
      <c r="F335" s="31"/>
      <c r="G335" s="32"/>
      <c r="H335" s="22" t="str">
        <f>IFERROR(__xludf.DUMMYFUNCTION("IF(I335="""","""",COUNTUNIQUE($I$6:I335))"),"")</f>
        <v/>
      </c>
      <c r="I335" s="31"/>
      <c r="J335" s="25" t="str">
        <f t="shared" si="2"/>
        <v/>
      </c>
      <c r="K335" s="26"/>
      <c r="L335" s="26"/>
      <c r="M335" s="26"/>
      <c r="N335" s="27"/>
    </row>
    <row r="336">
      <c r="A336" s="21" t="str">
        <f t="shared" si="1"/>
        <v/>
      </c>
      <c r="B336" s="22" t="str">
        <f>IFERROR(__xludf.DUMMYFUNCTION("IF(C336="""","""",ROMAN(COUNTUNIQUE($C$6:C336)))"),"")</f>
        <v/>
      </c>
      <c r="C336" s="31"/>
      <c r="D336" s="32"/>
      <c r="E336" s="22" t="str">
        <f>IFERROR(__xludf.DUMMYFUNCTION("IF(F336="""","""",LEFT(ADDRESS(1,COUNTUNIQUE($F$6:F336),4)))"),"")</f>
        <v/>
      </c>
      <c r="F336" s="31"/>
      <c r="G336" s="32"/>
      <c r="H336" s="22" t="str">
        <f>IFERROR(__xludf.DUMMYFUNCTION("IF(I336="""","""",COUNTUNIQUE($I$6:I336))"),"")</f>
        <v/>
      </c>
      <c r="I336" s="31"/>
      <c r="J336" s="25" t="str">
        <f t="shared" si="2"/>
        <v/>
      </c>
      <c r="K336" s="26"/>
      <c r="L336" s="26"/>
      <c r="M336" s="26"/>
      <c r="N336" s="27"/>
    </row>
    <row r="337">
      <c r="A337" s="21" t="str">
        <f t="shared" si="1"/>
        <v/>
      </c>
      <c r="B337" s="22" t="str">
        <f>IFERROR(__xludf.DUMMYFUNCTION("IF(C337="""","""",ROMAN(COUNTUNIQUE($C$6:C337)))"),"")</f>
        <v/>
      </c>
      <c r="C337" s="31"/>
      <c r="D337" s="32"/>
      <c r="E337" s="22" t="str">
        <f>IFERROR(__xludf.DUMMYFUNCTION("IF(F337="""","""",LEFT(ADDRESS(1,COUNTUNIQUE($F$6:F337),4)))"),"")</f>
        <v/>
      </c>
      <c r="F337" s="31"/>
      <c r="G337" s="32"/>
      <c r="H337" s="22" t="str">
        <f>IFERROR(__xludf.DUMMYFUNCTION("IF(I337="""","""",COUNTUNIQUE($I$6:I337))"),"")</f>
        <v/>
      </c>
      <c r="I337" s="31"/>
      <c r="J337" s="25" t="str">
        <f t="shared" si="2"/>
        <v/>
      </c>
      <c r="K337" s="26"/>
      <c r="L337" s="26"/>
      <c r="M337" s="26"/>
      <c r="N337" s="27"/>
    </row>
    <row r="338">
      <c r="A338" s="21" t="str">
        <f t="shared" si="1"/>
        <v/>
      </c>
      <c r="B338" s="22" t="str">
        <f>IFERROR(__xludf.DUMMYFUNCTION("IF(C338="""","""",ROMAN(COUNTUNIQUE($C$6:C338)))"),"")</f>
        <v/>
      </c>
      <c r="C338" s="31"/>
      <c r="D338" s="32"/>
      <c r="E338" s="22" t="str">
        <f>IFERROR(__xludf.DUMMYFUNCTION("IF(F338="""","""",LEFT(ADDRESS(1,COUNTUNIQUE($F$6:F338),4)))"),"")</f>
        <v/>
      </c>
      <c r="F338" s="31"/>
      <c r="G338" s="32"/>
      <c r="H338" s="22" t="str">
        <f>IFERROR(__xludf.DUMMYFUNCTION("IF(I338="""","""",COUNTUNIQUE($I$6:I338))"),"")</f>
        <v/>
      </c>
      <c r="I338" s="31"/>
      <c r="J338" s="25" t="str">
        <f t="shared" si="2"/>
        <v/>
      </c>
      <c r="K338" s="26"/>
      <c r="L338" s="26"/>
      <c r="M338" s="26"/>
      <c r="N338" s="27"/>
    </row>
    <row r="339">
      <c r="A339" s="21" t="str">
        <f t="shared" si="1"/>
        <v/>
      </c>
      <c r="B339" s="22" t="str">
        <f>IFERROR(__xludf.DUMMYFUNCTION("IF(C339="""","""",ROMAN(COUNTUNIQUE($C$6:C339)))"),"")</f>
        <v/>
      </c>
      <c r="C339" s="31"/>
      <c r="D339" s="32"/>
      <c r="E339" s="22" t="str">
        <f>IFERROR(__xludf.DUMMYFUNCTION("IF(F339="""","""",LEFT(ADDRESS(1,COUNTUNIQUE($F$6:F339),4)))"),"")</f>
        <v/>
      </c>
      <c r="F339" s="31"/>
      <c r="G339" s="32"/>
      <c r="H339" s="22" t="str">
        <f>IFERROR(__xludf.DUMMYFUNCTION("IF(I339="""","""",COUNTUNIQUE($I$6:I339))"),"")</f>
        <v/>
      </c>
      <c r="I339" s="31"/>
      <c r="J339" s="25" t="str">
        <f t="shared" si="2"/>
        <v/>
      </c>
      <c r="K339" s="26"/>
      <c r="L339" s="26"/>
      <c r="M339" s="26"/>
      <c r="N339" s="27"/>
    </row>
    <row r="340">
      <c r="A340" s="21" t="str">
        <f t="shared" si="1"/>
        <v/>
      </c>
      <c r="B340" s="22" t="str">
        <f>IFERROR(__xludf.DUMMYFUNCTION("IF(C340="""","""",ROMAN(COUNTUNIQUE($C$6:C340)))"),"")</f>
        <v/>
      </c>
      <c r="C340" s="31"/>
      <c r="D340" s="32"/>
      <c r="E340" s="22" t="str">
        <f>IFERROR(__xludf.DUMMYFUNCTION("IF(F340="""","""",LEFT(ADDRESS(1,COUNTUNIQUE($F$6:F340),4)))"),"")</f>
        <v/>
      </c>
      <c r="F340" s="31"/>
      <c r="G340" s="32"/>
      <c r="H340" s="22" t="str">
        <f>IFERROR(__xludf.DUMMYFUNCTION("IF(I340="""","""",COUNTUNIQUE($I$6:I340))"),"")</f>
        <v/>
      </c>
      <c r="I340" s="31"/>
      <c r="J340" s="25" t="str">
        <f t="shared" si="2"/>
        <v/>
      </c>
      <c r="K340" s="26"/>
      <c r="L340" s="26"/>
      <c r="M340" s="26"/>
      <c r="N340" s="27"/>
    </row>
    <row r="341">
      <c r="A341" s="21" t="str">
        <f t="shared" si="1"/>
        <v/>
      </c>
      <c r="B341" s="22" t="str">
        <f>IFERROR(__xludf.DUMMYFUNCTION("IF(C341="""","""",ROMAN(COUNTUNIQUE($C$6:C341)))"),"")</f>
        <v/>
      </c>
      <c r="C341" s="31"/>
      <c r="D341" s="32"/>
      <c r="E341" s="22" t="str">
        <f>IFERROR(__xludf.DUMMYFUNCTION("IF(F341="""","""",LEFT(ADDRESS(1,COUNTUNIQUE($F$6:F341),4)))"),"")</f>
        <v/>
      </c>
      <c r="F341" s="31"/>
      <c r="G341" s="32"/>
      <c r="H341" s="22" t="str">
        <f>IFERROR(__xludf.DUMMYFUNCTION("IF(I341="""","""",COUNTUNIQUE($I$6:I341))"),"")</f>
        <v/>
      </c>
      <c r="I341" s="31"/>
      <c r="J341" s="25" t="str">
        <f t="shared" si="2"/>
        <v/>
      </c>
      <c r="K341" s="26"/>
      <c r="L341" s="26"/>
      <c r="M341" s="26"/>
      <c r="N341" s="27"/>
    </row>
    <row r="342">
      <c r="A342" s="21" t="str">
        <f t="shared" si="1"/>
        <v/>
      </c>
      <c r="B342" s="22" t="str">
        <f>IFERROR(__xludf.DUMMYFUNCTION("IF(C342="""","""",ROMAN(COUNTUNIQUE($C$6:C342)))"),"")</f>
        <v/>
      </c>
      <c r="C342" s="31"/>
      <c r="D342" s="32"/>
      <c r="E342" s="22" t="str">
        <f>IFERROR(__xludf.DUMMYFUNCTION("IF(F342="""","""",LEFT(ADDRESS(1,COUNTUNIQUE($F$6:F342),4)))"),"")</f>
        <v/>
      </c>
      <c r="F342" s="31"/>
      <c r="G342" s="32"/>
      <c r="H342" s="22" t="str">
        <f>IFERROR(__xludf.DUMMYFUNCTION("IF(I342="""","""",COUNTUNIQUE($I$6:I342))"),"")</f>
        <v/>
      </c>
      <c r="I342" s="31"/>
      <c r="J342" s="25" t="str">
        <f t="shared" si="2"/>
        <v/>
      </c>
      <c r="K342" s="26"/>
      <c r="L342" s="26"/>
      <c r="M342" s="26"/>
      <c r="N342" s="27"/>
    </row>
    <row r="343">
      <c r="A343" s="21" t="str">
        <f t="shared" si="1"/>
        <v/>
      </c>
      <c r="B343" s="22" t="str">
        <f>IFERROR(__xludf.DUMMYFUNCTION("IF(C343="""","""",ROMAN(COUNTUNIQUE($C$6:C343)))"),"")</f>
        <v/>
      </c>
      <c r="C343" s="31"/>
      <c r="D343" s="32"/>
      <c r="E343" s="22" t="str">
        <f>IFERROR(__xludf.DUMMYFUNCTION("IF(F343="""","""",LEFT(ADDRESS(1,COUNTUNIQUE($F$6:F343),4)))"),"")</f>
        <v/>
      </c>
      <c r="F343" s="31"/>
      <c r="G343" s="32"/>
      <c r="H343" s="22" t="str">
        <f>IFERROR(__xludf.DUMMYFUNCTION("IF(I343="""","""",COUNTUNIQUE($I$6:I343))"),"")</f>
        <v/>
      </c>
      <c r="I343" s="31"/>
      <c r="J343" s="25" t="str">
        <f t="shared" si="2"/>
        <v/>
      </c>
      <c r="K343" s="26"/>
      <c r="L343" s="26"/>
      <c r="M343" s="26"/>
      <c r="N343" s="27"/>
    </row>
    <row r="344">
      <c r="A344" s="21" t="str">
        <f t="shared" si="1"/>
        <v/>
      </c>
      <c r="B344" s="22" t="str">
        <f>IFERROR(__xludf.DUMMYFUNCTION("IF(C344="""","""",ROMAN(COUNTUNIQUE($C$6:C344)))"),"")</f>
        <v/>
      </c>
      <c r="C344" s="31"/>
      <c r="D344" s="32"/>
      <c r="E344" s="22" t="str">
        <f>IFERROR(__xludf.DUMMYFUNCTION("IF(F344="""","""",LEFT(ADDRESS(1,COUNTUNIQUE($F$6:F344),4)))"),"")</f>
        <v/>
      </c>
      <c r="F344" s="31"/>
      <c r="G344" s="32"/>
      <c r="H344" s="22" t="str">
        <f>IFERROR(__xludf.DUMMYFUNCTION("IF(I344="""","""",COUNTUNIQUE($I$6:I344))"),"")</f>
        <v/>
      </c>
      <c r="I344" s="31"/>
      <c r="J344" s="25" t="str">
        <f t="shared" si="2"/>
        <v/>
      </c>
      <c r="K344" s="26"/>
      <c r="L344" s="26"/>
      <c r="M344" s="26"/>
      <c r="N344" s="27"/>
    </row>
    <row r="345">
      <c r="A345" s="21" t="str">
        <f t="shared" si="1"/>
        <v/>
      </c>
      <c r="B345" s="22" t="str">
        <f>IFERROR(__xludf.DUMMYFUNCTION("IF(C345="""","""",ROMAN(COUNTUNIQUE($C$6:C345)))"),"")</f>
        <v/>
      </c>
      <c r="C345" s="31"/>
      <c r="D345" s="32"/>
      <c r="E345" s="22" t="str">
        <f>IFERROR(__xludf.DUMMYFUNCTION("IF(F345="""","""",LEFT(ADDRESS(1,COUNTUNIQUE($F$6:F345),4)))"),"")</f>
        <v/>
      </c>
      <c r="F345" s="31"/>
      <c r="G345" s="32"/>
      <c r="H345" s="22" t="str">
        <f>IFERROR(__xludf.DUMMYFUNCTION("IF(I345="""","""",COUNTUNIQUE($I$6:I345))"),"")</f>
        <v/>
      </c>
      <c r="I345" s="31"/>
      <c r="J345" s="25" t="str">
        <f t="shared" si="2"/>
        <v/>
      </c>
      <c r="K345" s="26"/>
      <c r="L345" s="26"/>
      <c r="M345" s="26"/>
      <c r="N345" s="27"/>
    </row>
    <row r="346">
      <c r="A346" s="21" t="str">
        <f t="shared" si="1"/>
        <v/>
      </c>
      <c r="B346" s="22" t="str">
        <f>IFERROR(__xludf.DUMMYFUNCTION("IF(C346="""","""",ROMAN(COUNTUNIQUE($C$6:C346)))"),"")</f>
        <v/>
      </c>
      <c r="C346" s="31"/>
      <c r="D346" s="32"/>
      <c r="E346" s="22" t="str">
        <f>IFERROR(__xludf.DUMMYFUNCTION("IF(F346="""","""",LEFT(ADDRESS(1,COUNTUNIQUE($F$6:F346),4)))"),"")</f>
        <v/>
      </c>
      <c r="F346" s="31"/>
      <c r="G346" s="32"/>
      <c r="H346" s="22" t="str">
        <f>IFERROR(__xludf.DUMMYFUNCTION("IF(I346="""","""",COUNTUNIQUE($I$6:I346))"),"")</f>
        <v/>
      </c>
      <c r="I346" s="31"/>
      <c r="J346" s="25" t="str">
        <f t="shared" si="2"/>
        <v/>
      </c>
      <c r="K346" s="26"/>
      <c r="L346" s="26"/>
      <c r="M346" s="26"/>
      <c r="N346" s="27"/>
    </row>
    <row r="347">
      <c r="A347" s="21" t="str">
        <f t="shared" si="1"/>
        <v/>
      </c>
      <c r="B347" s="22" t="str">
        <f>IFERROR(__xludf.DUMMYFUNCTION("IF(C347="""","""",ROMAN(COUNTUNIQUE($C$6:C347)))"),"")</f>
        <v/>
      </c>
      <c r="C347" s="31"/>
      <c r="D347" s="32"/>
      <c r="E347" s="22" t="str">
        <f>IFERROR(__xludf.DUMMYFUNCTION("IF(F347="""","""",LEFT(ADDRESS(1,COUNTUNIQUE($F$6:F347),4)))"),"")</f>
        <v/>
      </c>
      <c r="F347" s="31"/>
      <c r="G347" s="32"/>
      <c r="H347" s="22" t="str">
        <f>IFERROR(__xludf.DUMMYFUNCTION("IF(I347="""","""",COUNTUNIQUE($I$6:I347))"),"")</f>
        <v/>
      </c>
      <c r="I347" s="31"/>
      <c r="J347" s="25" t="str">
        <f t="shared" si="2"/>
        <v/>
      </c>
      <c r="K347" s="26"/>
      <c r="L347" s="26"/>
      <c r="M347" s="26"/>
      <c r="N347" s="27"/>
    </row>
    <row r="348">
      <c r="A348" s="21" t="str">
        <f t="shared" si="1"/>
        <v/>
      </c>
      <c r="B348" s="22" t="str">
        <f>IFERROR(__xludf.DUMMYFUNCTION("IF(C348="""","""",ROMAN(COUNTUNIQUE($C$6:C348)))"),"")</f>
        <v/>
      </c>
      <c r="C348" s="31"/>
      <c r="D348" s="32"/>
      <c r="E348" s="22" t="str">
        <f>IFERROR(__xludf.DUMMYFUNCTION("IF(F348="""","""",LEFT(ADDRESS(1,COUNTUNIQUE($F$6:F348),4)))"),"")</f>
        <v/>
      </c>
      <c r="F348" s="31"/>
      <c r="G348" s="32"/>
      <c r="H348" s="22" t="str">
        <f>IFERROR(__xludf.DUMMYFUNCTION("IF(I348="""","""",COUNTUNIQUE($I$6:I348))"),"")</f>
        <v/>
      </c>
      <c r="I348" s="31"/>
      <c r="J348" s="25" t="str">
        <f t="shared" si="2"/>
        <v/>
      </c>
      <c r="K348" s="26"/>
      <c r="L348" s="26"/>
      <c r="M348" s="26"/>
      <c r="N348" s="27"/>
    </row>
    <row r="349">
      <c r="A349" s="21" t="str">
        <f t="shared" si="1"/>
        <v/>
      </c>
      <c r="B349" s="22" t="str">
        <f>IFERROR(__xludf.DUMMYFUNCTION("IF(C349="""","""",ROMAN(COUNTUNIQUE($C$6:C349)))"),"")</f>
        <v/>
      </c>
      <c r="C349" s="31"/>
      <c r="D349" s="32"/>
      <c r="E349" s="22" t="str">
        <f>IFERROR(__xludf.DUMMYFUNCTION("IF(F349="""","""",LEFT(ADDRESS(1,COUNTUNIQUE($F$6:F349),4)))"),"")</f>
        <v/>
      </c>
      <c r="F349" s="31"/>
      <c r="G349" s="32"/>
      <c r="H349" s="22" t="str">
        <f>IFERROR(__xludf.DUMMYFUNCTION("IF(I349="""","""",COUNTUNIQUE($I$6:I349))"),"")</f>
        <v/>
      </c>
      <c r="I349" s="31"/>
      <c r="J349" s="25" t="str">
        <f t="shared" si="2"/>
        <v/>
      </c>
      <c r="K349" s="26"/>
      <c r="L349" s="26"/>
      <c r="M349" s="26"/>
      <c r="N349" s="27"/>
    </row>
    <row r="350">
      <c r="A350" s="21" t="str">
        <f t="shared" si="1"/>
        <v/>
      </c>
      <c r="B350" s="22" t="str">
        <f>IFERROR(__xludf.DUMMYFUNCTION("IF(C350="""","""",ROMAN(COUNTUNIQUE($C$6:C350)))"),"")</f>
        <v/>
      </c>
      <c r="C350" s="31"/>
      <c r="D350" s="32"/>
      <c r="E350" s="22" t="str">
        <f>IFERROR(__xludf.DUMMYFUNCTION("IF(F350="""","""",LEFT(ADDRESS(1,COUNTUNIQUE($F$6:F350),4)))"),"")</f>
        <v/>
      </c>
      <c r="F350" s="31"/>
      <c r="G350" s="32"/>
      <c r="H350" s="22" t="str">
        <f>IFERROR(__xludf.DUMMYFUNCTION("IF(I350="""","""",COUNTUNIQUE($I$6:I350))"),"")</f>
        <v/>
      </c>
      <c r="I350" s="31"/>
      <c r="J350" s="25" t="str">
        <f t="shared" si="2"/>
        <v/>
      </c>
      <c r="K350" s="26"/>
      <c r="L350" s="26"/>
      <c r="M350" s="26"/>
      <c r="N350" s="27"/>
    </row>
    <row r="351">
      <c r="A351" s="21" t="str">
        <f t="shared" si="1"/>
        <v/>
      </c>
      <c r="B351" s="22" t="str">
        <f>IFERROR(__xludf.DUMMYFUNCTION("IF(C351="""","""",ROMAN(COUNTUNIQUE($C$6:C351)))"),"")</f>
        <v/>
      </c>
      <c r="C351" s="31"/>
      <c r="D351" s="32"/>
      <c r="E351" s="22" t="str">
        <f>IFERROR(__xludf.DUMMYFUNCTION("IF(F351="""","""",LEFT(ADDRESS(1,COUNTUNIQUE($F$6:F351),4)))"),"")</f>
        <v/>
      </c>
      <c r="F351" s="31"/>
      <c r="G351" s="32"/>
      <c r="H351" s="22" t="str">
        <f>IFERROR(__xludf.DUMMYFUNCTION("IF(I351="""","""",COUNTUNIQUE($I$6:I351))"),"")</f>
        <v/>
      </c>
      <c r="I351" s="31"/>
      <c r="J351" s="25" t="str">
        <f t="shared" si="2"/>
        <v/>
      </c>
      <c r="K351" s="26"/>
      <c r="L351" s="26"/>
      <c r="M351" s="26"/>
      <c r="N351" s="27"/>
    </row>
    <row r="352">
      <c r="A352" s="21" t="str">
        <f t="shared" si="1"/>
        <v/>
      </c>
      <c r="B352" s="22" t="str">
        <f>IFERROR(__xludf.DUMMYFUNCTION("IF(C352="""","""",ROMAN(COUNTUNIQUE($C$6:C352)))"),"")</f>
        <v/>
      </c>
      <c r="C352" s="31"/>
      <c r="D352" s="32"/>
      <c r="E352" s="22" t="str">
        <f>IFERROR(__xludf.DUMMYFUNCTION("IF(F352="""","""",LEFT(ADDRESS(1,COUNTUNIQUE($F$6:F352),4)))"),"")</f>
        <v/>
      </c>
      <c r="F352" s="31"/>
      <c r="G352" s="32"/>
      <c r="H352" s="22" t="str">
        <f>IFERROR(__xludf.DUMMYFUNCTION("IF(I352="""","""",COUNTUNIQUE($I$6:I352))"),"")</f>
        <v/>
      </c>
      <c r="I352" s="31"/>
      <c r="J352" s="25" t="str">
        <f t="shared" si="2"/>
        <v/>
      </c>
      <c r="K352" s="26"/>
      <c r="L352" s="26"/>
      <c r="M352" s="26"/>
      <c r="N352" s="27"/>
    </row>
    <row r="353">
      <c r="A353" s="21" t="str">
        <f t="shared" si="1"/>
        <v/>
      </c>
      <c r="B353" s="22" t="str">
        <f>IFERROR(__xludf.DUMMYFUNCTION("IF(C353="""","""",ROMAN(COUNTUNIQUE($C$6:C353)))"),"")</f>
        <v/>
      </c>
      <c r="C353" s="31"/>
      <c r="D353" s="32"/>
      <c r="E353" s="22" t="str">
        <f>IFERROR(__xludf.DUMMYFUNCTION("IF(F353="""","""",LEFT(ADDRESS(1,COUNTUNIQUE($F$6:F353),4)))"),"")</f>
        <v/>
      </c>
      <c r="F353" s="31"/>
      <c r="G353" s="32"/>
      <c r="H353" s="22" t="str">
        <f>IFERROR(__xludf.DUMMYFUNCTION("IF(I353="""","""",COUNTUNIQUE($I$6:I353))"),"")</f>
        <v/>
      </c>
      <c r="I353" s="31"/>
      <c r="J353" s="25" t="str">
        <f t="shared" si="2"/>
        <v/>
      </c>
      <c r="K353" s="26"/>
      <c r="L353" s="26"/>
      <c r="M353" s="26"/>
      <c r="N353" s="27"/>
    </row>
    <row r="354">
      <c r="A354" s="21" t="str">
        <f t="shared" si="1"/>
        <v/>
      </c>
      <c r="B354" s="22" t="str">
        <f>IFERROR(__xludf.DUMMYFUNCTION("IF(C354="""","""",ROMAN(COUNTUNIQUE($C$6:C354)))"),"")</f>
        <v/>
      </c>
      <c r="C354" s="31"/>
      <c r="D354" s="32"/>
      <c r="E354" s="22" t="str">
        <f>IFERROR(__xludf.DUMMYFUNCTION("IF(F354="""","""",LEFT(ADDRESS(1,COUNTUNIQUE($F$6:F354),4)))"),"")</f>
        <v/>
      </c>
      <c r="F354" s="31"/>
      <c r="G354" s="32"/>
      <c r="H354" s="22" t="str">
        <f>IFERROR(__xludf.DUMMYFUNCTION("IF(I354="""","""",COUNTUNIQUE($I$6:I354))"),"")</f>
        <v/>
      </c>
      <c r="I354" s="31"/>
      <c r="J354" s="25" t="str">
        <f t="shared" si="2"/>
        <v/>
      </c>
      <c r="K354" s="26"/>
      <c r="L354" s="26"/>
      <c r="M354" s="26"/>
      <c r="N354" s="27"/>
    </row>
    <row r="355">
      <c r="A355" s="21" t="str">
        <f t="shared" si="1"/>
        <v/>
      </c>
      <c r="B355" s="22" t="str">
        <f>IFERROR(__xludf.DUMMYFUNCTION("IF(C355="""","""",ROMAN(COUNTUNIQUE($C$6:C355)))"),"")</f>
        <v/>
      </c>
      <c r="C355" s="31"/>
      <c r="D355" s="32"/>
      <c r="E355" s="22" t="str">
        <f>IFERROR(__xludf.DUMMYFUNCTION("IF(F355="""","""",LEFT(ADDRESS(1,COUNTUNIQUE($F$6:F355),4)))"),"")</f>
        <v/>
      </c>
      <c r="F355" s="31"/>
      <c r="G355" s="32"/>
      <c r="H355" s="22" t="str">
        <f>IFERROR(__xludf.DUMMYFUNCTION("IF(I355="""","""",COUNTUNIQUE($I$6:I355))"),"")</f>
        <v/>
      </c>
      <c r="I355" s="31"/>
      <c r="J355" s="25" t="str">
        <f t="shared" si="2"/>
        <v/>
      </c>
      <c r="K355" s="26"/>
      <c r="L355" s="26"/>
      <c r="M355" s="26"/>
      <c r="N355" s="27"/>
    </row>
    <row r="356">
      <c r="A356" s="21" t="str">
        <f t="shared" si="1"/>
        <v/>
      </c>
      <c r="B356" s="22" t="str">
        <f>IFERROR(__xludf.DUMMYFUNCTION("IF(C356="""","""",ROMAN(COUNTUNIQUE($C$6:C356)))"),"")</f>
        <v/>
      </c>
      <c r="C356" s="31"/>
      <c r="D356" s="32"/>
      <c r="E356" s="22" t="str">
        <f>IFERROR(__xludf.DUMMYFUNCTION("IF(F356="""","""",LEFT(ADDRESS(1,COUNTUNIQUE($F$6:F356),4)))"),"")</f>
        <v/>
      </c>
      <c r="F356" s="31"/>
      <c r="G356" s="32"/>
      <c r="H356" s="22" t="str">
        <f>IFERROR(__xludf.DUMMYFUNCTION("IF(I356="""","""",COUNTUNIQUE($I$6:I356))"),"")</f>
        <v/>
      </c>
      <c r="I356" s="31"/>
      <c r="J356" s="25" t="str">
        <f t="shared" si="2"/>
        <v/>
      </c>
      <c r="K356" s="26"/>
      <c r="L356" s="26"/>
      <c r="M356" s="26"/>
      <c r="N356" s="27"/>
    </row>
    <row r="357">
      <c r="A357" s="21" t="str">
        <f t="shared" si="1"/>
        <v/>
      </c>
      <c r="B357" s="22" t="str">
        <f>IFERROR(__xludf.DUMMYFUNCTION("IF(C357="""","""",ROMAN(COUNTUNIQUE($C$6:C357)))"),"")</f>
        <v/>
      </c>
      <c r="C357" s="31"/>
      <c r="D357" s="32"/>
      <c r="E357" s="22" t="str">
        <f>IFERROR(__xludf.DUMMYFUNCTION("IF(F357="""","""",LEFT(ADDRESS(1,COUNTUNIQUE($F$6:F357),4)))"),"")</f>
        <v/>
      </c>
      <c r="F357" s="31"/>
      <c r="G357" s="32"/>
      <c r="H357" s="22" t="str">
        <f>IFERROR(__xludf.DUMMYFUNCTION("IF(I357="""","""",COUNTUNIQUE($I$6:I357))"),"")</f>
        <v/>
      </c>
      <c r="I357" s="31"/>
      <c r="J357" s="25" t="str">
        <f t="shared" si="2"/>
        <v/>
      </c>
      <c r="K357" s="26"/>
      <c r="L357" s="26"/>
      <c r="M357" s="26"/>
      <c r="N357" s="27"/>
    </row>
    <row r="358">
      <c r="A358" s="21" t="str">
        <f t="shared" si="1"/>
        <v/>
      </c>
      <c r="B358" s="22" t="str">
        <f>IFERROR(__xludf.DUMMYFUNCTION("IF(C358="""","""",ROMAN(COUNTUNIQUE($C$6:C358)))"),"")</f>
        <v/>
      </c>
      <c r="C358" s="31"/>
      <c r="D358" s="32"/>
      <c r="E358" s="22" t="str">
        <f>IFERROR(__xludf.DUMMYFUNCTION("IF(F358="""","""",LEFT(ADDRESS(1,COUNTUNIQUE($F$6:F358),4)))"),"")</f>
        <v/>
      </c>
      <c r="F358" s="31"/>
      <c r="G358" s="32"/>
      <c r="H358" s="22" t="str">
        <f>IFERROR(__xludf.DUMMYFUNCTION("IF(I358="""","""",COUNTUNIQUE($I$6:I358))"),"")</f>
        <v/>
      </c>
      <c r="I358" s="31"/>
      <c r="J358" s="25" t="str">
        <f t="shared" si="2"/>
        <v/>
      </c>
      <c r="K358" s="26"/>
      <c r="L358" s="26"/>
      <c r="M358" s="26"/>
      <c r="N358" s="27"/>
    </row>
    <row r="359">
      <c r="A359" s="21" t="str">
        <f t="shared" si="1"/>
        <v/>
      </c>
      <c r="B359" s="22" t="str">
        <f>IFERROR(__xludf.DUMMYFUNCTION("IF(C359="""","""",ROMAN(COUNTUNIQUE($C$6:C359)))"),"")</f>
        <v/>
      </c>
      <c r="C359" s="31"/>
      <c r="D359" s="32"/>
      <c r="E359" s="22" t="str">
        <f>IFERROR(__xludf.DUMMYFUNCTION("IF(F359="""","""",LEFT(ADDRESS(1,COUNTUNIQUE($F$6:F359),4)))"),"")</f>
        <v/>
      </c>
      <c r="F359" s="31"/>
      <c r="G359" s="32"/>
      <c r="H359" s="22" t="str">
        <f>IFERROR(__xludf.DUMMYFUNCTION("IF(I359="""","""",COUNTUNIQUE($I$6:I359))"),"")</f>
        <v/>
      </c>
      <c r="I359" s="31"/>
      <c r="J359" s="25" t="str">
        <f t="shared" si="2"/>
        <v/>
      </c>
      <c r="K359" s="26"/>
      <c r="L359" s="26"/>
      <c r="M359" s="26"/>
      <c r="N359" s="27"/>
    </row>
    <row r="360">
      <c r="A360" s="21" t="str">
        <f t="shared" si="1"/>
        <v/>
      </c>
      <c r="B360" s="22" t="str">
        <f>IFERROR(__xludf.DUMMYFUNCTION("IF(C360="""","""",ROMAN(COUNTUNIQUE($C$6:C360)))"),"")</f>
        <v/>
      </c>
      <c r="C360" s="31"/>
      <c r="D360" s="32"/>
      <c r="E360" s="22" t="str">
        <f>IFERROR(__xludf.DUMMYFUNCTION("IF(F360="""","""",LEFT(ADDRESS(1,COUNTUNIQUE($F$6:F360),4)))"),"")</f>
        <v/>
      </c>
      <c r="F360" s="31"/>
      <c r="G360" s="32"/>
      <c r="H360" s="22" t="str">
        <f>IFERROR(__xludf.DUMMYFUNCTION("IF(I360="""","""",COUNTUNIQUE($I$6:I360))"),"")</f>
        <v/>
      </c>
      <c r="I360" s="31"/>
      <c r="J360" s="25" t="str">
        <f t="shared" si="2"/>
        <v/>
      </c>
      <c r="K360" s="26"/>
      <c r="L360" s="26"/>
      <c r="M360" s="26"/>
      <c r="N360" s="27"/>
    </row>
    <row r="361">
      <c r="A361" s="21" t="str">
        <f t="shared" si="1"/>
        <v/>
      </c>
      <c r="B361" s="22" t="str">
        <f>IFERROR(__xludf.DUMMYFUNCTION("IF(C361="""","""",ROMAN(COUNTUNIQUE($C$6:C361)))"),"")</f>
        <v/>
      </c>
      <c r="C361" s="31"/>
      <c r="D361" s="32"/>
      <c r="E361" s="22" t="str">
        <f>IFERROR(__xludf.DUMMYFUNCTION("IF(F361="""","""",LEFT(ADDRESS(1,COUNTUNIQUE($F$6:F361),4)))"),"")</f>
        <v/>
      </c>
      <c r="F361" s="31"/>
      <c r="G361" s="32"/>
      <c r="H361" s="22" t="str">
        <f>IFERROR(__xludf.DUMMYFUNCTION("IF(I361="""","""",COUNTUNIQUE($I$6:I361))"),"")</f>
        <v/>
      </c>
      <c r="I361" s="31"/>
      <c r="J361" s="25" t="str">
        <f t="shared" si="2"/>
        <v/>
      </c>
      <c r="K361" s="26"/>
      <c r="L361" s="26"/>
      <c r="M361" s="26"/>
      <c r="N361" s="27"/>
    </row>
    <row r="362">
      <c r="A362" s="21" t="str">
        <f t="shared" si="1"/>
        <v/>
      </c>
      <c r="B362" s="22" t="str">
        <f>IFERROR(__xludf.DUMMYFUNCTION("IF(C362="""","""",ROMAN(COUNTUNIQUE($C$6:C362)))"),"")</f>
        <v/>
      </c>
      <c r="C362" s="31"/>
      <c r="D362" s="32"/>
      <c r="E362" s="22" t="str">
        <f>IFERROR(__xludf.DUMMYFUNCTION("IF(F362="""","""",LEFT(ADDRESS(1,COUNTUNIQUE($F$6:F362),4)))"),"")</f>
        <v/>
      </c>
      <c r="F362" s="31"/>
      <c r="G362" s="32"/>
      <c r="H362" s="22" t="str">
        <f>IFERROR(__xludf.DUMMYFUNCTION("IF(I362="""","""",COUNTUNIQUE($I$6:I362))"),"")</f>
        <v/>
      </c>
      <c r="I362" s="31"/>
      <c r="J362" s="25" t="str">
        <f t="shared" si="2"/>
        <v/>
      </c>
      <c r="K362" s="26"/>
      <c r="L362" s="26"/>
      <c r="M362" s="26"/>
      <c r="N362" s="27"/>
    </row>
    <row r="363">
      <c r="A363" s="21" t="str">
        <f t="shared" si="1"/>
        <v/>
      </c>
      <c r="B363" s="22" t="str">
        <f>IFERROR(__xludf.DUMMYFUNCTION("IF(C363="""","""",ROMAN(COUNTUNIQUE($C$6:C363)))"),"")</f>
        <v/>
      </c>
      <c r="C363" s="31"/>
      <c r="D363" s="32"/>
      <c r="E363" s="22" t="str">
        <f>IFERROR(__xludf.DUMMYFUNCTION("IF(F363="""","""",LEFT(ADDRESS(1,COUNTUNIQUE($F$6:F363),4)))"),"")</f>
        <v/>
      </c>
      <c r="F363" s="31"/>
      <c r="G363" s="32"/>
      <c r="H363" s="22" t="str">
        <f>IFERROR(__xludf.DUMMYFUNCTION("IF(I363="""","""",COUNTUNIQUE($I$6:I363))"),"")</f>
        <v/>
      </c>
      <c r="I363" s="31"/>
      <c r="J363" s="25" t="str">
        <f t="shared" si="2"/>
        <v/>
      </c>
      <c r="K363" s="26"/>
      <c r="L363" s="26"/>
      <c r="M363" s="26"/>
      <c r="N363" s="27"/>
    </row>
    <row r="364">
      <c r="A364" s="21" t="str">
        <f t="shared" si="1"/>
        <v/>
      </c>
      <c r="B364" s="22" t="str">
        <f>IFERROR(__xludf.DUMMYFUNCTION("IF(C364="""","""",ROMAN(COUNTUNIQUE($C$6:C364)))"),"")</f>
        <v/>
      </c>
      <c r="C364" s="31"/>
      <c r="D364" s="32"/>
      <c r="E364" s="22" t="str">
        <f>IFERROR(__xludf.DUMMYFUNCTION("IF(F364="""","""",LEFT(ADDRESS(1,COUNTUNIQUE($F$6:F364),4)))"),"")</f>
        <v/>
      </c>
      <c r="F364" s="31"/>
      <c r="G364" s="32"/>
      <c r="H364" s="22" t="str">
        <f>IFERROR(__xludf.DUMMYFUNCTION("IF(I364="""","""",COUNTUNIQUE($I$6:I364))"),"")</f>
        <v/>
      </c>
      <c r="I364" s="31"/>
      <c r="J364" s="25" t="str">
        <f t="shared" si="2"/>
        <v/>
      </c>
      <c r="K364" s="26"/>
      <c r="L364" s="26"/>
      <c r="M364" s="26"/>
      <c r="N364" s="27"/>
    </row>
    <row r="365">
      <c r="A365" s="21" t="str">
        <f t="shared" si="1"/>
        <v/>
      </c>
      <c r="B365" s="22" t="str">
        <f>IFERROR(__xludf.DUMMYFUNCTION("IF(C365="""","""",ROMAN(COUNTUNIQUE($C$6:C365)))"),"")</f>
        <v/>
      </c>
      <c r="C365" s="31"/>
      <c r="D365" s="32"/>
      <c r="E365" s="22" t="str">
        <f>IFERROR(__xludf.DUMMYFUNCTION("IF(F365="""","""",LEFT(ADDRESS(1,COUNTUNIQUE($F$6:F365),4)))"),"")</f>
        <v/>
      </c>
      <c r="F365" s="31"/>
      <c r="G365" s="32"/>
      <c r="H365" s="22" t="str">
        <f>IFERROR(__xludf.DUMMYFUNCTION("IF(I365="""","""",COUNTUNIQUE($I$6:I365))"),"")</f>
        <v/>
      </c>
      <c r="I365" s="31"/>
      <c r="J365" s="25" t="str">
        <f t="shared" si="2"/>
        <v/>
      </c>
      <c r="K365" s="26"/>
      <c r="L365" s="26"/>
      <c r="M365" s="26"/>
      <c r="N365" s="27"/>
    </row>
    <row r="366">
      <c r="A366" s="21" t="str">
        <f t="shared" si="1"/>
        <v/>
      </c>
      <c r="B366" s="22" t="str">
        <f>IFERROR(__xludf.DUMMYFUNCTION("IF(C366="""","""",ROMAN(COUNTUNIQUE($C$6:C366)))"),"")</f>
        <v/>
      </c>
      <c r="C366" s="31"/>
      <c r="D366" s="32"/>
      <c r="E366" s="22" t="str">
        <f>IFERROR(__xludf.DUMMYFUNCTION("IF(F366="""","""",LEFT(ADDRESS(1,COUNTUNIQUE($F$6:F366),4)))"),"")</f>
        <v/>
      </c>
      <c r="F366" s="31"/>
      <c r="G366" s="32"/>
      <c r="H366" s="22" t="str">
        <f>IFERROR(__xludf.DUMMYFUNCTION("IF(I366="""","""",COUNTUNIQUE($I$6:I366))"),"")</f>
        <v/>
      </c>
      <c r="I366" s="31"/>
      <c r="J366" s="25" t="str">
        <f t="shared" si="2"/>
        <v/>
      </c>
      <c r="K366" s="26"/>
      <c r="L366" s="26"/>
      <c r="M366" s="26"/>
      <c r="N366" s="27"/>
    </row>
    <row r="367">
      <c r="A367" s="21" t="str">
        <f t="shared" si="1"/>
        <v/>
      </c>
      <c r="B367" s="22" t="str">
        <f>IFERROR(__xludf.DUMMYFUNCTION("IF(C367="""","""",ROMAN(COUNTUNIQUE($C$6:C367)))"),"")</f>
        <v/>
      </c>
      <c r="C367" s="31"/>
      <c r="D367" s="32"/>
      <c r="E367" s="22" t="str">
        <f>IFERROR(__xludf.DUMMYFUNCTION("IF(F367="""","""",LEFT(ADDRESS(1,COUNTUNIQUE($F$6:F367),4)))"),"")</f>
        <v/>
      </c>
      <c r="F367" s="31"/>
      <c r="G367" s="32"/>
      <c r="H367" s="22" t="str">
        <f>IFERROR(__xludf.DUMMYFUNCTION("IF(I367="""","""",COUNTUNIQUE($I$6:I367))"),"")</f>
        <v/>
      </c>
      <c r="I367" s="31"/>
      <c r="J367" s="25" t="str">
        <f t="shared" si="2"/>
        <v/>
      </c>
      <c r="K367" s="26"/>
      <c r="L367" s="26"/>
      <c r="M367" s="26"/>
      <c r="N367" s="27"/>
    </row>
    <row r="368">
      <c r="A368" s="21" t="str">
        <f t="shared" si="1"/>
        <v/>
      </c>
      <c r="B368" s="22" t="str">
        <f>IFERROR(__xludf.DUMMYFUNCTION("IF(C368="""","""",ROMAN(COUNTUNIQUE($C$6:C368)))"),"")</f>
        <v/>
      </c>
      <c r="C368" s="31"/>
      <c r="D368" s="32"/>
      <c r="E368" s="22" t="str">
        <f>IFERROR(__xludf.DUMMYFUNCTION("IF(F368="""","""",LEFT(ADDRESS(1,COUNTUNIQUE($F$6:F368),4)))"),"")</f>
        <v/>
      </c>
      <c r="F368" s="31"/>
      <c r="G368" s="32"/>
      <c r="H368" s="22" t="str">
        <f>IFERROR(__xludf.DUMMYFUNCTION("IF(I368="""","""",COUNTUNIQUE($I$6:I368))"),"")</f>
        <v/>
      </c>
      <c r="I368" s="31"/>
      <c r="J368" s="25" t="str">
        <f t="shared" si="2"/>
        <v/>
      </c>
      <c r="K368" s="26"/>
      <c r="L368" s="26"/>
      <c r="M368" s="26"/>
      <c r="N368" s="27"/>
    </row>
    <row r="369">
      <c r="A369" s="21" t="str">
        <f t="shared" si="1"/>
        <v/>
      </c>
      <c r="B369" s="22" t="str">
        <f>IFERROR(__xludf.DUMMYFUNCTION("IF(C369="""","""",ROMAN(COUNTUNIQUE($C$6:C369)))"),"")</f>
        <v/>
      </c>
      <c r="C369" s="31"/>
      <c r="D369" s="32"/>
      <c r="E369" s="22" t="str">
        <f>IFERROR(__xludf.DUMMYFUNCTION("IF(F369="""","""",LEFT(ADDRESS(1,COUNTUNIQUE($F$6:F369),4)))"),"")</f>
        <v/>
      </c>
      <c r="F369" s="31"/>
      <c r="G369" s="32"/>
      <c r="H369" s="22" t="str">
        <f>IFERROR(__xludf.DUMMYFUNCTION("IF(I369="""","""",COUNTUNIQUE($I$6:I369))"),"")</f>
        <v/>
      </c>
      <c r="I369" s="31"/>
      <c r="J369" s="25" t="str">
        <f t="shared" si="2"/>
        <v/>
      </c>
      <c r="K369" s="26"/>
      <c r="L369" s="26"/>
      <c r="M369" s="26"/>
      <c r="N369" s="27"/>
    </row>
    <row r="370">
      <c r="A370" s="21" t="str">
        <f t="shared" si="1"/>
        <v/>
      </c>
      <c r="B370" s="22" t="str">
        <f>IFERROR(__xludf.DUMMYFUNCTION("IF(C370="""","""",ROMAN(COUNTUNIQUE($C$6:C370)))"),"")</f>
        <v/>
      </c>
      <c r="C370" s="31"/>
      <c r="D370" s="32"/>
      <c r="E370" s="22" t="str">
        <f>IFERROR(__xludf.DUMMYFUNCTION("IF(F370="""","""",LEFT(ADDRESS(1,COUNTUNIQUE($F$6:F370),4)))"),"")</f>
        <v/>
      </c>
      <c r="F370" s="31"/>
      <c r="G370" s="32"/>
      <c r="H370" s="22" t="str">
        <f>IFERROR(__xludf.DUMMYFUNCTION("IF(I370="""","""",COUNTUNIQUE($I$6:I370))"),"")</f>
        <v/>
      </c>
      <c r="I370" s="31"/>
      <c r="J370" s="25" t="str">
        <f t="shared" si="2"/>
        <v/>
      </c>
      <c r="K370" s="26"/>
      <c r="L370" s="26"/>
      <c r="M370" s="26"/>
      <c r="N370" s="27"/>
    </row>
    <row r="371">
      <c r="A371" s="21" t="str">
        <f t="shared" si="1"/>
        <v/>
      </c>
      <c r="B371" s="22" t="str">
        <f>IFERROR(__xludf.DUMMYFUNCTION("IF(C371="""","""",ROMAN(COUNTUNIQUE($C$6:C371)))"),"")</f>
        <v/>
      </c>
      <c r="C371" s="31"/>
      <c r="D371" s="32"/>
      <c r="E371" s="22" t="str">
        <f>IFERROR(__xludf.DUMMYFUNCTION("IF(F371="""","""",LEFT(ADDRESS(1,COUNTUNIQUE($F$6:F371),4)))"),"")</f>
        <v/>
      </c>
      <c r="F371" s="31"/>
      <c r="G371" s="32"/>
      <c r="H371" s="22" t="str">
        <f>IFERROR(__xludf.DUMMYFUNCTION("IF(I371="""","""",COUNTUNIQUE($I$6:I371))"),"")</f>
        <v/>
      </c>
      <c r="I371" s="31"/>
      <c r="J371" s="25" t="str">
        <f t="shared" si="2"/>
        <v/>
      </c>
      <c r="K371" s="26"/>
      <c r="L371" s="26"/>
      <c r="M371" s="26"/>
      <c r="N371" s="27"/>
    </row>
    <row r="372">
      <c r="A372" s="21" t="str">
        <f t="shared" si="1"/>
        <v/>
      </c>
      <c r="B372" s="22" t="str">
        <f>IFERROR(__xludf.DUMMYFUNCTION("IF(C372="""","""",ROMAN(COUNTUNIQUE($C$6:C372)))"),"")</f>
        <v/>
      </c>
      <c r="C372" s="31"/>
      <c r="D372" s="32"/>
      <c r="E372" s="22" t="str">
        <f>IFERROR(__xludf.DUMMYFUNCTION("IF(F372="""","""",LEFT(ADDRESS(1,COUNTUNIQUE($F$6:F372),4)))"),"")</f>
        <v/>
      </c>
      <c r="F372" s="31"/>
      <c r="G372" s="32"/>
      <c r="H372" s="22" t="str">
        <f>IFERROR(__xludf.DUMMYFUNCTION("IF(I372="""","""",COUNTUNIQUE($I$6:I372))"),"")</f>
        <v/>
      </c>
      <c r="I372" s="31"/>
      <c r="J372" s="25" t="str">
        <f t="shared" si="2"/>
        <v/>
      </c>
      <c r="K372" s="26"/>
      <c r="L372" s="26"/>
      <c r="M372" s="26"/>
      <c r="N372" s="27"/>
    </row>
    <row r="373">
      <c r="A373" s="21" t="str">
        <f t="shared" si="1"/>
        <v/>
      </c>
      <c r="B373" s="22" t="str">
        <f>IFERROR(__xludf.DUMMYFUNCTION("IF(C373="""","""",ROMAN(COUNTUNIQUE($C$6:C373)))"),"")</f>
        <v/>
      </c>
      <c r="C373" s="31"/>
      <c r="D373" s="32"/>
      <c r="E373" s="22" t="str">
        <f>IFERROR(__xludf.DUMMYFUNCTION("IF(F373="""","""",LEFT(ADDRESS(1,COUNTUNIQUE($F$6:F373),4)))"),"")</f>
        <v/>
      </c>
      <c r="F373" s="31"/>
      <c r="G373" s="32"/>
      <c r="H373" s="22" t="str">
        <f>IFERROR(__xludf.DUMMYFUNCTION("IF(I373="""","""",COUNTUNIQUE($I$6:I373))"),"")</f>
        <v/>
      </c>
      <c r="I373" s="31"/>
      <c r="J373" s="25" t="str">
        <f t="shared" si="2"/>
        <v/>
      </c>
      <c r="K373" s="26"/>
      <c r="L373" s="26"/>
      <c r="M373" s="26"/>
      <c r="N373" s="27"/>
    </row>
    <row r="374">
      <c r="A374" s="21" t="str">
        <f t="shared" si="1"/>
        <v/>
      </c>
      <c r="B374" s="22" t="str">
        <f>IFERROR(__xludf.DUMMYFUNCTION("IF(C374="""","""",ROMAN(COUNTUNIQUE($C$6:C374)))"),"")</f>
        <v/>
      </c>
      <c r="C374" s="31"/>
      <c r="D374" s="32"/>
      <c r="E374" s="22" t="str">
        <f>IFERROR(__xludf.DUMMYFUNCTION("IF(F374="""","""",LEFT(ADDRESS(1,COUNTUNIQUE($F$6:F374),4)))"),"")</f>
        <v/>
      </c>
      <c r="F374" s="31"/>
      <c r="G374" s="32"/>
      <c r="H374" s="22" t="str">
        <f>IFERROR(__xludf.DUMMYFUNCTION("IF(I374="""","""",COUNTUNIQUE($I$6:I374))"),"")</f>
        <v/>
      </c>
      <c r="I374" s="31"/>
      <c r="J374" s="25" t="str">
        <f t="shared" si="2"/>
        <v/>
      </c>
      <c r="K374" s="26"/>
      <c r="L374" s="26"/>
      <c r="M374" s="26"/>
      <c r="N374" s="27"/>
    </row>
    <row r="375">
      <c r="A375" s="21" t="str">
        <f t="shared" si="1"/>
        <v/>
      </c>
      <c r="B375" s="22" t="str">
        <f>IFERROR(__xludf.DUMMYFUNCTION("IF(C375="""","""",ROMAN(COUNTUNIQUE($C$6:C375)))"),"")</f>
        <v/>
      </c>
      <c r="C375" s="31"/>
      <c r="D375" s="32"/>
      <c r="E375" s="22" t="str">
        <f>IFERROR(__xludf.DUMMYFUNCTION("IF(F375="""","""",LEFT(ADDRESS(1,COUNTUNIQUE($F$6:F375),4)))"),"")</f>
        <v/>
      </c>
      <c r="F375" s="31"/>
      <c r="G375" s="32"/>
      <c r="H375" s="22" t="str">
        <f>IFERROR(__xludf.DUMMYFUNCTION("IF(I375="""","""",COUNTUNIQUE($I$6:I375))"),"")</f>
        <v/>
      </c>
      <c r="I375" s="31"/>
      <c r="J375" s="25" t="str">
        <f t="shared" si="2"/>
        <v/>
      </c>
      <c r="K375" s="26"/>
      <c r="L375" s="26"/>
      <c r="M375" s="26"/>
      <c r="N375" s="27"/>
    </row>
    <row r="376">
      <c r="A376" s="21" t="str">
        <f t="shared" si="1"/>
        <v/>
      </c>
      <c r="B376" s="22" t="str">
        <f>IFERROR(__xludf.DUMMYFUNCTION("IF(C376="""","""",ROMAN(COUNTUNIQUE($C$6:C376)))"),"")</f>
        <v/>
      </c>
      <c r="C376" s="31"/>
      <c r="D376" s="32"/>
      <c r="E376" s="22" t="str">
        <f>IFERROR(__xludf.DUMMYFUNCTION("IF(F376="""","""",LEFT(ADDRESS(1,COUNTUNIQUE($F$6:F376),4)))"),"")</f>
        <v/>
      </c>
      <c r="F376" s="31"/>
      <c r="G376" s="32"/>
      <c r="H376" s="22" t="str">
        <f>IFERROR(__xludf.DUMMYFUNCTION("IF(I376="""","""",COUNTUNIQUE($I$6:I376))"),"")</f>
        <v/>
      </c>
      <c r="I376" s="31"/>
      <c r="J376" s="25" t="str">
        <f t="shared" si="2"/>
        <v/>
      </c>
      <c r="K376" s="26"/>
      <c r="L376" s="26"/>
      <c r="M376" s="26"/>
      <c r="N376" s="27"/>
    </row>
    <row r="377">
      <c r="A377" s="21" t="str">
        <f t="shared" si="1"/>
        <v/>
      </c>
      <c r="B377" s="22" t="str">
        <f>IFERROR(__xludf.DUMMYFUNCTION("IF(C377="""","""",ROMAN(COUNTUNIQUE($C$6:C377)))"),"")</f>
        <v/>
      </c>
      <c r="C377" s="31"/>
      <c r="D377" s="32"/>
      <c r="E377" s="22" t="str">
        <f>IFERROR(__xludf.DUMMYFUNCTION("IF(F377="""","""",LEFT(ADDRESS(1,COUNTUNIQUE($F$6:F377),4)))"),"")</f>
        <v/>
      </c>
      <c r="F377" s="31"/>
      <c r="G377" s="32"/>
      <c r="H377" s="22" t="str">
        <f>IFERROR(__xludf.DUMMYFUNCTION("IF(I377="""","""",COUNTUNIQUE($I$6:I377))"),"")</f>
        <v/>
      </c>
      <c r="I377" s="31"/>
      <c r="J377" s="25" t="str">
        <f t="shared" si="2"/>
        <v/>
      </c>
      <c r="K377" s="26"/>
      <c r="L377" s="26"/>
      <c r="M377" s="26"/>
      <c r="N377" s="27"/>
    </row>
    <row r="378">
      <c r="A378" s="21" t="str">
        <f t="shared" si="1"/>
        <v/>
      </c>
      <c r="B378" s="22" t="str">
        <f>IFERROR(__xludf.DUMMYFUNCTION("IF(C378="""","""",ROMAN(COUNTUNIQUE($C$6:C378)))"),"")</f>
        <v/>
      </c>
      <c r="C378" s="31"/>
      <c r="D378" s="32"/>
      <c r="E378" s="22" t="str">
        <f>IFERROR(__xludf.DUMMYFUNCTION("IF(F378="""","""",LEFT(ADDRESS(1,COUNTUNIQUE($F$6:F378),4)))"),"")</f>
        <v/>
      </c>
      <c r="F378" s="31"/>
      <c r="G378" s="32"/>
      <c r="H378" s="22" t="str">
        <f>IFERROR(__xludf.DUMMYFUNCTION("IF(I378="""","""",COUNTUNIQUE($I$6:I378))"),"")</f>
        <v/>
      </c>
      <c r="I378" s="31"/>
      <c r="J378" s="25" t="str">
        <f t="shared" si="2"/>
        <v/>
      </c>
      <c r="K378" s="26"/>
      <c r="L378" s="26"/>
      <c r="M378" s="26"/>
      <c r="N378" s="27"/>
    </row>
    <row r="379">
      <c r="A379" s="21" t="str">
        <f t="shared" si="1"/>
        <v/>
      </c>
      <c r="B379" s="22" t="str">
        <f>IFERROR(__xludf.DUMMYFUNCTION("IF(C379="""","""",ROMAN(COUNTUNIQUE($C$6:C379)))"),"")</f>
        <v/>
      </c>
      <c r="C379" s="31"/>
      <c r="D379" s="32"/>
      <c r="E379" s="22" t="str">
        <f>IFERROR(__xludf.DUMMYFUNCTION("IF(F379="""","""",LEFT(ADDRESS(1,COUNTUNIQUE($F$6:F379),4)))"),"")</f>
        <v/>
      </c>
      <c r="F379" s="31"/>
      <c r="G379" s="32"/>
      <c r="H379" s="22" t="str">
        <f>IFERROR(__xludf.DUMMYFUNCTION("IF(I379="""","""",COUNTUNIQUE($I$6:I379))"),"")</f>
        <v/>
      </c>
      <c r="I379" s="31"/>
      <c r="J379" s="25" t="str">
        <f t="shared" si="2"/>
        <v/>
      </c>
      <c r="K379" s="26"/>
      <c r="L379" s="26"/>
      <c r="M379" s="26"/>
      <c r="N379" s="27"/>
    </row>
    <row r="380">
      <c r="A380" s="21" t="str">
        <f t="shared" si="1"/>
        <v/>
      </c>
      <c r="B380" s="22" t="str">
        <f>IFERROR(__xludf.DUMMYFUNCTION("IF(C380="""","""",ROMAN(COUNTUNIQUE($C$6:C380)))"),"")</f>
        <v/>
      </c>
      <c r="C380" s="31"/>
      <c r="D380" s="32"/>
      <c r="E380" s="22" t="str">
        <f>IFERROR(__xludf.DUMMYFUNCTION("IF(F380="""","""",LEFT(ADDRESS(1,COUNTUNIQUE($F$6:F380),4)))"),"")</f>
        <v/>
      </c>
      <c r="F380" s="31"/>
      <c r="G380" s="32"/>
      <c r="H380" s="22" t="str">
        <f>IFERROR(__xludf.DUMMYFUNCTION("IF(I380="""","""",COUNTUNIQUE($I$6:I380))"),"")</f>
        <v/>
      </c>
      <c r="I380" s="31"/>
      <c r="J380" s="25" t="str">
        <f t="shared" si="2"/>
        <v/>
      </c>
      <c r="K380" s="26"/>
      <c r="L380" s="26"/>
      <c r="M380" s="26"/>
      <c r="N380" s="27"/>
    </row>
    <row r="381">
      <c r="A381" s="21" t="str">
        <f t="shared" si="1"/>
        <v/>
      </c>
      <c r="B381" s="22" t="str">
        <f>IFERROR(__xludf.DUMMYFUNCTION("IF(C381="""","""",ROMAN(COUNTUNIQUE($C$6:C381)))"),"")</f>
        <v/>
      </c>
      <c r="C381" s="31"/>
      <c r="D381" s="32"/>
      <c r="E381" s="22" t="str">
        <f>IFERROR(__xludf.DUMMYFUNCTION("IF(F381="""","""",LEFT(ADDRESS(1,COUNTUNIQUE($F$6:F381),4)))"),"")</f>
        <v/>
      </c>
      <c r="F381" s="31"/>
      <c r="G381" s="32"/>
      <c r="H381" s="22" t="str">
        <f>IFERROR(__xludf.DUMMYFUNCTION("IF(I381="""","""",COUNTUNIQUE($I$6:I381))"),"")</f>
        <v/>
      </c>
      <c r="I381" s="31"/>
      <c r="J381" s="25" t="str">
        <f t="shared" si="2"/>
        <v/>
      </c>
      <c r="K381" s="26"/>
      <c r="L381" s="26"/>
      <c r="M381" s="26"/>
      <c r="N381" s="27"/>
    </row>
    <row r="382">
      <c r="A382" s="21" t="str">
        <f t="shared" si="1"/>
        <v/>
      </c>
      <c r="B382" s="22" t="str">
        <f>IFERROR(__xludf.DUMMYFUNCTION("IF(C382="""","""",ROMAN(COUNTUNIQUE($C$6:C382)))"),"")</f>
        <v/>
      </c>
      <c r="C382" s="31"/>
      <c r="D382" s="32"/>
      <c r="E382" s="22" t="str">
        <f>IFERROR(__xludf.DUMMYFUNCTION("IF(F382="""","""",LEFT(ADDRESS(1,COUNTUNIQUE($F$6:F382),4)))"),"")</f>
        <v/>
      </c>
      <c r="F382" s="31"/>
      <c r="G382" s="32"/>
      <c r="H382" s="22" t="str">
        <f>IFERROR(__xludf.DUMMYFUNCTION("IF(I382="""","""",COUNTUNIQUE($I$6:I382))"),"")</f>
        <v/>
      </c>
      <c r="I382" s="31"/>
      <c r="J382" s="25" t="str">
        <f t="shared" si="2"/>
        <v/>
      </c>
      <c r="K382" s="26"/>
      <c r="L382" s="26"/>
      <c r="M382" s="26"/>
      <c r="N382" s="27"/>
    </row>
    <row r="383">
      <c r="A383" s="21" t="str">
        <f t="shared" si="1"/>
        <v/>
      </c>
      <c r="B383" s="22" t="str">
        <f>IFERROR(__xludf.DUMMYFUNCTION("IF(C383="""","""",ROMAN(COUNTUNIQUE($C$6:C383)))"),"")</f>
        <v/>
      </c>
      <c r="C383" s="31"/>
      <c r="D383" s="32"/>
      <c r="E383" s="22" t="str">
        <f>IFERROR(__xludf.DUMMYFUNCTION("IF(F383="""","""",LEFT(ADDRESS(1,COUNTUNIQUE($F$6:F383),4)))"),"")</f>
        <v/>
      </c>
      <c r="F383" s="31"/>
      <c r="G383" s="32"/>
      <c r="H383" s="22" t="str">
        <f>IFERROR(__xludf.DUMMYFUNCTION("IF(I383="""","""",COUNTUNIQUE($I$6:I383))"),"")</f>
        <v/>
      </c>
      <c r="I383" s="31"/>
      <c r="J383" s="25" t="str">
        <f t="shared" si="2"/>
        <v/>
      </c>
      <c r="K383" s="26"/>
      <c r="L383" s="26"/>
      <c r="M383" s="26"/>
      <c r="N383" s="27"/>
    </row>
    <row r="384">
      <c r="A384" s="21" t="str">
        <f t="shared" si="1"/>
        <v/>
      </c>
      <c r="B384" s="22" t="str">
        <f>IFERROR(__xludf.DUMMYFUNCTION("IF(C384="""","""",ROMAN(COUNTUNIQUE($C$6:C384)))"),"")</f>
        <v/>
      </c>
      <c r="C384" s="31"/>
      <c r="D384" s="32"/>
      <c r="E384" s="22" t="str">
        <f>IFERROR(__xludf.DUMMYFUNCTION("IF(F384="""","""",LEFT(ADDRESS(1,COUNTUNIQUE($F$6:F384),4)))"),"")</f>
        <v/>
      </c>
      <c r="F384" s="31"/>
      <c r="G384" s="32"/>
      <c r="H384" s="22" t="str">
        <f>IFERROR(__xludf.DUMMYFUNCTION("IF(I384="""","""",COUNTUNIQUE($I$6:I384))"),"")</f>
        <v/>
      </c>
      <c r="I384" s="31"/>
      <c r="J384" s="25" t="str">
        <f t="shared" si="2"/>
        <v/>
      </c>
      <c r="K384" s="26"/>
      <c r="L384" s="26"/>
      <c r="M384" s="26"/>
      <c r="N384" s="27"/>
    </row>
    <row r="385">
      <c r="A385" s="21" t="str">
        <f t="shared" si="1"/>
        <v/>
      </c>
      <c r="B385" s="22" t="str">
        <f>IFERROR(__xludf.DUMMYFUNCTION("IF(C385="""","""",ROMAN(COUNTUNIQUE($C$6:C385)))"),"")</f>
        <v/>
      </c>
      <c r="C385" s="31"/>
      <c r="D385" s="32"/>
      <c r="E385" s="22" t="str">
        <f>IFERROR(__xludf.DUMMYFUNCTION("IF(F385="""","""",LEFT(ADDRESS(1,COUNTUNIQUE($F$6:F385),4)))"),"")</f>
        <v/>
      </c>
      <c r="F385" s="31"/>
      <c r="G385" s="32"/>
      <c r="H385" s="22" t="str">
        <f>IFERROR(__xludf.DUMMYFUNCTION("IF(I385="""","""",COUNTUNIQUE($I$6:I385))"),"")</f>
        <v/>
      </c>
      <c r="I385" s="31"/>
      <c r="J385" s="25" t="str">
        <f t="shared" si="2"/>
        <v/>
      </c>
      <c r="K385" s="26"/>
      <c r="L385" s="26"/>
      <c r="M385" s="26"/>
      <c r="N385" s="27"/>
    </row>
    <row r="386">
      <c r="A386" s="21" t="str">
        <f t="shared" si="1"/>
        <v/>
      </c>
      <c r="B386" s="22" t="str">
        <f>IFERROR(__xludf.DUMMYFUNCTION("IF(C386="""","""",ROMAN(COUNTUNIQUE($C$6:C386)))"),"")</f>
        <v/>
      </c>
      <c r="C386" s="31"/>
      <c r="D386" s="32"/>
      <c r="E386" s="22" t="str">
        <f>IFERROR(__xludf.DUMMYFUNCTION("IF(F386="""","""",LEFT(ADDRESS(1,COUNTUNIQUE($F$6:F386),4)))"),"")</f>
        <v/>
      </c>
      <c r="F386" s="31"/>
      <c r="G386" s="32"/>
      <c r="H386" s="22" t="str">
        <f>IFERROR(__xludf.DUMMYFUNCTION("IF(I386="""","""",COUNTUNIQUE($I$6:I386))"),"")</f>
        <v/>
      </c>
      <c r="I386" s="31"/>
      <c r="J386" s="25" t="str">
        <f t="shared" si="2"/>
        <v/>
      </c>
      <c r="K386" s="26"/>
      <c r="L386" s="26"/>
      <c r="M386" s="26"/>
      <c r="N386" s="27"/>
    </row>
    <row r="387">
      <c r="A387" s="21" t="str">
        <f t="shared" si="1"/>
        <v/>
      </c>
      <c r="B387" s="22" t="str">
        <f>IFERROR(__xludf.DUMMYFUNCTION("IF(C387="""","""",ROMAN(COUNTUNIQUE($C$6:C387)))"),"")</f>
        <v/>
      </c>
      <c r="C387" s="31"/>
      <c r="D387" s="32"/>
      <c r="E387" s="22" t="str">
        <f>IFERROR(__xludf.DUMMYFUNCTION("IF(F387="""","""",LEFT(ADDRESS(1,COUNTUNIQUE($F$6:F387),4)))"),"")</f>
        <v/>
      </c>
      <c r="F387" s="31"/>
      <c r="G387" s="32"/>
      <c r="H387" s="22" t="str">
        <f>IFERROR(__xludf.DUMMYFUNCTION("IF(I387="""","""",COUNTUNIQUE($I$6:I387))"),"")</f>
        <v/>
      </c>
      <c r="I387" s="31"/>
      <c r="J387" s="25" t="str">
        <f t="shared" si="2"/>
        <v/>
      </c>
      <c r="K387" s="26"/>
      <c r="L387" s="26"/>
      <c r="M387" s="26"/>
      <c r="N387" s="27"/>
    </row>
    <row r="388">
      <c r="A388" s="21" t="str">
        <f t="shared" si="1"/>
        <v/>
      </c>
      <c r="B388" s="22" t="str">
        <f>IFERROR(__xludf.DUMMYFUNCTION("IF(C388="""","""",ROMAN(COUNTUNIQUE($C$6:C388)))"),"")</f>
        <v/>
      </c>
      <c r="C388" s="31"/>
      <c r="D388" s="32"/>
      <c r="E388" s="22" t="str">
        <f>IFERROR(__xludf.DUMMYFUNCTION("IF(F388="""","""",LEFT(ADDRESS(1,COUNTUNIQUE($F$6:F388),4)))"),"")</f>
        <v/>
      </c>
      <c r="F388" s="31"/>
      <c r="G388" s="32"/>
      <c r="H388" s="22" t="str">
        <f>IFERROR(__xludf.DUMMYFUNCTION("IF(I388="""","""",COUNTUNIQUE($I$6:I388))"),"")</f>
        <v/>
      </c>
      <c r="I388" s="31"/>
      <c r="J388" s="25" t="str">
        <f t="shared" si="2"/>
        <v/>
      </c>
      <c r="K388" s="26"/>
      <c r="L388" s="26"/>
      <c r="M388" s="26"/>
      <c r="N388" s="27"/>
    </row>
    <row r="389">
      <c r="A389" s="21" t="str">
        <f t="shared" si="1"/>
        <v/>
      </c>
      <c r="B389" s="22" t="str">
        <f>IFERROR(__xludf.DUMMYFUNCTION("IF(C389="""","""",ROMAN(COUNTUNIQUE($C$6:C389)))"),"")</f>
        <v/>
      </c>
      <c r="C389" s="31"/>
      <c r="D389" s="32"/>
      <c r="E389" s="22" t="str">
        <f>IFERROR(__xludf.DUMMYFUNCTION("IF(F389="""","""",LEFT(ADDRESS(1,COUNTUNIQUE($F$6:F389),4)))"),"")</f>
        <v/>
      </c>
      <c r="F389" s="31"/>
      <c r="G389" s="32"/>
      <c r="H389" s="22" t="str">
        <f>IFERROR(__xludf.DUMMYFUNCTION("IF(I389="""","""",COUNTUNIQUE($I$6:I389))"),"")</f>
        <v/>
      </c>
      <c r="I389" s="31"/>
      <c r="J389" s="25" t="str">
        <f t="shared" si="2"/>
        <v/>
      </c>
      <c r="K389" s="26"/>
      <c r="L389" s="26"/>
      <c r="M389" s="26"/>
      <c r="N389" s="27"/>
    </row>
    <row r="390">
      <c r="A390" s="21" t="str">
        <f t="shared" si="1"/>
        <v/>
      </c>
      <c r="B390" s="22" t="str">
        <f>IFERROR(__xludf.DUMMYFUNCTION("IF(C390="""","""",ROMAN(COUNTUNIQUE($C$6:C390)))"),"")</f>
        <v/>
      </c>
      <c r="C390" s="31"/>
      <c r="D390" s="32"/>
      <c r="E390" s="22" t="str">
        <f>IFERROR(__xludf.DUMMYFUNCTION("IF(F390="""","""",LEFT(ADDRESS(1,COUNTUNIQUE($F$6:F390),4)))"),"")</f>
        <v/>
      </c>
      <c r="F390" s="31"/>
      <c r="G390" s="32"/>
      <c r="H390" s="22" t="str">
        <f>IFERROR(__xludf.DUMMYFUNCTION("IF(I390="""","""",COUNTUNIQUE($I$6:I390))"),"")</f>
        <v/>
      </c>
      <c r="I390" s="31"/>
      <c r="J390" s="25" t="str">
        <f t="shared" si="2"/>
        <v/>
      </c>
      <c r="K390" s="26"/>
      <c r="L390" s="26"/>
      <c r="M390" s="26"/>
      <c r="N390" s="27"/>
    </row>
    <row r="391">
      <c r="A391" s="21" t="str">
        <f t="shared" si="1"/>
        <v/>
      </c>
      <c r="B391" s="22" t="str">
        <f>IFERROR(__xludf.DUMMYFUNCTION("IF(C391="""","""",ROMAN(COUNTUNIQUE($C$6:C391)))"),"")</f>
        <v/>
      </c>
      <c r="C391" s="31"/>
      <c r="D391" s="32"/>
      <c r="E391" s="22" t="str">
        <f>IFERROR(__xludf.DUMMYFUNCTION("IF(F391="""","""",LEFT(ADDRESS(1,COUNTUNIQUE($F$6:F391),4)))"),"")</f>
        <v/>
      </c>
      <c r="F391" s="31"/>
      <c r="G391" s="32"/>
      <c r="H391" s="22" t="str">
        <f>IFERROR(__xludf.DUMMYFUNCTION("IF(I391="""","""",COUNTUNIQUE($I$6:I391))"),"")</f>
        <v/>
      </c>
      <c r="I391" s="31"/>
      <c r="J391" s="25" t="str">
        <f t="shared" si="2"/>
        <v/>
      </c>
      <c r="K391" s="26"/>
      <c r="L391" s="26"/>
      <c r="M391" s="26"/>
      <c r="N391" s="27"/>
    </row>
    <row r="392">
      <c r="A392" s="21" t="str">
        <f t="shared" si="1"/>
        <v/>
      </c>
      <c r="B392" s="22" t="str">
        <f>IFERROR(__xludf.DUMMYFUNCTION("IF(C392="""","""",ROMAN(COUNTUNIQUE($C$6:C392)))"),"")</f>
        <v/>
      </c>
      <c r="C392" s="31"/>
      <c r="D392" s="32"/>
      <c r="E392" s="22" t="str">
        <f>IFERROR(__xludf.DUMMYFUNCTION("IF(F392="""","""",LEFT(ADDRESS(1,COUNTUNIQUE($F$6:F392),4)))"),"")</f>
        <v/>
      </c>
      <c r="F392" s="31"/>
      <c r="G392" s="32"/>
      <c r="H392" s="22" t="str">
        <f>IFERROR(__xludf.DUMMYFUNCTION("IF(I392="""","""",COUNTUNIQUE($I$6:I392))"),"")</f>
        <v/>
      </c>
      <c r="I392" s="31"/>
      <c r="J392" s="25" t="str">
        <f t="shared" si="2"/>
        <v/>
      </c>
      <c r="K392" s="26"/>
      <c r="L392" s="26"/>
      <c r="M392" s="26"/>
      <c r="N392" s="27"/>
    </row>
    <row r="393">
      <c r="A393" s="21" t="str">
        <f t="shared" si="1"/>
        <v/>
      </c>
      <c r="B393" s="22" t="str">
        <f>IFERROR(__xludf.DUMMYFUNCTION("IF(C393="""","""",ROMAN(COUNTUNIQUE($C$6:C393)))"),"")</f>
        <v/>
      </c>
      <c r="C393" s="31"/>
      <c r="D393" s="32"/>
      <c r="E393" s="22" t="str">
        <f>IFERROR(__xludf.DUMMYFUNCTION("IF(F393="""","""",LEFT(ADDRESS(1,COUNTUNIQUE($F$6:F393),4)))"),"")</f>
        <v/>
      </c>
      <c r="F393" s="31"/>
      <c r="G393" s="32"/>
      <c r="H393" s="22" t="str">
        <f>IFERROR(__xludf.DUMMYFUNCTION("IF(I393="""","""",COUNTUNIQUE($I$6:I393))"),"")</f>
        <v/>
      </c>
      <c r="I393" s="31"/>
      <c r="J393" s="25" t="str">
        <f t="shared" si="2"/>
        <v/>
      </c>
      <c r="K393" s="26"/>
      <c r="L393" s="26"/>
      <c r="M393" s="26"/>
      <c r="N393" s="27"/>
    </row>
    <row r="394">
      <c r="A394" s="21" t="str">
        <f t="shared" si="1"/>
        <v/>
      </c>
      <c r="B394" s="22" t="str">
        <f>IFERROR(__xludf.DUMMYFUNCTION("IF(C394="""","""",ROMAN(COUNTUNIQUE($C$6:C394)))"),"")</f>
        <v/>
      </c>
      <c r="C394" s="31"/>
      <c r="D394" s="32"/>
      <c r="E394" s="22" t="str">
        <f>IFERROR(__xludf.DUMMYFUNCTION("IF(F394="""","""",LEFT(ADDRESS(1,COUNTUNIQUE($F$6:F394),4)))"),"")</f>
        <v/>
      </c>
      <c r="F394" s="31"/>
      <c r="G394" s="32"/>
      <c r="H394" s="22" t="str">
        <f>IFERROR(__xludf.DUMMYFUNCTION("IF(I394="""","""",COUNTUNIQUE($I$6:I394))"),"")</f>
        <v/>
      </c>
      <c r="I394" s="31"/>
      <c r="J394" s="25" t="str">
        <f t="shared" si="2"/>
        <v/>
      </c>
      <c r="K394" s="26"/>
      <c r="L394" s="26"/>
      <c r="M394" s="26"/>
      <c r="N394" s="27"/>
    </row>
    <row r="395">
      <c r="A395" s="21" t="str">
        <f t="shared" si="1"/>
        <v/>
      </c>
      <c r="B395" s="22" t="str">
        <f>IFERROR(__xludf.DUMMYFUNCTION("IF(C395="""","""",ROMAN(COUNTUNIQUE($C$6:C395)))"),"")</f>
        <v/>
      </c>
      <c r="C395" s="31"/>
      <c r="D395" s="32"/>
      <c r="E395" s="22" t="str">
        <f>IFERROR(__xludf.DUMMYFUNCTION("IF(F395="""","""",LEFT(ADDRESS(1,COUNTUNIQUE($F$6:F395),4)))"),"")</f>
        <v/>
      </c>
      <c r="F395" s="31"/>
      <c r="G395" s="32"/>
      <c r="H395" s="22" t="str">
        <f>IFERROR(__xludf.DUMMYFUNCTION("IF(I395="""","""",COUNTUNIQUE($I$6:I395))"),"")</f>
        <v/>
      </c>
      <c r="I395" s="31"/>
      <c r="J395" s="25" t="str">
        <f t="shared" si="2"/>
        <v/>
      </c>
      <c r="K395" s="26"/>
      <c r="L395" s="26"/>
      <c r="M395" s="26"/>
      <c r="N395" s="27"/>
    </row>
    <row r="396">
      <c r="A396" s="21" t="str">
        <f t="shared" si="1"/>
        <v/>
      </c>
      <c r="B396" s="22" t="str">
        <f>IFERROR(__xludf.DUMMYFUNCTION("IF(C396="""","""",ROMAN(COUNTUNIQUE($C$6:C396)))"),"")</f>
        <v/>
      </c>
      <c r="C396" s="31"/>
      <c r="D396" s="32"/>
      <c r="E396" s="22" t="str">
        <f>IFERROR(__xludf.DUMMYFUNCTION("IF(F396="""","""",LEFT(ADDRESS(1,COUNTUNIQUE($F$6:F396),4)))"),"")</f>
        <v/>
      </c>
      <c r="F396" s="31"/>
      <c r="G396" s="32"/>
      <c r="H396" s="22" t="str">
        <f>IFERROR(__xludf.DUMMYFUNCTION("IF(I396="""","""",COUNTUNIQUE($I$6:I396))"),"")</f>
        <v/>
      </c>
      <c r="I396" s="31"/>
      <c r="J396" s="25" t="str">
        <f t="shared" si="2"/>
        <v/>
      </c>
      <c r="K396" s="26"/>
      <c r="L396" s="26"/>
      <c r="M396" s="26"/>
      <c r="N396" s="27"/>
    </row>
    <row r="397">
      <c r="A397" s="21" t="str">
        <f t="shared" si="1"/>
        <v/>
      </c>
      <c r="B397" s="22" t="str">
        <f>IFERROR(__xludf.DUMMYFUNCTION("IF(C397="""","""",ROMAN(COUNTUNIQUE($C$6:C397)))"),"")</f>
        <v/>
      </c>
      <c r="C397" s="31"/>
      <c r="D397" s="32"/>
      <c r="E397" s="22" t="str">
        <f>IFERROR(__xludf.DUMMYFUNCTION("IF(F397="""","""",LEFT(ADDRESS(1,COUNTUNIQUE($F$6:F397),4)))"),"")</f>
        <v/>
      </c>
      <c r="F397" s="31"/>
      <c r="G397" s="32"/>
      <c r="H397" s="22" t="str">
        <f>IFERROR(__xludf.DUMMYFUNCTION("IF(I397="""","""",COUNTUNIQUE($I$6:I397))"),"")</f>
        <v/>
      </c>
      <c r="I397" s="31"/>
      <c r="J397" s="25" t="str">
        <f t="shared" si="2"/>
        <v/>
      </c>
      <c r="K397" s="26"/>
      <c r="L397" s="26"/>
      <c r="M397" s="26"/>
      <c r="N397" s="27"/>
    </row>
    <row r="398">
      <c r="A398" s="21" t="str">
        <f t="shared" si="1"/>
        <v/>
      </c>
      <c r="B398" s="22" t="str">
        <f>IFERROR(__xludf.DUMMYFUNCTION("IF(C398="""","""",ROMAN(COUNTUNIQUE($C$6:C398)))"),"")</f>
        <v/>
      </c>
      <c r="C398" s="31"/>
      <c r="D398" s="32"/>
      <c r="E398" s="22" t="str">
        <f>IFERROR(__xludf.DUMMYFUNCTION("IF(F398="""","""",LEFT(ADDRESS(1,COUNTUNIQUE($F$6:F398),4)))"),"")</f>
        <v/>
      </c>
      <c r="F398" s="31"/>
      <c r="G398" s="32"/>
      <c r="H398" s="22" t="str">
        <f>IFERROR(__xludf.DUMMYFUNCTION("IF(I398="""","""",COUNTUNIQUE($I$6:I398))"),"")</f>
        <v/>
      </c>
      <c r="I398" s="31"/>
      <c r="J398" s="25" t="str">
        <f t="shared" si="2"/>
        <v/>
      </c>
      <c r="K398" s="26"/>
      <c r="L398" s="26"/>
      <c r="M398" s="26"/>
      <c r="N398" s="27"/>
    </row>
    <row r="399">
      <c r="A399" s="21" t="str">
        <f t="shared" si="1"/>
        <v/>
      </c>
      <c r="B399" s="22" t="str">
        <f>IFERROR(__xludf.DUMMYFUNCTION("IF(C399="""","""",ROMAN(COUNTUNIQUE($C$6:C399)))"),"")</f>
        <v/>
      </c>
      <c r="C399" s="31"/>
      <c r="D399" s="32"/>
      <c r="E399" s="22" t="str">
        <f>IFERROR(__xludf.DUMMYFUNCTION("IF(F399="""","""",LEFT(ADDRESS(1,COUNTUNIQUE($F$6:F399),4)))"),"")</f>
        <v/>
      </c>
      <c r="F399" s="31"/>
      <c r="G399" s="32"/>
      <c r="H399" s="22" t="str">
        <f>IFERROR(__xludf.DUMMYFUNCTION("IF(I399="""","""",COUNTUNIQUE($I$6:I399))"),"")</f>
        <v/>
      </c>
      <c r="I399" s="31"/>
      <c r="J399" s="25" t="str">
        <f t="shared" si="2"/>
        <v/>
      </c>
      <c r="K399" s="26"/>
      <c r="L399" s="26"/>
      <c r="M399" s="26"/>
      <c r="N399" s="27"/>
    </row>
    <row r="400">
      <c r="A400" s="21" t="str">
        <f t="shared" si="1"/>
        <v/>
      </c>
      <c r="B400" s="22" t="str">
        <f>IFERROR(__xludf.DUMMYFUNCTION("IF(C400="""","""",ROMAN(COUNTUNIQUE($C$6:C400)))"),"")</f>
        <v/>
      </c>
      <c r="C400" s="31"/>
      <c r="D400" s="32"/>
      <c r="E400" s="22" t="str">
        <f>IFERROR(__xludf.DUMMYFUNCTION("IF(F400="""","""",LEFT(ADDRESS(1,COUNTUNIQUE($F$6:F400),4)))"),"")</f>
        <v/>
      </c>
      <c r="F400" s="31"/>
      <c r="G400" s="32"/>
      <c r="H400" s="22" t="str">
        <f>IFERROR(__xludf.DUMMYFUNCTION("IF(I400="""","""",COUNTUNIQUE($I$6:I400))"),"")</f>
        <v/>
      </c>
      <c r="I400" s="31"/>
      <c r="J400" s="25" t="str">
        <f t="shared" si="2"/>
        <v/>
      </c>
      <c r="K400" s="26"/>
      <c r="L400" s="26"/>
      <c r="M400" s="26"/>
      <c r="N400" s="27"/>
    </row>
    <row r="401">
      <c r="A401" s="21" t="str">
        <f t="shared" si="1"/>
        <v/>
      </c>
      <c r="B401" s="22" t="str">
        <f>IFERROR(__xludf.DUMMYFUNCTION("IF(C401="""","""",ROMAN(COUNTUNIQUE($C$6:C401)))"),"")</f>
        <v/>
      </c>
      <c r="C401" s="31"/>
      <c r="D401" s="32"/>
      <c r="E401" s="22" t="str">
        <f>IFERROR(__xludf.DUMMYFUNCTION("IF(F401="""","""",LEFT(ADDRESS(1,COUNTUNIQUE($F$6:F401),4)))"),"")</f>
        <v/>
      </c>
      <c r="F401" s="31"/>
      <c r="G401" s="32"/>
      <c r="H401" s="22" t="str">
        <f>IFERROR(__xludf.DUMMYFUNCTION("IF(I401="""","""",COUNTUNIQUE($I$6:I401))"),"")</f>
        <v/>
      </c>
      <c r="I401" s="31"/>
      <c r="J401" s="25" t="str">
        <f t="shared" si="2"/>
        <v/>
      </c>
      <c r="K401" s="26"/>
      <c r="L401" s="26"/>
      <c r="M401" s="26"/>
      <c r="N401" s="27"/>
    </row>
    <row r="402">
      <c r="A402" s="21" t="str">
        <f t="shared" si="1"/>
        <v/>
      </c>
      <c r="B402" s="22" t="str">
        <f>IFERROR(__xludf.DUMMYFUNCTION("IF(C402="""","""",ROMAN(COUNTUNIQUE($C$6:C402)))"),"")</f>
        <v/>
      </c>
      <c r="C402" s="31"/>
      <c r="D402" s="32"/>
      <c r="E402" s="22" t="str">
        <f>IFERROR(__xludf.DUMMYFUNCTION("IF(F402="""","""",LEFT(ADDRESS(1,COUNTUNIQUE($F$6:F402),4)))"),"")</f>
        <v/>
      </c>
      <c r="F402" s="31"/>
      <c r="G402" s="32"/>
      <c r="H402" s="22" t="str">
        <f>IFERROR(__xludf.DUMMYFUNCTION("IF(I402="""","""",COUNTUNIQUE($I$6:I402))"),"")</f>
        <v/>
      </c>
      <c r="I402" s="31"/>
      <c r="J402" s="25" t="str">
        <f t="shared" si="2"/>
        <v/>
      </c>
      <c r="K402" s="26"/>
      <c r="L402" s="26"/>
      <c r="M402" s="26"/>
      <c r="N402" s="27"/>
    </row>
    <row r="403">
      <c r="A403" s="21" t="str">
        <f t="shared" si="1"/>
        <v/>
      </c>
      <c r="B403" s="22" t="str">
        <f>IFERROR(__xludf.DUMMYFUNCTION("IF(C403="""","""",ROMAN(COUNTUNIQUE($C$6:C403)))"),"")</f>
        <v/>
      </c>
      <c r="C403" s="31"/>
      <c r="D403" s="32"/>
      <c r="E403" s="22" t="str">
        <f>IFERROR(__xludf.DUMMYFUNCTION("IF(F403="""","""",LEFT(ADDRESS(1,COUNTUNIQUE($F$6:F403),4)))"),"")</f>
        <v/>
      </c>
      <c r="F403" s="31"/>
      <c r="G403" s="32"/>
      <c r="H403" s="22" t="str">
        <f>IFERROR(__xludf.DUMMYFUNCTION("IF(I403="""","""",COUNTUNIQUE($I$6:I403))"),"")</f>
        <v/>
      </c>
      <c r="I403" s="31"/>
      <c r="J403" s="25" t="str">
        <f t="shared" si="2"/>
        <v/>
      </c>
      <c r="K403" s="26"/>
      <c r="L403" s="26"/>
      <c r="M403" s="26"/>
      <c r="N403" s="27"/>
    </row>
    <row r="404">
      <c r="A404" s="21" t="str">
        <f t="shared" si="1"/>
        <v/>
      </c>
      <c r="B404" s="22" t="str">
        <f>IFERROR(__xludf.DUMMYFUNCTION("IF(C404="""","""",ROMAN(COUNTUNIQUE($C$6:C404)))"),"")</f>
        <v/>
      </c>
      <c r="C404" s="31"/>
      <c r="D404" s="32"/>
      <c r="E404" s="22" t="str">
        <f>IFERROR(__xludf.DUMMYFUNCTION("IF(F404="""","""",LEFT(ADDRESS(1,COUNTUNIQUE($F$6:F404),4)))"),"")</f>
        <v/>
      </c>
      <c r="F404" s="31"/>
      <c r="G404" s="32"/>
      <c r="H404" s="22" t="str">
        <f>IFERROR(__xludf.DUMMYFUNCTION("IF(I404="""","""",COUNTUNIQUE($I$6:I404))"),"")</f>
        <v/>
      </c>
      <c r="I404" s="31"/>
      <c r="J404" s="25" t="str">
        <f t="shared" si="2"/>
        <v/>
      </c>
      <c r="K404" s="26"/>
      <c r="L404" s="26"/>
      <c r="M404" s="26"/>
      <c r="N404" s="27"/>
    </row>
    <row r="405">
      <c r="A405" s="21" t="str">
        <f t="shared" si="1"/>
        <v/>
      </c>
      <c r="B405" s="22" t="str">
        <f>IFERROR(__xludf.DUMMYFUNCTION("IF(C405="""","""",ROMAN(COUNTUNIQUE($C$6:C405)))"),"")</f>
        <v/>
      </c>
      <c r="C405" s="31"/>
      <c r="D405" s="32"/>
      <c r="E405" s="22" t="str">
        <f>IFERROR(__xludf.DUMMYFUNCTION("IF(F405="""","""",LEFT(ADDRESS(1,COUNTUNIQUE($F$6:F405),4)))"),"")</f>
        <v/>
      </c>
      <c r="F405" s="31"/>
      <c r="G405" s="32"/>
      <c r="H405" s="22" t="str">
        <f>IFERROR(__xludf.DUMMYFUNCTION("IF(I405="""","""",COUNTUNIQUE($I$6:I405))"),"")</f>
        <v/>
      </c>
      <c r="I405" s="31"/>
      <c r="J405" s="25" t="str">
        <f t="shared" si="2"/>
        <v/>
      </c>
      <c r="K405" s="26"/>
      <c r="L405" s="26"/>
      <c r="M405" s="26"/>
      <c r="N405" s="27"/>
    </row>
    <row r="406">
      <c r="A406" s="21" t="str">
        <f t="shared" si="1"/>
        <v/>
      </c>
      <c r="B406" s="22" t="str">
        <f>IFERROR(__xludf.DUMMYFUNCTION("IF(C406="""","""",ROMAN(COUNTUNIQUE($C$6:C406)))"),"")</f>
        <v/>
      </c>
      <c r="C406" s="31"/>
      <c r="D406" s="32"/>
      <c r="E406" s="22" t="str">
        <f>IFERROR(__xludf.DUMMYFUNCTION("IF(F406="""","""",LEFT(ADDRESS(1,COUNTUNIQUE($F$6:F406),4)))"),"")</f>
        <v/>
      </c>
      <c r="F406" s="31"/>
      <c r="G406" s="32"/>
      <c r="H406" s="22" t="str">
        <f>IFERROR(__xludf.DUMMYFUNCTION("IF(I406="""","""",COUNTUNIQUE($I$6:I406))"),"")</f>
        <v/>
      </c>
      <c r="I406" s="31"/>
      <c r="J406" s="25" t="str">
        <f t="shared" si="2"/>
        <v/>
      </c>
      <c r="K406" s="26"/>
      <c r="L406" s="26"/>
      <c r="M406" s="26"/>
      <c r="N406" s="27"/>
    </row>
    <row r="407">
      <c r="A407" s="21" t="str">
        <f t="shared" si="1"/>
        <v/>
      </c>
      <c r="B407" s="22" t="str">
        <f>IFERROR(__xludf.DUMMYFUNCTION("IF(C407="""","""",ROMAN(COUNTUNIQUE($C$6:C407)))"),"")</f>
        <v/>
      </c>
      <c r="C407" s="31"/>
      <c r="D407" s="32"/>
      <c r="E407" s="22" t="str">
        <f>IFERROR(__xludf.DUMMYFUNCTION("IF(F407="""","""",LEFT(ADDRESS(1,COUNTUNIQUE($F$6:F407),4)))"),"")</f>
        <v/>
      </c>
      <c r="F407" s="31"/>
      <c r="G407" s="32"/>
      <c r="H407" s="22" t="str">
        <f>IFERROR(__xludf.DUMMYFUNCTION("IF(I407="""","""",COUNTUNIQUE($I$6:I407))"),"")</f>
        <v/>
      </c>
      <c r="I407" s="31"/>
      <c r="J407" s="25" t="str">
        <f t="shared" si="2"/>
        <v/>
      </c>
      <c r="K407" s="26"/>
      <c r="L407" s="26"/>
      <c r="M407" s="26"/>
      <c r="N407" s="27"/>
    </row>
    <row r="408">
      <c r="A408" s="21" t="str">
        <f t="shared" si="1"/>
        <v/>
      </c>
      <c r="B408" s="22" t="str">
        <f>IFERROR(__xludf.DUMMYFUNCTION("IF(C408="""","""",ROMAN(COUNTUNIQUE($C$6:C408)))"),"")</f>
        <v/>
      </c>
      <c r="C408" s="31"/>
      <c r="D408" s="32"/>
      <c r="E408" s="22" t="str">
        <f>IFERROR(__xludf.DUMMYFUNCTION("IF(F408="""","""",LEFT(ADDRESS(1,COUNTUNIQUE($F$6:F408),4)))"),"")</f>
        <v/>
      </c>
      <c r="F408" s="31"/>
      <c r="G408" s="32"/>
      <c r="H408" s="22" t="str">
        <f>IFERROR(__xludf.DUMMYFUNCTION("IF(I408="""","""",COUNTUNIQUE($I$6:I408))"),"")</f>
        <v/>
      </c>
      <c r="I408" s="31"/>
      <c r="J408" s="25" t="str">
        <f t="shared" si="2"/>
        <v/>
      </c>
      <c r="K408" s="26"/>
      <c r="L408" s="26"/>
      <c r="M408" s="26"/>
      <c r="N408" s="27"/>
    </row>
    <row r="409">
      <c r="A409" s="21" t="str">
        <f t="shared" si="1"/>
        <v/>
      </c>
      <c r="B409" s="22" t="str">
        <f>IFERROR(__xludf.DUMMYFUNCTION("IF(C409="""","""",ROMAN(COUNTUNIQUE($C$6:C409)))"),"")</f>
        <v/>
      </c>
      <c r="C409" s="31"/>
      <c r="D409" s="32"/>
      <c r="E409" s="22" t="str">
        <f>IFERROR(__xludf.DUMMYFUNCTION("IF(F409="""","""",LEFT(ADDRESS(1,COUNTUNIQUE($F$6:F409),4)))"),"")</f>
        <v/>
      </c>
      <c r="F409" s="31"/>
      <c r="G409" s="32"/>
      <c r="H409" s="22" t="str">
        <f>IFERROR(__xludf.DUMMYFUNCTION("IF(I409="""","""",COUNTUNIQUE($I$6:I409))"),"")</f>
        <v/>
      </c>
      <c r="I409" s="31"/>
      <c r="J409" s="25" t="str">
        <f t="shared" si="2"/>
        <v/>
      </c>
      <c r="K409" s="26"/>
      <c r="L409" s="26"/>
      <c r="M409" s="26"/>
      <c r="N409" s="27"/>
    </row>
    <row r="410">
      <c r="A410" s="21" t="str">
        <f t="shared" si="1"/>
        <v/>
      </c>
      <c r="B410" s="22" t="str">
        <f>IFERROR(__xludf.DUMMYFUNCTION("IF(C410="""","""",ROMAN(COUNTUNIQUE($C$6:C410)))"),"")</f>
        <v/>
      </c>
      <c r="C410" s="31"/>
      <c r="D410" s="32"/>
      <c r="E410" s="22" t="str">
        <f>IFERROR(__xludf.DUMMYFUNCTION("IF(F410="""","""",LEFT(ADDRESS(1,COUNTUNIQUE($F$6:F410),4)))"),"")</f>
        <v/>
      </c>
      <c r="F410" s="31"/>
      <c r="G410" s="32"/>
      <c r="H410" s="22" t="str">
        <f>IFERROR(__xludf.DUMMYFUNCTION("IF(I410="""","""",COUNTUNIQUE($I$6:I410))"),"")</f>
        <v/>
      </c>
      <c r="I410" s="31"/>
      <c r="J410" s="25" t="str">
        <f t="shared" si="2"/>
        <v/>
      </c>
      <c r="K410" s="26"/>
      <c r="L410" s="26"/>
      <c r="M410" s="26"/>
      <c r="N410" s="27"/>
    </row>
  </sheetData>
  <mergeCells count="13">
    <mergeCell ref="F4:F5"/>
    <mergeCell ref="G4:G5"/>
    <mergeCell ref="H4:H5"/>
    <mergeCell ref="I4:I5"/>
    <mergeCell ref="J4:J5"/>
    <mergeCell ref="K4:N4"/>
    <mergeCell ref="B1:G1"/>
    <mergeCell ref="K1:N1"/>
    <mergeCell ref="A4:A5"/>
    <mergeCell ref="B4:B5"/>
    <mergeCell ref="C4:C5"/>
    <mergeCell ref="D4:D5"/>
    <mergeCell ref="E4:E5"/>
  </mergeCells>
  <dataValidations>
    <dataValidation type="list" allowBlank="1" showDropDown="1" showInputMessage="1" showErrorMessage="1" prompt="Select from the options below." sqref="I2">
      <formula1>$I$6:$I$410</formula1>
    </dataValidation>
  </dataValidations>
  <drawing r:id="rId1"/>
</worksheet>
</file>