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v 1" sheetId="1" r:id="rId4"/>
    <sheet state="visible" name="Obsv 2" sheetId="2" r:id="rId5"/>
    <sheet state="visible" name="Tests 1" sheetId="3" r:id="rId6"/>
    <sheet state="visible" name="Tests 2" sheetId="4" r:id="rId7"/>
    <sheet state="visible" name="Tests 3" sheetId="5" r:id="rId8"/>
    <sheet state="visible" name="Tests 4" sheetId="6" r:id="rId9"/>
    <sheet state="visible" name="Test 5" sheetId="7" r:id="rId10"/>
    <sheet state="visible" name="Solve 1" sheetId="8" r:id="rId11"/>
    <sheet state="visible" name="Solve 2" sheetId="9" r:id="rId12"/>
    <sheet state="visible" name="Solve 3" sheetId="10" r:id="rId13"/>
    <sheet state="visible" name="Solve 4" sheetId="11" r:id="rId14"/>
    <sheet state="visible" name="Rough 1" sheetId="12" r:id="rId15"/>
    <sheet state="visible" name="Rough 2" sheetId="13" r:id="rId16"/>
  </sheets>
  <definedNames>
    <definedName name="Table1">#REF!</definedName>
  </definedNames>
  <calcPr/>
</workbook>
</file>

<file path=xl/sharedStrings.xml><?xml version="1.0" encoding="utf-8"?>
<sst xmlns="http://schemas.openxmlformats.org/spreadsheetml/2006/main" count="975" uniqueCount="348">
  <si>
    <t>WHAT DO YOU SEE?</t>
  </si>
  <si>
    <t>IMAGE CODE</t>
  </si>
  <si>
    <t>SPLIT-JOIN Fn.</t>
  </si>
  <si>
    <t>User selects observations and enters test results. Final evaluator (CPU) directs flow based on Total Score (Σ).</t>
  </si>
  <si>
    <t>Cause 1</t>
  </si>
  <si>
    <t>Cause 2</t>
  </si>
  <si>
    <t>Cause 3</t>
  </si>
  <si>
    <t>Cause 4</t>
  </si>
  <si>
    <t>Cause 5</t>
  </si>
  <si>
    <t>Cause 6</t>
  </si>
  <si>
    <t>Cause 7</t>
  </si>
  <si>
    <t>Cause 8</t>
  </si>
  <si>
    <t>Cause 9</t>
  </si>
  <si>
    <t>Cause 10</t>
  </si>
  <si>
    <t>Cause 11</t>
  </si>
  <si>
    <t>Cause 12</t>
  </si>
  <si>
    <t>Cause 13</t>
  </si>
  <si>
    <t>Cause 14</t>
  </si>
  <si>
    <t>Cause 15</t>
  </si>
  <si>
    <t>Cause 16</t>
  </si>
  <si>
    <t>Cause 17</t>
  </si>
  <si>
    <t>Cause 18</t>
  </si>
  <si>
    <t>Cause 19</t>
  </si>
  <si>
    <t>Cause 20</t>
  </si>
  <si>
    <t>Cause 21</t>
  </si>
  <si>
    <t>Cause 22</t>
  </si>
  <si>
    <t>Cause 23</t>
  </si>
  <si>
    <t>Cause 24</t>
  </si>
  <si>
    <t>Cause 25</t>
  </si>
  <si>
    <t>Cause 26</t>
  </si>
  <si>
    <t>Cause 27</t>
  </si>
  <si>
    <t>Cause 28</t>
  </si>
  <si>
    <t>Cause 29</t>
  </si>
  <si>
    <t>Cause 30</t>
  </si>
  <si>
    <t>Cause 31</t>
  </si>
  <si>
    <t>Cause 32</t>
  </si>
  <si>
    <t>Cause 33</t>
  </si>
  <si>
    <t>Cause 34</t>
  </si>
  <si>
    <t>Cause 35</t>
  </si>
  <si>
    <t>Cause 36</t>
  </si>
  <si>
    <t>Cause 37</t>
  </si>
  <si>
    <t>Cause 38</t>
  </si>
  <si>
    <t>Cause 39</t>
  </si>
  <si>
    <t>Cause 40</t>
  </si>
  <si>
    <t>Cause 41</t>
  </si>
  <si>
    <t>Cause 42</t>
  </si>
  <si>
    <t>Cause 43</t>
  </si>
  <si>
    <t>CLOUDY WATER : Effluent looks cloudy or turbid, carrying suspended solids over the weirs.</t>
  </si>
  <si>
    <t>SLUDGE, ISOLATED : Islands or localized clouds of sludge solids rising in some ares of the clarifier (BLANKET WASHOUT)</t>
  </si>
  <si>
    <t>SLUDGE, WIDESPREAD : Clouds of billowing sludge rising and present throughtout the clarifier. (BULKING)</t>
  </si>
  <si>
    <t>SLUDGE, CLUMPS : Sludge clumping to sizes as large as golf balls or basketballs, rising and spreading everywhere on clarifier surface. Bubbles on clarifier surface.</t>
  </si>
  <si>
    <t>ASHING : Small particles like ash or pumice, float on the clarifier surface.</t>
  </si>
  <si>
    <t>POP-UPs : Light Brown / Brown, Solids fall under Scum Baffle, then rise again.</t>
  </si>
  <si>
    <t>POP-UPs : Very Dark / Black-ish</t>
  </si>
  <si>
    <t>BUBBLES : Behind rake arm, scum baffles, clarifier edges. Especially during peak loading.</t>
  </si>
  <si>
    <t>SOUND : Popping Sound when bubbles hosed down.</t>
  </si>
  <si>
    <t>ODOR : Strong smell of rotten eggs or rotten cabbages.</t>
  </si>
  <si>
    <t xml:space="preserve">COLOR : Very Dark / Black-ish color of sludge or effluent. </t>
  </si>
  <si>
    <t>OIL &amp; GREASE : Excess Fats, Oils or Grease (FOGs) on the Clarifier Surface.</t>
  </si>
  <si>
    <r>
      <rPr>
        <rFont val="Arial"/>
        <color theme="1"/>
      </rPr>
      <t xml:space="preserve">FOAM / SCUM : </t>
    </r>
    <r>
      <rPr>
        <rFont val="Arial"/>
        <color theme="1"/>
      </rPr>
      <t>White / Gray</t>
    </r>
    <r>
      <rPr>
        <rFont val="Arial"/>
        <color theme="1"/>
      </rPr>
      <t>, Stiff &amp; Billowy, Rainbow reflection in sunlight</t>
    </r>
  </si>
  <si>
    <r>
      <rPr>
        <rFont val="Arial"/>
        <color theme="1"/>
      </rPr>
      <t xml:space="preserve">FOAM / SCUM : </t>
    </r>
    <r>
      <rPr>
        <rFont val="Arial"/>
        <color theme="1"/>
      </rPr>
      <t>White / Gray</t>
    </r>
    <r>
      <rPr>
        <rFont val="Arial"/>
        <color theme="1"/>
      </rPr>
      <t>, Thin &amp; Frothy, Crisp, Soap-suds like</t>
    </r>
  </si>
  <si>
    <r>
      <rPr>
        <rFont val="Arial"/>
        <color theme="1"/>
      </rPr>
      <t xml:space="preserve">FOAM / SCUM : </t>
    </r>
    <r>
      <rPr>
        <rFont val="Arial"/>
        <color theme="1"/>
      </rPr>
      <t>White /</t>
    </r>
    <r>
      <rPr>
        <rFont val="Arial"/>
        <color theme="1"/>
      </rPr>
      <t xml:space="preserve"> </t>
    </r>
    <r>
      <rPr>
        <rFont val="Arial"/>
        <color theme="1"/>
      </rPr>
      <t>Grey</t>
    </r>
    <r>
      <rPr>
        <rFont val="Arial"/>
        <color theme="1"/>
      </rPr>
      <t>, Viscous / Slimy / Pasty / Greasy</t>
    </r>
  </si>
  <si>
    <t>FOAM / SCUM : Brown / Dark Tan, Thick, Stable, Shiny, Greasy</t>
  </si>
  <si>
    <r>
      <rPr>
        <rFont val="Arial"/>
        <color theme="1"/>
      </rPr>
      <t xml:space="preserve">FOAM / SCUM : </t>
    </r>
    <r>
      <rPr>
        <rFont val="Arial"/>
        <color theme="1"/>
      </rPr>
      <t>Blackish / Very Dark</t>
    </r>
    <r>
      <rPr>
        <rFont val="Arial"/>
        <color theme="1"/>
      </rPr>
      <t>, Thick</t>
    </r>
  </si>
  <si>
    <t>FLOCS : Pin Flocs, Dark, Tiny, Pinpointed, extend throughout clarifier with little islands of sludge on the surface, discharging over weirs.</t>
  </si>
  <si>
    <t>FLOCS : Stragglers, Large / Small, Fluffy, Light particles</t>
  </si>
  <si>
    <t>FLOCS : Dispersed Cells, Very Tiny</t>
  </si>
  <si>
    <t>MECHANICS : RAS Mechanism / Rake Arm / Scraper / Skimmer moving slowly or abnormally</t>
  </si>
  <si>
    <t>TURBULENCE : Excess Turbulence on Clarifier Surface</t>
  </si>
  <si>
    <t>RAINSTORM : Current or recent rain event causing solids to wash off</t>
  </si>
  <si>
    <t>WIND : Current or recent strong winds causing solids to wash off</t>
  </si>
  <si>
    <t>BACK</t>
  </si>
  <si>
    <t>TOTAL &gt;</t>
  </si>
  <si>
    <t>NEXT</t>
  </si>
  <si>
    <t>PRIORITY &gt;</t>
  </si>
  <si>
    <r>
      <rPr>
        <rFont val="Arial"/>
        <color theme="1"/>
      </rPr>
      <t xml:space="preserve">FOAM / SCUM : </t>
    </r>
    <r>
      <rPr>
        <rFont val="Arial"/>
        <color theme="1"/>
      </rPr>
      <t>White / Gray</t>
    </r>
    <r>
      <rPr>
        <rFont val="Arial"/>
        <color theme="1"/>
      </rPr>
      <t>, Stiff &amp; Billowy, Rainbow reflection in sunlight</t>
    </r>
  </si>
  <si>
    <r>
      <rPr>
        <rFont val="Arial"/>
        <color theme="1"/>
      </rPr>
      <t xml:space="preserve">FOAM / SCUM : </t>
    </r>
    <r>
      <rPr>
        <rFont val="Arial"/>
        <color theme="1"/>
      </rPr>
      <t>White / Gray</t>
    </r>
    <r>
      <rPr>
        <rFont val="Arial"/>
        <color theme="1"/>
      </rPr>
      <t>, Thin &amp; Frothy, Crisp, Soap-suds like</t>
    </r>
  </si>
  <si>
    <r>
      <rPr>
        <rFont val="Arial"/>
        <color theme="1"/>
      </rPr>
      <t xml:space="preserve">FOAM / SCUM : </t>
    </r>
    <r>
      <rPr>
        <rFont val="Arial"/>
        <color theme="1"/>
      </rPr>
      <t>White /</t>
    </r>
    <r>
      <rPr>
        <rFont val="Arial"/>
        <color theme="1"/>
      </rPr>
      <t xml:space="preserve"> </t>
    </r>
    <r>
      <rPr>
        <rFont val="Arial"/>
        <color theme="1"/>
      </rPr>
      <t>Grey</t>
    </r>
    <r>
      <rPr>
        <rFont val="Arial"/>
        <color theme="1"/>
      </rPr>
      <t>, Viscous / Slimy / Pasty / Greasy</t>
    </r>
  </si>
  <si>
    <r>
      <rPr>
        <rFont val="Arial"/>
        <color theme="1"/>
      </rPr>
      <t xml:space="preserve">FOAM / SCUM : </t>
    </r>
    <r>
      <rPr>
        <rFont val="Arial"/>
        <color theme="1"/>
      </rPr>
      <t>Blackish / Very Dark</t>
    </r>
    <r>
      <rPr>
        <rFont val="Arial"/>
        <color theme="1"/>
      </rPr>
      <t>, Thick</t>
    </r>
  </si>
  <si>
    <t>CODE :</t>
  </si>
  <si>
    <t>#</t>
  </si>
  <si>
    <t>CAUSE</t>
  </si>
  <si>
    <t>CODE</t>
  </si>
  <si>
    <r>
      <rPr>
        <rFont val="Arial"/>
        <b/>
        <color theme="1"/>
        <sz val="11.0"/>
      </rPr>
      <t xml:space="preserve">TESTS </t>
    </r>
    <r>
      <rPr>
        <rFont val="Arial"/>
        <b val="0"/>
        <color theme="1"/>
        <sz val="11.0"/>
      </rPr>
      <t>(Purpose : To further confirm causes behind observations)</t>
    </r>
  </si>
  <si>
    <t>Denitrification</t>
  </si>
  <si>
    <t>DN</t>
  </si>
  <si>
    <t>Test for Nitrate</t>
  </si>
  <si>
    <t>ORP measurement</t>
  </si>
  <si>
    <t>DO measurement</t>
  </si>
  <si>
    <t>Settleometer Test</t>
  </si>
  <si>
    <t>pH measurement</t>
  </si>
  <si>
    <t>Alkalinity measurement</t>
  </si>
  <si>
    <t>BOD5 measurement</t>
  </si>
  <si>
    <t>Septicity</t>
  </si>
  <si>
    <t>SP</t>
  </si>
  <si>
    <t>Test for Organic Acids</t>
  </si>
  <si>
    <t>Test for H2S</t>
  </si>
  <si>
    <t>Microscopic Evaluation</t>
  </si>
  <si>
    <t>Equipment Malfunction</t>
  </si>
  <si>
    <t>EQ</t>
  </si>
  <si>
    <t>Excess FOGs</t>
  </si>
  <si>
    <t>OG</t>
  </si>
  <si>
    <t>Grease analysis - EPA 1664A</t>
  </si>
  <si>
    <t>Dispersed Growth</t>
  </si>
  <si>
    <t>DP</t>
  </si>
  <si>
    <t>SOUR / OUR</t>
  </si>
  <si>
    <t>Hydraulic Overload</t>
  </si>
  <si>
    <t>HO</t>
  </si>
  <si>
    <t>Filamentous Bulking</t>
  </si>
  <si>
    <t>FB</t>
  </si>
  <si>
    <t>Non-Filamentous Bulking</t>
  </si>
  <si>
    <t>SB</t>
  </si>
  <si>
    <t>Short-Circuiting</t>
  </si>
  <si>
    <t>SC</t>
  </si>
  <si>
    <t>Settleometer test</t>
  </si>
  <si>
    <t>Temperature measurement</t>
  </si>
  <si>
    <t>Organic Overload</t>
  </si>
  <si>
    <t>OO</t>
  </si>
  <si>
    <t>Core Sampler (Sludge Judge)</t>
  </si>
  <si>
    <t>Low RAS flow</t>
  </si>
  <si>
    <t>RS</t>
  </si>
  <si>
    <t>Low Polymer Dosing</t>
  </si>
  <si>
    <t>PD</t>
  </si>
  <si>
    <t>High Chlorine Dosing</t>
  </si>
  <si>
    <t>CD</t>
  </si>
  <si>
    <t>Influent Changes</t>
  </si>
  <si>
    <t>IF</t>
  </si>
  <si>
    <t>Very low F:M</t>
  </si>
  <si>
    <t>FM</t>
  </si>
  <si>
    <t>BOD5 &amp; TSS measurement</t>
  </si>
  <si>
    <t>Very High MCRT</t>
  </si>
  <si>
    <t>SA</t>
  </si>
  <si>
    <t>Sludge Dewatering Inefficiency</t>
  </si>
  <si>
    <t>SW</t>
  </si>
  <si>
    <t>TSS measurement</t>
  </si>
  <si>
    <t>Overaeration</t>
  </si>
  <si>
    <t>OA</t>
  </si>
  <si>
    <t>Low DO</t>
  </si>
  <si>
    <t>DO</t>
  </si>
  <si>
    <t>Toxic upset</t>
  </si>
  <si>
    <t>TX</t>
  </si>
  <si>
    <t>High Influent COD</t>
  </si>
  <si>
    <t>OD</t>
  </si>
  <si>
    <t>Process Startup</t>
  </si>
  <si>
    <t>PS</t>
  </si>
  <si>
    <t>Abnormal pH</t>
  </si>
  <si>
    <t>PH</t>
  </si>
  <si>
    <t>Abnormal Temperature</t>
  </si>
  <si>
    <t>TM</t>
  </si>
  <si>
    <t>Low Coagulant Dosing</t>
  </si>
  <si>
    <t>CG</t>
  </si>
  <si>
    <t>High H2O2 Dosing</t>
  </si>
  <si>
    <t>HD</t>
  </si>
  <si>
    <t>Foam - White/ Grey/ Thick</t>
  </si>
  <si>
    <t>WH</t>
  </si>
  <si>
    <t>Foam - White/ Grey/ Thin</t>
  </si>
  <si>
    <t>WN</t>
  </si>
  <si>
    <t>Foam - White/ Grey/ Slimy</t>
  </si>
  <si>
    <t>WP</t>
  </si>
  <si>
    <t>India Ink Test</t>
  </si>
  <si>
    <t>Anthrone Test</t>
  </si>
  <si>
    <t>Foam - Brown/ Dark/ Thick</t>
  </si>
  <si>
    <t>BH</t>
  </si>
  <si>
    <t>Foam - Black/ Very Dark/ Thick</t>
  </si>
  <si>
    <t>BL</t>
  </si>
  <si>
    <t>Pin Flocs</t>
  </si>
  <si>
    <t>PF</t>
  </si>
  <si>
    <t>Straggler Flocs</t>
  </si>
  <si>
    <t>SF</t>
  </si>
  <si>
    <t>Rain</t>
  </si>
  <si>
    <t>RN</t>
  </si>
  <si>
    <t>Wind</t>
  </si>
  <si>
    <t>WD</t>
  </si>
  <si>
    <t>TEST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</si>
  <si>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</si>
  <si>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</si>
  <si>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</si>
  <si>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</si>
  <si>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</si>
  <si>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</si>
  <si>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</si>
  <si>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</si>
  <si>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</si>
  <si>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</si>
  <si>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</si>
  <si>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</si>
  <si>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</si>
  <si>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</si>
  <si>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</si>
  <si>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</si>
  <si>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</si>
  <si>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</si>
  <si>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JOIN</t>
  </si>
  <si>
    <t>TEST CODES</t>
  </si>
  <si>
    <t>CAUSE CODE</t>
  </si>
  <si>
    <t>SPLIT</t>
  </si>
  <si>
    <t>Here is a list of tests recommended, based on your inputs.</t>
  </si>
  <si>
    <t>Do you perform the following tests? Answer Yes / No</t>
  </si>
  <si>
    <t>Recommended Test</t>
  </si>
  <si>
    <t>Do you do this test?</t>
  </si>
  <si>
    <t>LOGIC jumps to 'TESTING' module</t>
  </si>
  <si>
    <t>Test to Include</t>
  </si>
  <si>
    <t>Test Sequence</t>
  </si>
  <si>
    <t>Yes</t>
  </si>
  <si>
    <r>
      <rPr>
        <rFont val="Arial"/>
        <b/>
        <color theme="1"/>
        <sz val="11.0"/>
      </rPr>
      <t xml:space="preserve">TROUBLESHOOTING </t>
    </r>
    <r>
      <rPr>
        <rFont val="Arial"/>
        <b val="0"/>
        <color theme="1"/>
        <sz val="11.0"/>
      </rPr>
      <t>(Rationale)</t>
    </r>
  </si>
  <si>
    <t>Data : pH, Temp, NH3-N dosing, HLR, OLR, HRT, SDT (AB), SOR, WOR, SLR, HRT, SDT (SC), SRT, MCRT, RAS, WAS - Typical</t>
  </si>
  <si>
    <t>Too much Nitrate</t>
  </si>
  <si>
    <t>Too much time, so increase RAS, WAS</t>
  </si>
  <si>
    <t>Too little oxygen</t>
  </si>
  <si>
    <t>Too much carbon</t>
  </si>
  <si>
    <r>
      <rPr>
        <rFont val="Arial"/>
        <b/>
        <color theme="1"/>
        <sz val="11.0"/>
      </rPr>
      <t xml:space="preserve">TROUBLESHOOTING </t>
    </r>
    <r>
      <rPr>
        <rFont val="Arial"/>
        <b val="0"/>
        <color theme="1"/>
        <sz val="11.0"/>
      </rPr>
      <t>(Solutions)</t>
    </r>
  </si>
  <si>
    <t>Hydraulics : Distribute Flow</t>
  </si>
  <si>
    <t>O&amp;M - Secondary Clarifier</t>
  </si>
  <si>
    <t>Decrease NH3-N dosing</t>
  </si>
  <si>
    <t>Increase RAS</t>
  </si>
  <si>
    <t>Increase WAS</t>
  </si>
  <si>
    <t>Increase DO</t>
  </si>
  <si>
    <t>Increase H2O2</t>
  </si>
  <si>
    <t>Bioaugment (Seeding)</t>
  </si>
  <si>
    <t>Pre-Treatment (Chemical)</t>
  </si>
  <si>
    <t>Pre-Treatment (Mechanical)</t>
  </si>
  <si>
    <t>Decrease RAS</t>
  </si>
  <si>
    <t>Decrease WAS</t>
  </si>
  <si>
    <t>Decrease Cl dosing</t>
  </si>
  <si>
    <r>
      <rPr>
        <rFont val="Arial"/>
        <b/>
        <color theme="1"/>
        <sz val="11.0"/>
      </rPr>
      <t xml:space="preserve">CAUTION </t>
    </r>
    <r>
      <rPr>
        <rFont val="Arial"/>
        <b val="0"/>
        <color theme="1"/>
        <sz val="11.0"/>
      </rPr>
      <t>(New Problems)</t>
    </r>
  </si>
  <si>
    <t>Increase TN in effluent by not allowing DN</t>
  </si>
  <si>
    <t>On-Off aeration =&gt; Low DO filaments</t>
  </si>
  <si>
    <t>Troubleshooting Steps</t>
  </si>
  <si>
    <t>Code</t>
  </si>
  <si>
    <t>Excel File(s)</t>
  </si>
  <si>
    <t>S1</t>
  </si>
  <si>
    <t>Flows</t>
  </si>
  <si>
    <t>Mechanics : O&amp;M (Aeration Basin)</t>
  </si>
  <si>
    <t>S2a</t>
  </si>
  <si>
    <t>O&amp;M (Aeration Basin)</t>
  </si>
  <si>
    <t>Mechanics : O&amp;M (Clarifier)</t>
  </si>
  <si>
    <t>S2b</t>
  </si>
  <si>
    <t>O&amp;M (Clarifier)</t>
  </si>
  <si>
    <t>Mechanics : General</t>
  </si>
  <si>
    <t>S2c</t>
  </si>
  <si>
    <t>O&amp;M (General)</t>
  </si>
  <si>
    <t>S3i</t>
  </si>
  <si>
    <t>SVI, RAS</t>
  </si>
  <si>
    <t>S3d</t>
  </si>
  <si>
    <t>S4i</t>
  </si>
  <si>
    <t>Design/Target, WAS</t>
  </si>
  <si>
    <t>S4d</t>
  </si>
  <si>
    <t>S5i</t>
  </si>
  <si>
    <t>Aeration</t>
  </si>
  <si>
    <t>Decrease DO</t>
  </si>
  <si>
    <t>S5d</t>
  </si>
  <si>
    <t>Increase NH3-N</t>
  </si>
  <si>
    <t>S6i</t>
  </si>
  <si>
    <t>Dosing Calc</t>
  </si>
  <si>
    <t>Decrease NH3-N</t>
  </si>
  <si>
    <t>S6d</t>
  </si>
  <si>
    <t>Increase Ortho-P</t>
  </si>
  <si>
    <t>S7i</t>
  </si>
  <si>
    <t>Decrease Ortho-P</t>
  </si>
  <si>
    <t>S7d</t>
  </si>
  <si>
    <t>Increase Iron</t>
  </si>
  <si>
    <t>S8i</t>
  </si>
  <si>
    <t>Decrease Iron</t>
  </si>
  <si>
    <t>S8d</t>
  </si>
  <si>
    <t>Increase Coagulant</t>
  </si>
  <si>
    <t>S9i</t>
  </si>
  <si>
    <t>Decrease Coagulant</t>
  </si>
  <si>
    <t>S9d</t>
  </si>
  <si>
    <t>Increase Flocculant (Polymer)</t>
  </si>
  <si>
    <t>S10i</t>
  </si>
  <si>
    <t>Decrease Flocculant (Polymer)</t>
  </si>
  <si>
    <t>S10d</t>
  </si>
  <si>
    <t>Increase Chlorine</t>
  </si>
  <si>
    <t>S11i</t>
  </si>
  <si>
    <t>Decrease Chlorine</t>
  </si>
  <si>
    <t>S11d</t>
  </si>
  <si>
    <t>S12i</t>
  </si>
  <si>
    <t>Decrease H2O2</t>
  </si>
  <si>
    <t>S12d</t>
  </si>
  <si>
    <t>Increase pH</t>
  </si>
  <si>
    <t>S13i</t>
  </si>
  <si>
    <t>Decrease pH</t>
  </si>
  <si>
    <t>S13d</t>
  </si>
  <si>
    <t>BOD or COD</t>
  </si>
  <si>
    <t>BOD5 Test</t>
  </si>
  <si>
    <t>MLVSS</t>
  </si>
  <si>
    <t>Gravimetric</t>
  </si>
  <si>
    <t>Centrifuge Spin</t>
  </si>
  <si>
    <t>Suspended Solids meter</t>
  </si>
  <si>
    <t>F/M Ratio</t>
  </si>
  <si>
    <t>BOD (All)</t>
  </si>
  <si>
    <t>MLVSS (All)</t>
  </si>
  <si>
    <t>pH meter</t>
  </si>
  <si>
    <t>Aeration Calc</t>
  </si>
  <si>
    <t>pH</t>
  </si>
  <si>
    <t>Temperature</t>
  </si>
  <si>
    <t>Temp meter</t>
  </si>
  <si>
    <t>Alkalinity</t>
  </si>
  <si>
    <t>Alkalinity Calc</t>
  </si>
  <si>
    <t>Nutrient Dosing</t>
  </si>
  <si>
    <t>Nutrient Calc</t>
  </si>
  <si>
    <t>Dosing Eq</t>
  </si>
  <si>
    <t>pH Adjustment</t>
  </si>
  <si>
    <t>Caustic Calc</t>
  </si>
  <si>
    <t>Acidic Calc</t>
  </si>
  <si>
    <t>Coag. Dosing</t>
  </si>
  <si>
    <t>Coag. Calc</t>
  </si>
  <si>
    <t>Polymer Dosing</t>
  </si>
  <si>
    <t>Polymer Calc</t>
  </si>
  <si>
    <t>Chlorine Dosing</t>
  </si>
  <si>
    <t>Chlorine Calc</t>
  </si>
  <si>
    <t>SRT / MCRT (t)</t>
  </si>
  <si>
    <t>SRT Calc (t)</t>
  </si>
  <si>
    <t>SRT / MCRT (w)</t>
  </si>
  <si>
    <t>SRT Calc (w)</t>
  </si>
  <si>
    <t>WAS (srt)</t>
  </si>
  <si>
    <t>WAS Calc (srt)</t>
  </si>
  <si>
    <t>WAS Eq</t>
  </si>
  <si>
    <t>WAS (yield)</t>
  </si>
  <si>
    <t>WAS Calc (y)</t>
  </si>
  <si>
    <t>SVI, dSVI, etc.</t>
  </si>
  <si>
    <t>SVI Calc</t>
  </si>
  <si>
    <t>RAS (ssc, mb)</t>
  </si>
  <si>
    <t>RAS Calc</t>
  </si>
  <si>
    <t>RAS Eq</t>
  </si>
  <si>
    <t>RAS (spa)</t>
  </si>
  <si>
    <t>SPA Sheet</t>
  </si>
  <si>
    <t>HLR</t>
  </si>
  <si>
    <t>OLR</t>
  </si>
  <si>
    <t>SLR</t>
  </si>
  <si>
    <t>SOR</t>
  </si>
  <si>
    <t>WOR</t>
  </si>
  <si>
    <t>SDTa</t>
  </si>
  <si>
    <t>SDTsc</t>
  </si>
  <si>
    <t>ORP (NO3,SO2)</t>
  </si>
  <si>
    <t>TKN, TN, NH3</t>
  </si>
  <si>
    <t>DSS-FSS</t>
  </si>
  <si>
    <t>Core Sampler</t>
  </si>
  <si>
    <t>Microscopic ID</t>
  </si>
  <si>
    <t>ORP (NO3,SO4)</t>
  </si>
  <si>
    <t>Colorimetric</t>
  </si>
  <si>
    <t>Cd reduction</t>
  </si>
  <si>
    <t>Nitrate sensor</t>
  </si>
  <si>
    <t>Org Acid, H2S</t>
  </si>
  <si>
    <t>Std. Methods - Distillation, pH Tit.</t>
  </si>
  <si>
    <t>HACH Chemical Co. Test kit</t>
  </si>
  <si>
    <t>Grease Analysis</t>
  </si>
  <si>
    <t>EPA 1664A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</si>
</sst>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FF0000"/>
      <name val="Arial"/>
      <scheme val="minor"/>
    </font>
    <font>
      <b/>
      <sz val="11.0"/>
      <color rgb="FF0000FF"/>
      <name val="Arial"/>
      <scheme val="minor"/>
    </font>
    <font>
      <b/>
      <sz val="11.0"/>
      <color rgb="FFB7B7B7"/>
      <name val="Arial"/>
      <scheme val="minor"/>
    </font>
    <font>
      <sz val="11.0"/>
      <color rgb="FF0000FF"/>
      <name val="Arial"/>
      <scheme val="minor"/>
    </font>
    <font/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rgb="FFB7B7B7"/>
      <name val="Arial"/>
      <scheme val="minor"/>
    </font>
    <font>
      <b/>
      <color theme="5"/>
      <name val="Arial"/>
      <scheme val="minor"/>
    </font>
    <font>
      <color rgb="FFB7B7B7"/>
      <name val="Arial"/>
      <scheme val="minor"/>
    </font>
    <font>
      <b/>
      <sz val="11.0"/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sz val="10.0"/>
      <color theme="1"/>
      <name val="Arial"/>
      <scheme val="minor"/>
    </font>
    <font>
      <b/>
      <sz val="11.0"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5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000000"/>
      </right>
      <top style="thin">
        <color rgb="FFFF0000"/>
      </top>
    </border>
    <border>
      <left style="thin">
        <color rgb="FFFF0000"/>
      </left>
      <bottom style="thin">
        <color rgb="FF00FF00"/>
      </bottom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top style="thin">
        <color rgb="FF00FF00"/>
      </top>
    </border>
    <border>
      <right style="thin">
        <color rgb="FF000000"/>
      </right>
      <top style="thin">
        <color rgb="FF00FF00"/>
      </top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bottom style="thin">
        <color rgb="FF00FF00"/>
      </bottom>
    </border>
    <border>
      <right style="thin">
        <color rgb="FF000000"/>
      </right>
      <bottom style="thin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0000"/>
      </right>
      <top style="thin">
        <color rgb="FFFF0000"/>
      </top>
    </border>
    <border>
      <left style="thin">
        <color rgb="FFFF0000"/>
      </left>
      <bottom style="thin">
        <color rgb="FFFF0000"/>
      </bottom>
    </border>
    <border>
      <right style="thin">
        <color rgb="FFFF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4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center" readingOrder="0" vertical="top"/>
    </xf>
    <xf borderId="6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7" numFmtId="0" xfId="0" applyAlignment="1" applyFont="1">
      <alignment shrinkToFit="0" vertical="top" wrapText="0"/>
    </xf>
    <xf borderId="0" fillId="0" fontId="7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6" numFmtId="0" xfId="0" applyAlignment="1" applyFont="1">
      <alignment readingOrder="0" vertical="top"/>
    </xf>
    <xf borderId="1" fillId="0" fontId="6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horizontal="center" readingOrder="0" vertical="top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readingOrder="0" vertical="center"/>
    </xf>
    <xf borderId="7" fillId="0" fontId="9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vertical="top"/>
    </xf>
    <xf borderId="0" fillId="0" fontId="10" numFmtId="0" xfId="0" applyAlignment="1" applyFont="1">
      <alignment readingOrder="0" vertical="center"/>
    </xf>
    <xf borderId="9" fillId="0" fontId="8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readingOrder="0" vertical="center"/>
    </xf>
    <xf borderId="10" fillId="0" fontId="11" numFmtId="0" xfId="0" applyAlignment="1" applyBorder="1" applyFont="1">
      <alignment readingOrder="0" shrinkToFit="0" vertical="center" wrapText="0"/>
    </xf>
    <xf borderId="10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12" fillId="0" fontId="5" numFmtId="0" xfId="0" applyBorder="1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readingOrder="0" vertical="center"/>
    </xf>
    <xf borderId="13" fillId="0" fontId="8" numFmtId="0" xfId="0" applyAlignment="1" applyBorder="1" applyFont="1">
      <alignment readingOrder="0" shrinkToFit="0" vertical="center" wrapText="1"/>
    </xf>
    <xf borderId="14" fillId="0" fontId="6" numFmtId="0" xfId="0" applyAlignment="1" applyBorder="1" applyFont="1">
      <alignment vertical="center"/>
    </xf>
    <xf borderId="14" fillId="0" fontId="11" numFmtId="0" xfId="0" applyAlignment="1" applyBorder="1" applyFont="1">
      <alignment horizontal="left" shrinkToFit="0" vertical="center" wrapText="0"/>
    </xf>
    <xf borderId="14" fillId="0" fontId="6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horizontal="left" shrinkToFit="0" vertical="center" wrapText="1"/>
    </xf>
    <xf borderId="16" fillId="0" fontId="5" numFmtId="0" xfId="0" applyBorder="1" applyFont="1"/>
    <xf borderId="17" fillId="0" fontId="6" numFmtId="0" xfId="0" applyAlignment="1" applyBorder="1" applyFont="1">
      <alignment vertical="center"/>
    </xf>
    <xf borderId="17" fillId="0" fontId="11" numFmtId="0" xfId="0" applyAlignment="1" applyBorder="1" applyFont="1">
      <alignment horizontal="left" shrinkToFit="0" vertical="center" wrapText="0"/>
    </xf>
    <xf borderId="17" fillId="0" fontId="6" numFmtId="0" xfId="0" applyAlignment="1" applyBorder="1" applyFont="1">
      <alignment horizontal="left" shrinkToFit="0" vertical="center" wrapText="1"/>
    </xf>
    <xf borderId="18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readingOrder="0" vertical="center"/>
    </xf>
    <xf borderId="19" fillId="0" fontId="8" numFmtId="0" xfId="0" applyAlignment="1" applyBorder="1" applyFont="1">
      <alignment readingOrder="0" vertical="center"/>
    </xf>
    <xf borderId="20" fillId="0" fontId="8" numFmtId="0" xfId="0" applyAlignment="1" applyBorder="1" applyFont="1">
      <alignment readingOrder="0" shrinkToFit="0" vertical="center" wrapText="1"/>
    </xf>
    <xf borderId="20" fillId="0" fontId="6" numFmtId="0" xfId="0" applyAlignment="1" applyBorder="1" applyFont="1">
      <alignment vertical="center"/>
    </xf>
    <xf borderId="20" fillId="0" fontId="11" numFmtId="0" xfId="0" applyAlignment="1" applyBorder="1" applyFont="1">
      <alignment horizontal="left" shrinkToFit="0" vertical="center" wrapText="0"/>
    </xf>
    <xf borderId="20" fillId="0" fontId="6" numFmtId="0" xfId="0" applyAlignment="1" applyBorder="1" applyFont="1">
      <alignment horizontal="left" shrinkToFit="0" vertical="center" wrapText="1"/>
    </xf>
    <xf borderId="21" fillId="0" fontId="6" numFmtId="0" xfId="0" applyAlignment="1" applyBorder="1" applyFont="1">
      <alignment horizontal="left" shrinkToFit="0" vertical="center" wrapText="1"/>
    </xf>
    <xf borderId="22" fillId="0" fontId="6" numFmtId="0" xfId="0" applyAlignment="1" applyBorder="1" applyFont="1">
      <alignment readingOrder="0" vertical="center"/>
    </xf>
    <xf borderId="23" fillId="0" fontId="5" numFmtId="0" xfId="0" applyBorder="1" applyFont="1"/>
    <xf borderId="23" fillId="0" fontId="6" numFmtId="0" xfId="0" applyAlignment="1" applyBorder="1" applyFont="1">
      <alignment vertical="center"/>
    </xf>
    <xf borderId="23" fillId="0" fontId="11" numFmtId="0" xfId="0" applyAlignment="1" applyBorder="1" applyFont="1">
      <alignment horizontal="left" shrinkToFit="0" vertical="center" wrapText="0"/>
    </xf>
    <xf borderId="23" fillId="0" fontId="6" numFmtId="0" xfId="0" applyAlignment="1" applyBorder="1" applyFont="1">
      <alignment horizontal="left" shrinkToFit="0" vertical="center" wrapText="1"/>
    </xf>
    <xf borderId="24" fillId="0" fontId="6" numFmtId="0" xfId="0" applyAlignment="1" applyBorder="1" applyFont="1">
      <alignment horizontal="left" shrinkToFit="0" vertical="center" wrapText="1"/>
    </xf>
    <xf borderId="25" fillId="2" fontId="2" numFmtId="0" xfId="0" applyAlignment="1" applyBorder="1" applyFill="1" applyFont="1">
      <alignment horizontal="center" readingOrder="0"/>
    </xf>
    <xf borderId="25" fillId="2" fontId="2" numFmtId="0" xfId="0" applyAlignment="1" applyBorder="1" applyFont="1">
      <alignment readingOrder="0"/>
    </xf>
    <xf borderId="26" fillId="2" fontId="1" numFmtId="0" xfId="0" applyAlignment="1" applyBorder="1" applyFont="1">
      <alignment readingOrder="0"/>
    </xf>
    <xf borderId="27" fillId="0" fontId="5" numFmtId="0" xfId="0" applyBorder="1" applyFont="1"/>
    <xf borderId="26" fillId="2" fontId="12" numFmtId="0" xfId="0" applyAlignment="1" applyBorder="1" applyFont="1">
      <alignment readingOrder="0"/>
    </xf>
    <xf borderId="28" fillId="0" fontId="5" numFmtId="0" xfId="0" applyBorder="1" applyFont="1"/>
    <xf borderId="0" fillId="0" fontId="13" numFmtId="0" xfId="0" applyAlignment="1" applyFont="1">
      <alignment horizontal="center" readingOrder="0"/>
    </xf>
    <xf borderId="1" fillId="0" fontId="13" numFmtId="0" xfId="0" applyBorder="1" applyFont="1"/>
    <xf borderId="0" fillId="0" fontId="14" numFmtId="0" xfId="0" applyAlignment="1" applyFont="1">
      <alignment readingOrder="0"/>
    </xf>
    <xf borderId="1" fillId="0" fontId="6" numFmtId="0" xfId="0" applyAlignment="1" applyBorder="1" applyFont="1">
      <alignment horizontal="left" readingOrder="0"/>
    </xf>
    <xf borderId="0" fillId="3" fontId="6" numFmtId="0" xfId="0" applyAlignment="1" applyFill="1" applyFont="1">
      <alignment readingOrder="0"/>
    </xf>
    <xf borderId="0" fillId="3" fontId="6" numFmtId="0" xfId="0" applyFont="1"/>
    <xf borderId="1" fillId="0" fontId="13" numFmtId="0" xfId="0" applyAlignment="1" applyBorder="1" applyFont="1">
      <alignment readingOrder="0"/>
    </xf>
    <xf borderId="2" fillId="2" fontId="8" numFmtId="0" xfId="0" applyAlignment="1" applyBorder="1" applyFont="1">
      <alignment horizontal="center" readingOrder="0"/>
    </xf>
    <xf borderId="3" fillId="2" fontId="8" numFmtId="0" xfId="0" applyAlignment="1" applyBorder="1" applyFont="1">
      <alignment readingOrder="0"/>
    </xf>
    <xf borderId="2" fillId="2" fontId="8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5" fillId="2" fontId="12" numFmtId="0" xfId="0" applyAlignment="1" applyBorder="1" applyFont="1">
      <alignment readingOrder="0"/>
    </xf>
    <xf borderId="0" fillId="0" fontId="15" numFmtId="0" xfId="0" applyAlignment="1" applyFont="1">
      <alignment horizontal="center" readingOrder="0"/>
    </xf>
    <xf borderId="10" fillId="0" fontId="6" numFmtId="0" xfId="0" applyBorder="1" applyFont="1"/>
    <xf borderId="10" fillId="0" fontId="15" numFmtId="0" xfId="0" applyBorder="1" applyFont="1"/>
    <xf borderId="29" fillId="0" fontId="15" numFmtId="0" xfId="0" applyBorder="1" applyFont="1"/>
    <xf borderId="0" fillId="0" fontId="15" numFmtId="0" xfId="0" applyFont="1"/>
    <xf borderId="30" fillId="0" fontId="5" numFmtId="0" xfId="0" applyBorder="1" applyFont="1"/>
    <xf borderId="0" fillId="0" fontId="15" numFmtId="0" xfId="0" applyAlignment="1" applyFont="1">
      <alignment horizontal="left"/>
    </xf>
    <xf borderId="31" fillId="0" fontId="15" numFmtId="0" xfId="0" applyAlignment="1" applyBorder="1" applyFont="1">
      <alignment horizontal="left"/>
    </xf>
    <xf borderId="14" fillId="0" fontId="6" numFmtId="0" xfId="0" applyBorder="1" applyFont="1"/>
    <xf borderId="14" fillId="0" fontId="15" numFmtId="0" xfId="0" applyBorder="1" applyFont="1"/>
    <xf borderId="15" fillId="0" fontId="15" numFmtId="0" xfId="0" applyBorder="1" applyFont="1"/>
    <xf borderId="17" fillId="0" fontId="6" numFmtId="0" xfId="0" applyBorder="1" applyFont="1"/>
    <xf borderId="17" fillId="0" fontId="15" numFmtId="0" xfId="0" applyAlignment="1" applyBorder="1" applyFont="1">
      <alignment horizontal="left"/>
    </xf>
    <xf borderId="17" fillId="0" fontId="15" numFmtId="0" xfId="0" applyBorder="1" applyFont="1"/>
    <xf borderId="18" fillId="0" fontId="15" numFmtId="0" xfId="0" applyBorder="1" applyFont="1"/>
    <xf borderId="0" fillId="0" fontId="15" numFmtId="0" xfId="0" applyAlignment="1" applyFont="1">
      <alignment readingOrder="0"/>
    </xf>
    <xf borderId="25" fillId="2" fontId="12" numFmtId="0" xfId="0" applyAlignment="1" applyBorder="1" applyFont="1">
      <alignment horizontal="center" readingOrder="0"/>
    </xf>
    <xf borderId="0" fillId="2" fontId="12" numFmtId="0" xfId="0" applyAlignment="1" applyFont="1">
      <alignment readingOrder="0"/>
    </xf>
    <xf borderId="0" fillId="0" fontId="6" numFmtId="0" xfId="0" applyAlignment="1" applyFont="1">
      <alignment horizontal="center"/>
    </xf>
    <xf borderId="1" fillId="0" fontId="6" numFmtId="0" xfId="0" applyBorder="1" applyFont="1"/>
    <xf borderId="0" fillId="0" fontId="6" numFmtId="0" xfId="0" applyFont="1"/>
    <xf borderId="32" fillId="0" fontId="6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33" fillId="2" fontId="12" numFmtId="0" xfId="0" applyAlignment="1" applyBorder="1" applyFont="1">
      <alignment horizontal="center" readingOrder="0" vertical="center"/>
    </xf>
    <xf borderId="33" fillId="2" fontId="12" numFmtId="0" xfId="0" applyAlignment="1" applyBorder="1" applyFont="1">
      <alignment readingOrder="0" vertical="center"/>
    </xf>
    <xf borderId="33" fillId="2" fontId="12" numFmtId="0" xfId="0" applyAlignment="1" applyBorder="1" applyFont="1">
      <alignment horizontal="center" readingOrder="0" shrinkToFit="0" vertical="center" wrapText="1"/>
    </xf>
    <xf borderId="26" fillId="2" fontId="2" numFmtId="0" xfId="0" applyAlignment="1" applyBorder="1" applyFont="1">
      <alignment readingOrder="0" vertical="center"/>
    </xf>
    <xf borderId="34" fillId="0" fontId="5" numFmtId="0" xfId="0" applyBorder="1" applyFont="1"/>
    <xf borderId="25" fillId="2" fontId="2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readingOrder="0"/>
    </xf>
    <xf borderId="0" fillId="0" fontId="13" numFmtId="0" xfId="0" applyFont="1"/>
    <xf borderId="1" fillId="0" fontId="6" numFmtId="0" xfId="0" applyAlignment="1" applyBorder="1" applyFont="1">
      <alignment horizontal="center"/>
    </xf>
    <xf borderId="2" fillId="2" fontId="16" numFmtId="0" xfId="0" applyAlignment="1" applyBorder="1" applyFont="1">
      <alignment horizontal="left" readingOrder="0"/>
    </xf>
    <xf borderId="2" fillId="2" fontId="12" numFmtId="0" xfId="0" applyAlignment="1" applyBorder="1" applyFont="1">
      <alignment readingOrder="0"/>
    </xf>
    <xf borderId="0" fillId="4" fontId="17" numFmtId="0" xfId="0" applyAlignment="1" applyFill="1" applyFont="1">
      <alignment horizontal="left" readingOrder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theme="1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38"/>
    <col customWidth="1" min="2" max="2" width="56.63"/>
    <col customWidth="1" min="3" max="3" width="10.38"/>
    <col customWidth="1" min="4" max="4" width="3.63"/>
    <col customWidth="1" hidden="1" min="5" max="5" width="8.0"/>
    <col customWidth="1" min="6" max="48" width="14.5"/>
  </cols>
  <sheetData>
    <row r="1">
      <c r="A1" s="1" t="s">
        <v>0</v>
      </c>
      <c r="C1" s="2" t="s">
        <v>1</v>
      </c>
      <c r="D1" s="3" t="b">
        <v>1</v>
      </c>
      <c r="E1" s="4" t="s">
        <v>2</v>
      </c>
      <c r="F1" s="5" t="s">
        <v>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7"/>
    </row>
    <row r="2">
      <c r="A2" s="8"/>
      <c r="B2" s="8"/>
      <c r="C2" s="8"/>
      <c r="D2" s="9"/>
      <c r="E2" s="8"/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28</v>
      </c>
      <c r="AE2" s="10" t="s">
        <v>29</v>
      </c>
      <c r="AF2" s="10" t="s">
        <v>30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36</v>
      </c>
      <c r="AM2" s="10" t="s">
        <v>37</v>
      </c>
      <c r="AN2" s="10" t="s">
        <v>38</v>
      </c>
      <c r="AO2" s="10" t="s">
        <v>39</v>
      </c>
      <c r="AP2" s="10" t="s">
        <v>40</v>
      </c>
      <c r="AQ2" s="10" t="s">
        <v>41</v>
      </c>
      <c r="AR2" s="10" t="s">
        <v>42</v>
      </c>
      <c r="AS2" s="10" t="s">
        <v>43</v>
      </c>
      <c r="AT2" s="10" t="s">
        <v>44</v>
      </c>
      <c r="AU2" s="10" t="s">
        <v>45</v>
      </c>
      <c r="AV2" s="11" t="s">
        <v>46</v>
      </c>
    </row>
    <row r="3">
      <c r="A3" s="12">
        <v>1.0</v>
      </c>
      <c r="B3" s="13" t="s">
        <v>47</v>
      </c>
      <c r="C3" s="14"/>
      <c r="D3" s="15" t="b">
        <v>1</v>
      </c>
      <c r="E3" s="16" t="str">
        <f>IF(D3,"Hydraulic Overload,Organic Overload,Equipment Malfunction,Low RAS flow,Excess FOGs,Denitrification,Septicity,Filamentous Bulking,Non-Filamentous Bulking,Dispersed Growth,Short-Circuiting,Overaeration,Low DO,Toxic upset,High Influent COD,Process Startup,Ab"&amp;"normal pH,Abnormal Temperature,Low Coagulant Dosing,Low Polymer Dosing,High H2O2 Dosing,High Chlorine Dosing,Influent Changes","")</f>
        <v>Hydraulic Overload,Organic Overload,Equipment Malfunction,Low RAS flow,Excess FOGs,Denitrification,Septicity,Filamentous Bulking,Non-Filamentous Bulking,Dispersed Growth,Short-Circuiting,Overaeration,Low DO,Toxic upset,High Influent COD,Process Startup,Abnormal pH,Abnormal Temperature,Low Coagulant Dosing,Low Polymer Dosing,High H2O2 Dosing,High Chlorine Dosing,Influent Changes</v>
      </c>
      <c r="F3" s="14" t="str">
        <f>IFERROR(__xludf.DUMMYFUNCTION("IF(E3="""","""",SPLIT(E3,"",""))"),"Hydraulic Overload")</f>
        <v>Hydraulic Overload</v>
      </c>
      <c r="G3" s="17" t="str">
        <f>IFERROR(__xludf.DUMMYFUNCTION("""COMPUTED_VALUE"""),"Organic Overload")</f>
        <v>Organic Overload</v>
      </c>
      <c r="H3" s="14" t="str">
        <f>IFERROR(__xludf.DUMMYFUNCTION("""COMPUTED_VALUE"""),"Equipment Malfunction")</f>
        <v>Equipment Malfunction</v>
      </c>
      <c r="I3" s="14" t="str">
        <f>IFERROR(__xludf.DUMMYFUNCTION("""COMPUTED_VALUE"""),"Low RAS flow")</f>
        <v>Low RAS flow</v>
      </c>
      <c r="J3" s="14" t="str">
        <f>IFERROR(__xludf.DUMMYFUNCTION("""COMPUTED_VALUE"""),"Excess FOGs")</f>
        <v>Excess FOGs</v>
      </c>
      <c r="K3" s="14" t="str">
        <f>IFERROR(__xludf.DUMMYFUNCTION("""COMPUTED_VALUE"""),"Denitrification")</f>
        <v>Denitrification</v>
      </c>
      <c r="L3" s="14" t="str">
        <f>IFERROR(__xludf.DUMMYFUNCTION("""COMPUTED_VALUE"""),"Septicity")</f>
        <v>Septicity</v>
      </c>
      <c r="M3" s="14" t="str">
        <f>IFERROR(__xludf.DUMMYFUNCTION("""COMPUTED_VALUE"""),"Filamentous Bulking")</f>
        <v>Filamentous Bulking</v>
      </c>
      <c r="N3" s="14" t="str">
        <f>IFERROR(__xludf.DUMMYFUNCTION("""COMPUTED_VALUE"""),"Non-Filamentous Bulking")</f>
        <v>Non-Filamentous Bulking</v>
      </c>
      <c r="O3" s="14" t="str">
        <f>IFERROR(__xludf.DUMMYFUNCTION("""COMPUTED_VALUE"""),"Dispersed Growth")</f>
        <v>Dispersed Growth</v>
      </c>
      <c r="P3" s="14" t="str">
        <f>IFERROR(__xludf.DUMMYFUNCTION("""COMPUTED_VALUE"""),"Short-Circuiting")</f>
        <v>Short-Circuiting</v>
      </c>
      <c r="Q3" s="14" t="str">
        <f>IFERROR(__xludf.DUMMYFUNCTION("""COMPUTED_VALUE"""),"Overaeration")</f>
        <v>Overaeration</v>
      </c>
      <c r="R3" s="14" t="str">
        <f>IFERROR(__xludf.DUMMYFUNCTION("""COMPUTED_VALUE"""),"Low DO")</f>
        <v>Low DO</v>
      </c>
      <c r="S3" s="14" t="str">
        <f>IFERROR(__xludf.DUMMYFUNCTION("""COMPUTED_VALUE"""),"Toxic upset")</f>
        <v>Toxic upset</v>
      </c>
      <c r="T3" s="14" t="str">
        <f>IFERROR(__xludf.DUMMYFUNCTION("""COMPUTED_VALUE"""),"High Influent COD")</f>
        <v>High Influent COD</v>
      </c>
      <c r="U3" s="14" t="str">
        <f>IFERROR(__xludf.DUMMYFUNCTION("""COMPUTED_VALUE"""),"Process Startup")</f>
        <v>Process Startup</v>
      </c>
      <c r="V3" s="14" t="str">
        <f>IFERROR(__xludf.DUMMYFUNCTION("""COMPUTED_VALUE"""),"Abnormal pH")</f>
        <v>Abnormal pH</v>
      </c>
      <c r="W3" s="14" t="str">
        <f>IFERROR(__xludf.DUMMYFUNCTION("""COMPUTED_VALUE"""),"Abnormal Temperature")</f>
        <v>Abnormal Temperature</v>
      </c>
      <c r="X3" s="14" t="str">
        <f>IFERROR(__xludf.DUMMYFUNCTION("""COMPUTED_VALUE"""),"Low Coagulant Dosing")</f>
        <v>Low Coagulant Dosing</v>
      </c>
      <c r="Y3" s="14" t="str">
        <f>IFERROR(__xludf.DUMMYFUNCTION("""COMPUTED_VALUE"""),"Low Polymer Dosing")</f>
        <v>Low Polymer Dosing</v>
      </c>
      <c r="Z3" s="14" t="str">
        <f>IFERROR(__xludf.DUMMYFUNCTION("""COMPUTED_VALUE"""),"High H2O2 Dosing")</f>
        <v>High H2O2 Dosing</v>
      </c>
      <c r="AA3" s="14" t="str">
        <f>IFERROR(__xludf.DUMMYFUNCTION("""COMPUTED_VALUE"""),"High Chlorine Dosing")</f>
        <v>High Chlorine Dosing</v>
      </c>
      <c r="AB3" s="14" t="str">
        <f>IFERROR(__xludf.DUMMYFUNCTION("""COMPUTED_VALUE"""),"Influent Changes")</f>
        <v>Influent Changes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5"/>
    </row>
    <row r="4">
      <c r="A4" s="12">
        <v>2.0</v>
      </c>
      <c r="B4" s="13" t="s">
        <v>48</v>
      </c>
      <c r="C4" s="18"/>
      <c r="D4" s="15" t="b">
        <v>1</v>
      </c>
      <c r="E4" s="16" t="str">
        <f>IF(D4,"Hydraulic Overload,Organic Overload,Equipment Malfunction,Low RAS flow,Denitrification,Septicity,Filamentous Bulking,Non-Filamentous Bulking,Dispersed Growth,Short-Circuiting,Overaeration,Low Polymer Dosing,Influent Changes","")</f>
        <v>Hydraulic Overload,Organic Overload,Equipment Malfunction,Low RAS flow,Denitrification,Septicity,Filamentous Bulking,Non-Filamentous Bulking,Dispersed Growth,Short-Circuiting,Overaeration,Low Polymer Dosing,Influent Changes</v>
      </c>
      <c r="F4" s="14" t="str">
        <f>IFERROR(__xludf.DUMMYFUNCTION("IF(E4="""","""",SPLIT(E4,"",""))"),"Hydraulic Overload")</f>
        <v>Hydraulic Overload</v>
      </c>
      <c r="G4" s="14" t="str">
        <f>IFERROR(__xludf.DUMMYFUNCTION("""COMPUTED_VALUE"""),"Organic Overload")</f>
        <v>Organic Overload</v>
      </c>
      <c r="H4" s="14" t="str">
        <f>IFERROR(__xludf.DUMMYFUNCTION("""COMPUTED_VALUE"""),"Equipment Malfunction")</f>
        <v>Equipment Malfunction</v>
      </c>
      <c r="I4" s="14" t="str">
        <f>IFERROR(__xludf.DUMMYFUNCTION("""COMPUTED_VALUE"""),"Low RAS flow")</f>
        <v>Low RAS flow</v>
      </c>
      <c r="J4" s="14" t="str">
        <f>IFERROR(__xludf.DUMMYFUNCTION("""COMPUTED_VALUE"""),"Denitrification")</f>
        <v>Denitrification</v>
      </c>
      <c r="K4" s="14" t="str">
        <f>IFERROR(__xludf.DUMMYFUNCTION("""COMPUTED_VALUE"""),"Septicity")</f>
        <v>Septicity</v>
      </c>
      <c r="L4" s="14" t="str">
        <f>IFERROR(__xludf.DUMMYFUNCTION("""COMPUTED_VALUE"""),"Filamentous Bulking")</f>
        <v>Filamentous Bulking</v>
      </c>
      <c r="M4" s="14" t="str">
        <f>IFERROR(__xludf.DUMMYFUNCTION("""COMPUTED_VALUE"""),"Non-Filamentous Bulking")</f>
        <v>Non-Filamentous Bulking</v>
      </c>
      <c r="N4" s="14" t="str">
        <f>IFERROR(__xludf.DUMMYFUNCTION("""COMPUTED_VALUE"""),"Dispersed Growth")</f>
        <v>Dispersed Growth</v>
      </c>
      <c r="O4" s="14" t="str">
        <f>IFERROR(__xludf.DUMMYFUNCTION("""COMPUTED_VALUE"""),"Short-Circuiting")</f>
        <v>Short-Circuiting</v>
      </c>
      <c r="P4" s="14" t="str">
        <f>IFERROR(__xludf.DUMMYFUNCTION("""COMPUTED_VALUE"""),"Overaeration")</f>
        <v>Overaeration</v>
      </c>
      <c r="Q4" s="14" t="str">
        <f>IFERROR(__xludf.DUMMYFUNCTION("""COMPUTED_VALUE"""),"Low Polymer Dosing")</f>
        <v>Low Polymer Dosing</v>
      </c>
      <c r="R4" s="14" t="str">
        <f>IFERROR(__xludf.DUMMYFUNCTION("""COMPUTED_VALUE"""),"Influent Changes")</f>
        <v>Influent Changes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5"/>
    </row>
    <row r="5">
      <c r="A5" s="12">
        <v>3.0</v>
      </c>
      <c r="B5" s="13" t="s">
        <v>49</v>
      </c>
      <c r="C5" s="18"/>
      <c r="D5" s="15" t="b">
        <v>1</v>
      </c>
      <c r="E5" s="16" t="str">
        <f>IF(D5,"Filamentous Bulking,Non-Filamentous Bulking,Dispersed Growth,High Chlorine Dosing","")</f>
        <v>Filamentous Bulking,Non-Filamentous Bulking,Dispersed Growth,High Chlorine Dosing</v>
      </c>
      <c r="F5" s="14" t="str">
        <f>IFERROR(__xludf.DUMMYFUNCTION("IF(E5="""","""",SPLIT(E5,"",""))"),"Filamentous Bulking")</f>
        <v>Filamentous Bulking</v>
      </c>
      <c r="G5" s="14" t="str">
        <f>IFERROR(__xludf.DUMMYFUNCTION("""COMPUTED_VALUE"""),"Non-Filamentous Bulking")</f>
        <v>Non-Filamentous Bulking</v>
      </c>
      <c r="H5" s="14" t="str">
        <f>IFERROR(__xludf.DUMMYFUNCTION("""COMPUTED_VALUE"""),"Dispersed Growth")</f>
        <v>Dispersed Growth</v>
      </c>
      <c r="I5" s="14" t="str">
        <f>IFERROR(__xludf.DUMMYFUNCTION("""COMPUTED_VALUE"""),"High Chlorine Dosing")</f>
        <v>High Chlorine Dosing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5"/>
    </row>
    <row r="6">
      <c r="A6" s="12">
        <v>4.0</v>
      </c>
      <c r="B6" s="13" t="s">
        <v>50</v>
      </c>
      <c r="C6" s="18"/>
      <c r="D6" s="15" t="b">
        <v>1</v>
      </c>
      <c r="E6" s="16" t="str">
        <f>IF(D6,"Denitrification,Septicity","")</f>
        <v>Denitrification,Septicity</v>
      </c>
      <c r="F6" s="14" t="str">
        <f>IFERROR(__xludf.DUMMYFUNCTION("IF(E6="""","""",SPLIT(E6,"",""))"),"Denitrification")</f>
        <v>Denitrification</v>
      </c>
      <c r="G6" s="14" t="str">
        <f>IFERROR(__xludf.DUMMYFUNCTION("""COMPUTED_VALUE"""),"Septicity")</f>
        <v>Septicity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5"/>
    </row>
    <row r="7">
      <c r="A7" s="12">
        <v>5.0</v>
      </c>
      <c r="B7" s="13" t="s">
        <v>51</v>
      </c>
      <c r="C7" s="19"/>
      <c r="D7" s="15" t="b">
        <v>1</v>
      </c>
      <c r="E7" s="20" t="str">
        <f>IF(D7,"Very low F:M,Very High MCRT,Denitrification,Excess FOGs,Sludge Dewatering Inefficiency","")</f>
        <v>Very low F:M,Very High MCRT,Denitrification,Excess FOGs,Sludge Dewatering Inefficiency</v>
      </c>
      <c r="F7" s="14" t="str">
        <f>IFERROR(__xludf.DUMMYFUNCTION("IF(E7="""","""",SPLIT(E7,"",""))"),"Very low F:M")</f>
        <v>Very low F:M</v>
      </c>
      <c r="G7" s="14" t="str">
        <f>IFERROR(__xludf.DUMMYFUNCTION("""COMPUTED_VALUE"""),"Very High MCRT")</f>
        <v>Very High MCRT</v>
      </c>
      <c r="H7" s="21" t="str">
        <f>IFERROR(__xludf.DUMMYFUNCTION("""COMPUTED_VALUE"""),"Denitrification")</f>
        <v>Denitrification</v>
      </c>
      <c r="I7" s="21" t="str">
        <f>IFERROR(__xludf.DUMMYFUNCTION("""COMPUTED_VALUE"""),"Excess FOGs")</f>
        <v>Excess FOGs</v>
      </c>
      <c r="J7" s="21" t="str">
        <f>IFERROR(__xludf.DUMMYFUNCTION("""COMPUTED_VALUE"""),"Sludge Dewatering Inefficiency")</f>
        <v>Sludge Dewatering Inefficiency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</row>
    <row r="8">
      <c r="A8" s="12">
        <v>6.0</v>
      </c>
      <c r="B8" s="13" t="s">
        <v>52</v>
      </c>
      <c r="C8" s="14"/>
      <c r="D8" s="15" t="b">
        <v>1</v>
      </c>
      <c r="E8" s="16" t="str">
        <f>IF(D8,"Denitrification","")</f>
        <v>Denitrification</v>
      </c>
      <c r="F8" s="14" t="str">
        <f>IFERROR(__xludf.DUMMYFUNCTION("IF(E8="""","""",SPLIT(E8,"",""))"),"Denitrification")</f>
        <v>Denitrification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5"/>
    </row>
    <row r="9">
      <c r="A9" s="12">
        <v>7.0</v>
      </c>
      <c r="B9" s="13" t="s">
        <v>53</v>
      </c>
      <c r="C9" s="14"/>
      <c r="D9" s="15" t="b">
        <v>1</v>
      </c>
      <c r="E9" s="16" t="str">
        <f>IF(D9,"Denitrification,Septicity,Influent Changes","")</f>
        <v>Denitrification,Septicity,Influent Changes</v>
      </c>
      <c r="F9" s="14" t="str">
        <f>IFERROR(__xludf.DUMMYFUNCTION("IF(E9="""","""",SPLIT(E9,"",""))"),"Denitrification")</f>
        <v>Denitrification</v>
      </c>
      <c r="G9" s="14" t="str">
        <f>IFERROR(__xludf.DUMMYFUNCTION("""COMPUTED_VALUE"""),"Septicity")</f>
        <v>Septicity</v>
      </c>
      <c r="H9" s="14" t="str">
        <f>IFERROR(__xludf.DUMMYFUNCTION("""COMPUTED_VALUE"""),"Influent Changes")</f>
        <v>Influent Changes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5"/>
    </row>
    <row r="10">
      <c r="A10" s="12">
        <v>8.0</v>
      </c>
      <c r="B10" s="13" t="s">
        <v>54</v>
      </c>
      <c r="C10" s="18"/>
      <c r="D10" s="15" t="b">
        <v>1</v>
      </c>
      <c r="E10" s="16" t="str">
        <f t="shared" ref="E10:E11" si="1">IF(D10,"Denitrification","")</f>
        <v>Denitrification</v>
      </c>
      <c r="F10" s="14" t="str">
        <f>IFERROR(__xludf.DUMMYFUNCTION("IF(E10="""","""",SPLIT(E10,"",""))"),"Denitrification")</f>
        <v>Denitrification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</row>
    <row r="11">
      <c r="A11" s="12">
        <v>9.0</v>
      </c>
      <c r="B11" s="13" t="s">
        <v>55</v>
      </c>
      <c r="C11" s="21"/>
      <c r="D11" s="15" t="b">
        <v>1</v>
      </c>
      <c r="E11" s="16" t="str">
        <f t="shared" si="1"/>
        <v>Denitrification</v>
      </c>
      <c r="F11" s="14" t="str">
        <f>IFERROR(__xludf.DUMMYFUNCTION("IF(E11="""","""",SPLIT(E11,"",""))"),"Denitrification")</f>
        <v>Denitrification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</row>
    <row r="12">
      <c r="A12" s="12">
        <v>10.0</v>
      </c>
      <c r="B12" s="13" t="s">
        <v>56</v>
      </c>
      <c r="C12" s="21"/>
      <c r="D12" s="15" t="b">
        <v>1</v>
      </c>
      <c r="E12" s="16" t="str">
        <f>IF(D12,"Septicity","")</f>
        <v>Septicity</v>
      </c>
      <c r="F12" s="14" t="str">
        <f>IFERROR(__xludf.DUMMYFUNCTION("IF(E12="""","""",SPLIT(E12,"",""))"),"Septicity")</f>
        <v>Septicity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</row>
    <row r="13">
      <c r="A13" s="12">
        <v>11.0</v>
      </c>
      <c r="B13" s="13" t="s">
        <v>57</v>
      </c>
      <c r="C13" s="18"/>
      <c r="D13" s="15" t="b">
        <v>1</v>
      </c>
      <c r="E13" s="16" t="str">
        <f>IF(D13,"Septicity,Influent Changes","")</f>
        <v>Septicity,Influent Changes</v>
      </c>
      <c r="F13" s="14" t="str">
        <f>IFERROR(__xludf.DUMMYFUNCTION("IF(E13="""","""",SPLIT(E13,"",""))"),"Septicity")</f>
        <v>Septicity</v>
      </c>
      <c r="G13" s="14" t="str">
        <f>IFERROR(__xludf.DUMMYFUNCTION("""COMPUTED_VALUE"""),"Influent Changes")</f>
        <v>Influent Changes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</row>
    <row r="14">
      <c r="A14" s="12">
        <v>12.0</v>
      </c>
      <c r="B14" s="13" t="s">
        <v>58</v>
      </c>
      <c r="C14" s="18"/>
      <c r="D14" s="15" t="b">
        <v>1</v>
      </c>
      <c r="E14" s="16" t="str">
        <f>IF(D14,"Excess FOGs","")</f>
        <v>Excess FOGs</v>
      </c>
      <c r="F14" s="14" t="str">
        <f>IFERROR(__xludf.DUMMYFUNCTION("IF(E14="""","""",SPLIT(E14,"",""))"),"Excess FOGs")</f>
        <v>Excess FOGs</v>
      </c>
      <c r="G14" s="14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</row>
    <row r="15">
      <c r="A15" s="12">
        <v>13.0</v>
      </c>
      <c r="B15" s="13" t="s">
        <v>59</v>
      </c>
      <c r="C15" s="18"/>
      <c r="D15" s="15" t="b">
        <v>1</v>
      </c>
      <c r="E15" s="20" t="str">
        <f>IF(D15,"Foam - White/ Grey/ Thick","")</f>
        <v>Foam - White/ Grey/ Thick</v>
      </c>
      <c r="F15" s="14" t="str">
        <f>IFERROR(__xludf.DUMMYFUNCTION("IF(E15="""","""",SPLIT(E15,"",""))"),"Foam - White/ Grey/ Thick")</f>
        <v>Foam - White/ Grey/ Thick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</row>
    <row r="16">
      <c r="A16" s="12">
        <v>14.0</v>
      </c>
      <c r="B16" s="13" t="s">
        <v>60</v>
      </c>
      <c r="C16" s="18"/>
      <c r="D16" s="15" t="b">
        <v>1</v>
      </c>
      <c r="E16" s="20" t="str">
        <f>IF(D16,"Foam - White/ Grey/ Thin","")</f>
        <v>Foam - White/ Grey/ Thin</v>
      </c>
      <c r="F16" s="14" t="str">
        <f>IFERROR(__xludf.DUMMYFUNCTION("IF(E16="""","""",SPLIT(E16,"",""))"),"Foam - White/ Grey/ Thin")</f>
        <v>Foam - White/ Grey/ Thin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</row>
    <row r="17">
      <c r="A17" s="12">
        <v>15.0</v>
      </c>
      <c r="B17" s="13" t="s">
        <v>61</v>
      </c>
      <c r="C17" s="23"/>
      <c r="D17" s="15" t="b">
        <v>1</v>
      </c>
      <c r="E17" s="20" t="str">
        <f>IF(D17,"Foam - White/ Grey/ Slimy","")</f>
        <v>Foam - White/ Grey/ Slimy</v>
      </c>
      <c r="F17" s="14" t="str">
        <f>IFERROR(__xludf.DUMMYFUNCTION("IF(E17="""","""",SPLIT(E17,"",""))"),"Foam - White/ Grey/ Slimy")</f>
        <v>Foam - White/ Grey/ Slimy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24"/>
    </row>
    <row r="18">
      <c r="A18" s="12">
        <v>16.0</v>
      </c>
      <c r="B18" s="13" t="s">
        <v>62</v>
      </c>
      <c r="C18" s="23"/>
      <c r="D18" s="15" t="b">
        <v>1</v>
      </c>
      <c r="E18" s="20" t="str">
        <f>IF(D18,"Foam - Brown/ Dark/ Thick","")</f>
        <v>Foam - Brown/ Dark/ Thick</v>
      </c>
      <c r="F18" s="14" t="str">
        <f>IFERROR(__xludf.DUMMYFUNCTION("IF(E18="""","""",SPLIT(E18,"",""))"),"Foam - Brown/ Dark/ Thick")</f>
        <v>Foam - Brown/ Dark/ Thick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24"/>
    </row>
    <row r="19">
      <c r="A19" s="12">
        <v>17.0</v>
      </c>
      <c r="B19" s="13" t="s">
        <v>63</v>
      </c>
      <c r="C19" s="23"/>
      <c r="D19" s="15" t="b">
        <v>1</v>
      </c>
      <c r="E19" s="20" t="str">
        <f>IF(D19,"Foam - Black/ Very Dark/ Thick","")</f>
        <v>Foam - Black/ Very Dark/ Thick</v>
      </c>
      <c r="F19" s="14" t="str">
        <f>IFERROR(__xludf.DUMMYFUNCTION("IF(E19="""","""",SPLIT(E19,"",""))"),"Foam - Black/ Very Dark/ Thick")</f>
        <v>Foam - Black/ Very Dark/ Thick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24"/>
    </row>
    <row r="20">
      <c r="A20" s="12">
        <v>18.0</v>
      </c>
      <c r="B20" s="13" t="s">
        <v>64</v>
      </c>
      <c r="C20" s="23"/>
      <c r="D20" s="15" t="b">
        <v>1</v>
      </c>
      <c r="E20" s="20" t="str">
        <f>IF(D20,"Pin Flocs","")</f>
        <v>Pin Flocs</v>
      </c>
      <c r="F20" s="14" t="str">
        <f>IFERROR(__xludf.DUMMYFUNCTION("IF(E20="""","""",SPLIT(E20,"",""))"),"Pin Flocs")</f>
        <v>Pin Flocs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24"/>
    </row>
    <row r="21">
      <c r="A21" s="12">
        <v>19.0</v>
      </c>
      <c r="B21" s="13" t="s">
        <v>51</v>
      </c>
      <c r="C21" s="19"/>
      <c r="D21" s="15" t="b">
        <v>1</v>
      </c>
      <c r="E21" s="20" t="str">
        <f>IF(D21,"Very low F:M,Very High MCRT,Denitrification,Excess FOGs,Sludge Dewatering Inefficiency","")</f>
        <v>Very low F:M,Very High MCRT,Denitrification,Excess FOGs,Sludge Dewatering Inefficiency</v>
      </c>
      <c r="F21" s="14" t="str">
        <f>IFERROR(__xludf.DUMMYFUNCTION("IF(E21="""","""",SPLIT(E21,"",""))"),"Very low F:M")</f>
        <v>Very low F:M</v>
      </c>
      <c r="G21" s="25" t="str">
        <f>IFERROR(__xludf.DUMMYFUNCTION("""COMPUTED_VALUE"""),"Very High MCRT")</f>
        <v>Very High MCRT</v>
      </c>
      <c r="H21" s="25" t="str">
        <f>IFERROR(__xludf.DUMMYFUNCTION("""COMPUTED_VALUE"""),"Denitrification")</f>
        <v>Denitrification</v>
      </c>
      <c r="I21" s="25" t="str">
        <f>IFERROR(__xludf.DUMMYFUNCTION("""COMPUTED_VALUE"""),"Excess FOGs")</f>
        <v>Excess FOGs</v>
      </c>
      <c r="J21" s="25" t="str">
        <f>IFERROR(__xludf.DUMMYFUNCTION("""COMPUTED_VALUE"""),"Sludge Dewatering Inefficiency")</f>
        <v>Sludge Dewatering Inefficiency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6"/>
    </row>
    <row r="22">
      <c r="A22" s="12">
        <v>20.0</v>
      </c>
      <c r="B22" s="13" t="s">
        <v>65</v>
      </c>
      <c r="C22" s="19"/>
      <c r="D22" s="15" t="b">
        <v>1</v>
      </c>
      <c r="E22" s="20" t="str">
        <f>IF(D22,"Straggler Flocs","")</f>
        <v>Straggler Flocs</v>
      </c>
      <c r="F22" s="14" t="str">
        <f>IFERROR(__xludf.DUMMYFUNCTION("IF(E22="""","""",SPLIT(E22,"",""))"),"Straggler Flocs")</f>
        <v>Straggler Flocs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6"/>
    </row>
    <row r="23">
      <c r="A23" s="12">
        <v>21.0</v>
      </c>
      <c r="B23" s="13" t="s">
        <v>66</v>
      </c>
      <c r="C23" s="27"/>
      <c r="D23" s="15" t="b">
        <v>1</v>
      </c>
      <c r="E23" s="16" t="str">
        <f>IF(D23,"Dispersed Growth","")</f>
        <v>Dispersed Growth</v>
      </c>
      <c r="F23" s="14" t="str">
        <f>IFERROR(__xludf.DUMMYFUNCTION("IF(E23="""","""",SPLIT(E23,"",""))"),"Dispersed Growth")</f>
        <v>Dispersed Growth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9"/>
    </row>
    <row r="24">
      <c r="A24" s="12">
        <v>22.0</v>
      </c>
      <c r="B24" s="13" t="s">
        <v>67</v>
      </c>
      <c r="C24" s="18"/>
      <c r="D24" s="15" t="b">
        <v>1</v>
      </c>
      <c r="E24" s="16" t="str">
        <f>IF(D24,"Equipment Malfunction","")</f>
        <v>Equipment Malfunction</v>
      </c>
      <c r="F24" s="14" t="str">
        <f>IFERROR(__xludf.DUMMYFUNCTION("IF(E24="""","""",SPLIT(E24,"",""))"),"Equipment Malfunction")</f>
        <v>Equipment Malfunction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9"/>
    </row>
    <row r="25">
      <c r="A25" s="12">
        <v>23.0</v>
      </c>
      <c r="B25" s="13" t="s">
        <v>68</v>
      </c>
      <c r="C25" s="18"/>
      <c r="D25" s="15" t="b">
        <v>1</v>
      </c>
      <c r="E25" s="16" t="str">
        <f>IF(D25,"Equipment Malfunction,Hydraulic Overload,Short-Circuiting","")</f>
        <v>Equipment Malfunction,Hydraulic Overload,Short-Circuiting</v>
      </c>
      <c r="F25" s="14" t="str">
        <f>IFERROR(__xludf.DUMMYFUNCTION("IF(E25="""","""",SPLIT(E25,"",""))"),"Equipment Malfunction")</f>
        <v>Equipment Malfunction</v>
      </c>
      <c r="G25" s="17" t="str">
        <f>IFERROR(__xludf.DUMMYFUNCTION("""COMPUTED_VALUE"""),"Hydraulic Overload")</f>
        <v>Hydraulic Overload</v>
      </c>
      <c r="H25" s="17" t="str">
        <f>IFERROR(__xludf.DUMMYFUNCTION("""COMPUTED_VALUE"""),"Short-Circuiting")</f>
        <v>Short-Circuiting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24"/>
    </row>
    <row r="26">
      <c r="A26" s="12">
        <v>24.0</v>
      </c>
      <c r="B26" s="13" t="s">
        <v>69</v>
      </c>
      <c r="C26" s="18"/>
      <c r="D26" s="15" t="b">
        <v>1</v>
      </c>
      <c r="E26" s="16" t="str">
        <f>IF(D26,"Rain","")</f>
        <v>Rain</v>
      </c>
      <c r="F26" s="14" t="str">
        <f>IFERROR(__xludf.DUMMYFUNCTION("IF(E26="""","""",SPLIT(E26,"",""))"),"Rain")</f>
        <v>Rain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24"/>
    </row>
    <row r="27">
      <c r="A27" s="12">
        <v>25.0</v>
      </c>
      <c r="B27" s="13" t="s">
        <v>70</v>
      </c>
      <c r="C27" s="18"/>
      <c r="D27" s="15" t="b">
        <v>1</v>
      </c>
      <c r="E27" s="16" t="str">
        <f>IF(D27,"Wind","")</f>
        <v>Wind</v>
      </c>
      <c r="F27" s="14" t="str">
        <f>IFERROR(__xludf.DUMMYFUNCTION("IF(E27="""","""",SPLIT(E27,"",""))"),"Wind")</f>
        <v>Wind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24"/>
    </row>
    <row r="28">
      <c r="A28" s="30"/>
      <c r="C28" s="31"/>
      <c r="D28" s="32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5"/>
    </row>
    <row r="29">
      <c r="A29" s="36"/>
      <c r="B29" s="37" t="s">
        <v>71</v>
      </c>
      <c r="C29" s="38" t="s">
        <v>72</v>
      </c>
      <c r="D29" s="39"/>
      <c r="E29" s="40"/>
      <c r="F29" s="41" t="str">
        <f>IFERROR(__xludf.DUMMYFUNCTION("IF(COUNTIF(D3:D27,TRUE)&lt;&gt;0,
TRANSPOSE(FILTER(UNIQUE({
TRANSPOSE(F3:AV3);TRANSPOSE(F4:AV4);TRANSPOSE(F5:AV5);TRANSPOSE(F6:AV6);TRANSPOSE(F7:AV7);TRANSPOSE(F8:AV8);TRANSPOSE(F9:AV9);TRANSPOSE(F10:AV10);TRANSPOSE(F11:AV11);TRANSPOSE(F12:AV12);TRANSPOSE(F13:A"&amp;"V13);TRANSPOSE(F14:AV14);TRANSPOSE(F15:AV15);TRANSPOSE(F16:AV16);TRANSPOSE(F17:AV17);TRANSPOSE(F18:AV18);TRANSPOSE(F19:AV19);TRANSPOSE(F20:AV20);TRANSPOSE(F21:AV21);TRANSPOSE(F22:AV22);TRANSPOSE(F23:AV23);TRANSPOSE(F24:AV24);TRANSPOSE(F25:AV25);TRANSPOSE("&amp;"F26:AV26);TRANSPOSE(F27:AV27)
}),
NOT(ISBLANK(UNIQUE({
TRANSPOSE(F3:AV3);TRANSPOSE(F4:AV4);TRANSPOSE(F5:AV5);TRANSPOSE(F6:AV6);TRANSPOSE(F7:AV7);TRANSPOSE(F8:AV8);TRANSPOSE(F9:AV9);TRANSPOSE(F10:AV10);TRANSPOSE(F11:AV11);TRANSPOSE(F12:AV12);TRANSPOSE(F13:"&amp;"AV13);TRANSPOSE(F14:AV14);TRANSPOSE(F15:AV15);TRANSPOSE(F16:AV16);TRANSPOSE(F17:AV17);TRANSPOSE(F18:AV18);TRANSPOSE(F19:AV19);TRANSPOSE(F20:AV20);TRANSPOSE(F21:AV21);TRANSPOSE(F22:AV22);TRANSPOSE(F23:AV23);TRANSPOSE(F24:AV24);TRANSPOSE(F25:AV25);TRANSPOSE"&amp;"(F26:AV26);TRANSPOSE(F27:AV27)
}))))),
""Make your selection to proceed."")"),"Hydraulic Overload")</f>
        <v>Hydraulic Overload</v>
      </c>
      <c r="G29" s="41" t="str">
        <f>IFERROR(__xludf.DUMMYFUNCTION("""COMPUTED_VALUE"""),"Organic Overload")</f>
        <v>Organic Overload</v>
      </c>
      <c r="H29" s="41" t="str">
        <f>IFERROR(__xludf.DUMMYFUNCTION("""COMPUTED_VALUE"""),"Equipment Malfunction")</f>
        <v>Equipment Malfunction</v>
      </c>
      <c r="I29" s="41" t="str">
        <f>IFERROR(__xludf.DUMMYFUNCTION("""COMPUTED_VALUE"""),"Low RAS flow")</f>
        <v>Low RAS flow</v>
      </c>
      <c r="J29" s="41" t="str">
        <f>IFERROR(__xludf.DUMMYFUNCTION("""COMPUTED_VALUE"""),"Excess FOGs")</f>
        <v>Excess FOGs</v>
      </c>
      <c r="K29" s="41" t="str">
        <f>IFERROR(__xludf.DUMMYFUNCTION("""COMPUTED_VALUE"""),"Denitrification")</f>
        <v>Denitrification</v>
      </c>
      <c r="L29" s="41" t="str">
        <f>IFERROR(__xludf.DUMMYFUNCTION("""COMPUTED_VALUE"""),"Septicity")</f>
        <v>Septicity</v>
      </c>
      <c r="M29" s="41" t="str">
        <f>IFERROR(__xludf.DUMMYFUNCTION("""COMPUTED_VALUE"""),"Filamentous Bulking")</f>
        <v>Filamentous Bulking</v>
      </c>
      <c r="N29" s="41" t="str">
        <f>IFERROR(__xludf.DUMMYFUNCTION("""COMPUTED_VALUE"""),"Non-Filamentous Bulking")</f>
        <v>Non-Filamentous Bulking</v>
      </c>
      <c r="O29" s="41" t="str">
        <f>IFERROR(__xludf.DUMMYFUNCTION("""COMPUTED_VALUE"""),"Dispersed Growth")</f>
        <v>Dispersed Growth</v>
      </c>
      <c r="P29" s="41" t="str">
        <f>IFERROR(__xludf.DUMMYFUNCTION("""COMPUTED_VALUE"""),"Short-Circuiting")</f>
        <v>Short-Circuiting</v>
      </c>
      <c r="Q29" s="41" t="str">
        <f>IFERROR(__xludf.DUMMYFUNCTION("""COMPUTED_VALUE"""),"Overaeration")</f>
        <v>Overaeration</v>
      </c>
      <c r="R29" s="41" t="str">
        <f>IFERROR(__xludf.DUMMYFUNCTION("""COMPUTED_VALUE"""),"Low DO")</f>
        <v>Low DO</v>
      </c>
      <c r="S29" s="41" t="str">
        <f>IFERROR(__xludf.DUMMYFUNCTION("""COMPUTED_VALUE"""),"Toxic upset")</f>
        <v>Toxic upset</v>
      </c>
      <c r="T29" s="41" t="str">
        <f>IFERROR(__xludf.DUMMYFUNCTION("""COMPUTED_VALUE"""),"High Influent COD")</f>
        <v>High Influent COD</v>
      </c>
      <c r="U29" s="41" t="str">
        <f>IFERROR(__xludf.DUMMYFUNCTION("""COMPUTED_VALUE"""),"Process Startup")</f>
        <v>Process Startup</v>
      </c>
      <c r="V29" s="41" t="str">
        <f>IFERROR(__xludf.DUMMYFUNCTION("""COMPUTED_VALUE"""),"Abnormal pH")</f>
        <v>Abnormal pH</v>
      </c>
      <c r="W29" s="41" t="str">
        <f>IFERROR(__xludf.DUMMYFUNCTION("""COMPUTED_VALUE"""),"Abnormal Temperature")</f>
        <v>Abnormal Temperature</v>
      </c>
      <c r="X29" s="41" t="str">
        <f>IFERROR(__xludf.DUMMYFUNCTION("""COMPUTED_VALUE"""),"Low Coagulant Dosing")</f>
        <v>Low Coagulant Dosing</v>
      </c>
      <c r="Y29" s="41" t="str">
        <f>IFERROR(__xludf.DUMMYFUNCTION("""COMPUTED_VALUE"""),"Low Polymer Dosing")</f>
        <v>Low Polymer Dosing</v>
      </c>
      <c r="Z29" s="41" t="str">
        <f>IFERROR(__xludf.DUMMYFUNCTION("""COMPUTED_VALUE"""),"High H2O2 Dosing")</f>
        <v>High H2O2 Dosing</v>
      </c>
      <c r="AA29" s="41" t="str">
        <f>IFERROR(__xludf.DUMMYFUNCTION("""COMPUTED_VALUE"""),"High Chlorine Dosing")</f>
        <v>High Chlorine Dosing</v>
      </c>
      <c r="AB29" s="41" t="str">
        <f>IFERROR(__xludf.DUMMYFUNCTION("""COMPUTED_VALUE"""),"Influent Changes")</f>
        <v>Influent Changes</v>
      </c>
      <c r="AC29" s="41" t="str">
        <f>IFERROR(__xludf.DUMMYFUNCTION("""COMPUTED_VALUE"""),"Very low F:M")</f>
        <v>Very low F:M</v>
      </c>
      <c r="AD29" s="41" t="str">
        <f>IFERROR(__xludf.DUMMYFUNCTION("""COMPUTED_VALUE"""),"Very High MCRT")</f>
        <v>Very High MCRT</v>
      </c>
      <c r="AE29" s="41" t="str">
        <f>IFERROR(__xludf.DUMMYFUNCTION("""COMPUTED_VALUE"""),"Sludge Dewatering Inefficiency")</f>
        <v>Sludge Dewatering Inefficiency</v>
      </c>
      <c r="AF29" s="41" t="str">
        <f>IFERROR(__xludf.DUMMYFUNCTION("""COMPUTED_VALUE"""),"Foam - White/ Grey/ Thick")</f>
        <v>Foam - White/ Grey/ Thick</v>
      </c>
      <c r="AG29" s="41" t="str">
        <f>IFERROR(__xludf.DUMMYFUNCTION("""COMPUTED_VALUE"""),"Foam - White/ Grey/ Thin")</f>
        <v>Foam - White/ Grey/ Thin</v>
      </c>
      <c r="AH29" s="41" t="str">
        <f>IFERROR(__xludf.DUMMYFUNCTION("""COMPUTED_VALUE"""),"Foam - White/ Grey/ Slimy")</f>
        <v>Foam - White/ Grey/ Slimy</v>
      </c>
      <c r="AI29" s="41" t="str">
        <f>IFERROR(__xludf.DUMMYFUNCTION("""COMPUTED_VALUE"""),"Foam - Brown/ Dark/ Thick")</f>
        <v>Foam - Brown/ Dark/ Thick</v>
      </c>
      <c r="AJ29" s="41" t="str">
        <f>IFERROR(__xludf.DUMMYFUNCTION("""COMPUTED_VALUE"""),"Foam - Black/ Very Dark/ Thick")</f>
        <v>Foam - Black/ Very Dark/ Thick</v>
      </c>
      <c r="AK29" s="41" t="str">
        <f>IFERROR(__xludf.DUMMYFUNCTION("""COMPUTED_VALUE"""),"Pin Flocs")</f>
        <v>Pin Flocs</v>
      </c>
      <c r="AL29" s="41" t="str">
        <f>IFERROR(__xludf.DUMMYFUNCTION("""COMPUTED_VALUE"""),"Straggler Flocs")</f>
        <v>Straggler Flocs</v>
      </c>
      <c r="AM29" s="41" t="str">
        <f>IFERROR(__xludf.DUMMYFUNCTION("""COMPUTED_VALUE"""),"Rain")</f>
        <v>Rain</v>
      </c>
      <c r="AN29" s="41" t="str">
        <f>IFERROR(__xludf.DUMMYFUNCTION("""COMPUTED_VALUE"""),"Wind")</f>
        <v>Wind</v>
      </c>
      <c r="AO29" s="41"/>
      <c r="AP29" s="41"/>
      <c r="AQ29" s="41"/>
      <c r="AR29" s="41"/>
      <c r="AS29" s="41"/>
      <c r="AT29" s="41"/>
      <c r="AU29" s="41"/>
      <c r="AV29" s="42"/>
    </row>
    <row r="30">
      <c r="A30" s="36"/>
      <c r="B30" s="37" t="s">
        <v>73</v>
      </c>
      <c r="C30" s="43"/>
      <c r="D30" s="44"/>
      <c r="E30" s="45"/>
      <c r="F30" s="46">
        <f t="shared" ref="F30:AV30" si="2">IF(F29&lt;&gt;"",
IF(COUNTBLANK(E3:E27)&lt;&gt;25,COUNTIF($F$3:$AV$27,F29),1),"")</f>
        <v>3</v>
      </c>
      <c r="G30" s="46">
        <f t="shared" si="2"/>
        <v>2</v>
      </c>
      <c r="H30" s="46">
        <f t="shared" si="2"/>
        <v>4</v>
      </c>
      <c r="I30" s="46">
        <f t="shared" si="2"/>
        <v>2</v>
      </c>
      <c r="J30" s="46">
        <f t="shared" si="2"/>
        <v>4</v>
      </c>
      <c r="K30" s="46">
        <f t="shared" si="2"/>
        <v>9</v>
      </c>
      <c r="L30" s="46">
        <f t="shared" si="2"/>
        <v>6</v>
      </c>
      <c r="M30" s="46">
        <f t="shared" si="2"/>
        <v>3</v>
      </c>
      <c r="N30" s="46">
        <f t="shared" si="2"/>
        <v>3</v>
      </c>
      <c r="O30" s="46">
        <f t="shared" si="2"/>
        <v>4</v>
      </c>
      <c r="P30" s="46">
        <f t="shared" si="2"/>
        <v>3</v>
      </c>
      <c r="Q30" s="46">
        <f t="shared" si="2"/>
        <v>2</v>
      </c>
      <c r="R30" s="46">
        <f t="shared" si="2"/>
        <v>1</v>
      </c>
      <c r="S30" s="46">
        <f t="shared" si="2"/>
        <v>1</v>
      </c>
      <c r="T30" s="46">
        <f t="shared" si="2"/>
        <v>1</v>
      </c>
      <c r="U30" s="46">
        <f t="shared" si="2"/>
        <v>1</v>
      </c>
      <c r="V30" s="46">
        <f t="shared" si="2"/>
        <v>1</v>
      </c>
      <c r="W30" s="46">
        <f t="shared" si="2"/>
        <v>1</v>
      </c>
      <c r="X30" s="46">
        <f t="shared" si="2"/>
        <v>1</v>
      </c>
      <c r="Y30" s="46">
        <f t="shared" si="2"/>
        <v>2</v>
      </c>
      <c r="Z30" s="46">
        <f t="shared" si="2"/>
        <v>1</v>
      </c>
      <c r="AA30" s="46">
        <f t="shared" si="2"/>
        <v>2</v>
      </c>
      <c r="AB30" s="46">
        <f t="shared" si="2"/>
        <v>4</v>
      </c>
      <c r="AC30" s="46">
        <f t="shared" si="2"/>
        <v>2</v>
      </c>
      <c r="AD30" s="46">
        <f t="shared" si="2"/>
        <v>1</v>
      </c>
      <c r="AE30" s="46">
        <f t="shared" si="2"/>
        <v>1</v>
      </c>
      <c r="AF30" s="46">
        <f t="shared" si="2"/>
        <v>1</v>
      </c>
      <c r="AG30" s="46">
        <f t="shared" si="2"/>
        <v>1</v>
      </c>
      <c r="AH30" s="46">
        <f t="shared" si="2"/>
        <v>1</v>
      </c>
      <c r="AI30" s="46">
        <f t="shared" si="2"/>
        <v>1</v>
      </c>
      <c r="AJ30" s="46">
        <f t="shared" si="2"/>
        <v>1</v>
      </c>
      <c r="AK30" s="46">
        <f t="shared" si="2"/>
        <v>1</v>
      </c>
      <c r="AL30" s="46">
        <f t="shared" si="2"/>
        <v>1</v>
      </c>
      <c r="AM30" s="46">
        <f t="shared" si="2"/>
        <v>1</v>
      </c>
      <c r="AN30" s="46">
        <f t="shared" si="2"/>
        <v>1</v>
      </c>
      <c r="AO30" s="46" t="str">
        <f t="shared" si="2"/>
        <v/>
      </c>
      <c r="AP30" s="46" t="str">
        <f t="shared" si="2"/>
        <v/>
      </c>
      <c r="AQ30" s="46" t="str">
        <f t="shared" si="2"/>
        <v/>
      </c>
      <c r="AR30" s="46" t="str">
        <f t="shared" si="2"/>
        <v/>
      </c>
      <c r="AS30" s="46" t="str">
        <f t="shared" si="2"/>
        <v/>
      </c>
      <c r="AT30" s="46" t="str">
        <f t="shared" si="2"/>
        <v/>
      </c>
      <c r="AU30" s="46" t="str">
        <f t="shared" si="2"/>
        <v/>
      </c>
      <c r="AV30" s="47" t="str">
        <f t="shared" si="2"/>
        <v/>
      </c>
    </row>
    <row r="31">
      <c r="A31" s="36"/>
      <c r="B31" s="48"/>
      <c r="C31" s="49" t="s">
        <v>74</v>
      </c>
      <c r="D31" s="50"/>
      <c r="E31" s="51"/>
      <c r="F31" s="52" t="str">
        <f>IFERROR(__xludf.DUMMYFUNCTION("TRANSPOSE(SORT(FILTER(TRANSPOSE(F29:AV30),TRANSPOSE(F30:AV30)&lt;&gt;""""),2,FALSE))"),"Denitrification")</f>
        <v>Denitrification</v>
      </c>
      <c r="G31" s="52" t="str">
        <f>IFERROR(__xludf.DUMMYFUNCTION("""COMPUTED_VALUE"""),"Septicity")</f>
        <v>Septicity</v>
      </c>
      <c r="H31" s="52" t="str">
        <f>IFERROR(__xludf.DUMMYFUNCTION("""COMPUTED_VALUE"""),"Equipment Malfunction")</f>
        <v>Equipment Malfunction</v>
      </c>
      <c r="I31" s="52" t="str">
        <f>IFERROR(__xludf.DUMMYFUNCTION("""COMPUTED_VALUE"""),"Excess FOGs")</f>
        <v>Excess FOGs</v>
      </c>
      <c r="J31" s="52" t="str">
        <f>IFERROR(__xludf.DUMMYFUNCTION("""COMPUTED_VALUE"""),"Dispersed Growth")</f>
        <v>Dispersed Growth</v>
      </c>
      <c r="K31" s="52" t="str">
        <f>IFERROR(__xludf.DUMMYFUNCTION("""COMPUTED_VALUE"""),"Influent Changes")</f>
        <v>Influent Changes</v>
      </c>
      <c r="L31" s="52" t="str">
        <f>IFERROR(__xludf.DUMMYFUNCTION("""COMPUTED_VALUE"""),"Hydraulic Overload")</f>
        <v>Hydraulic Overload</v>
      </c>
      <c r="M31" s="52" t="str">
        <f>IFERROR(__xludf.DUMMYFUNCTION("""COMPUTED_VALUE"""),"Filamentous Bulking")</f>
        <v>Filamentous Bulking</v>
      </c>
      <c r="N31" s="52" t="str">
        <f>IFERROR(__xludf.DUMMYFUNCTION("""COMPUTED_VALUE"""),"Non-Filamentous Bulking")</f>
        <v>Non-Filamentous Bulking</v>
      </c>
      <c r="O31" s="52" t="str">
        <f>IFERROR(__xludf.DUMMYFUNCTION("""COMPUTED_VALUE"""),"Short-Circuiting")</f>
        <v>Short-Circuiting</v>
      </c>
      <c r="P31" s="52" t="str">
        <f>IFERROR(__xludf.DUMMYFUNCTION("""COMPUTED_VALUE"""),"Organic Overload")</f>
        <v>Organic Overload</v>
      </c>
      <c r="Q31" s="52" t="str">
        <f>IFERROR(__xludf.DUMMYFUNCTION("""COMPUTED_VALUE"""),"Low RAS flow")</f>
        <v>Low RAS flow</v>
      </c>
      <c r="R31" s="52" t="str">
        <f>IFERROR(__xludf.DUMMYFUNCTION("""COMPUTED_VALUE"""),"Overaeration")</f>
        <v>Overaeration</v>
      </c>
      <c r="S31" s="52" t="str">
        <f>IFERROR(__xludf.DUMMYFUNCTION("""COMPUTED_VALUE"""),"Low Polymer Dosing")</f>
        <v>Low Polymer Dosing</v>
      </c>
      <c r="T31" s="52" t="str">
        <f>IFERROR(__xludf.DUMMYFUNCTION("""COMPUTED_VALUE"""),"High Chlorine Dosing")</f>
        <v>High Chlorine Dosing</v>
      </c>
      <c r="U31" s="52" t="str">
        <f>IFERROR(__xludf.DUMMYFUNCTION("""COMPUTED_VALUE"""),"Very low F:M")</f>
        <v>Very low F:M</v>
      </c>
      <c r="V31" s="52" t="str">
        <f>IFERROR(__xludf.DUMMYFUNCTION("""COMPUTED_VALUE"""),"Low DO")</f>
        <v>Low DO</v>
      </c>
      <c r="W31" s="52" t="str">
        <f>IFERROR(__xludf.DUMMYFUNCTION("""COMPUTED_VALUE"""),"Toxic upset")</f>
        <v>Toxic upset</v>
      </c>
      <c r="X31" s="52" t="str">
        <f>IFERROR(__xludf.DUMMYFUNCTION("""COMPUTED_VALUE"""),"High Influent COD")</f>
        <v>High Influent COD</v>
      </c>
      <c r="Y31" s="52" t="str">
        <f>IFERROR(__xludf.DUMMYFUNCTION("""COMPUTED_VALUE"""),"Process Startup")</f>
        <v>Process Startup</v>
      </c>
      <c r="Z31" s="52" t="str">
        <f>IFERROR(__xludf.DUMMYFUNCTION("""COMPUTED_VALUE"""),"Abnormal pH")</f>
        <v>Abnormal pH</v>
      </c>
      <c r="AA31" s="52" t="str">
        <f>IFERROR(__xludf.DUMMYFUNCTION("""COMPUTED_VALUE"""),"Abnormal Temperature")</f>
        <v>Abnormal Temperature</v>
      </c>
      <c r="AB31" s="52" t="str">
        <f>IFERROR(__xludf.DUMMYFUNCTION("""COMPUTED_VALUE"""),"Low Coagulant Dosing")</f>
        <v>Low Coagulant Dosing</v>
      </c>
      <c r="AC31" s="52" t="str">
        <f>IFERROR(__xludf.DUMMYFUNCTION("""COMPUTED_VALUE"""),"High H2O2 Dosing")</f>
        <v>High H2O2 Dosing</v>
      </c>
      <c r="AD31" s="52" t="str">
        <f>IFERROR(__xludf.DUMMYFUNCTION("""COMPUTED_VALUE"""),"Very High MCRT")</f>
        <v>Very High MCRT</v>
      </c>
      <c r="AE31" s="52" t="str">
        <f>IFERROR(__xludf.DUMMYFUNCTION("""COMPUTED_VALUE"""),"Sludge Dewatering Inefficiency")</f>
        <v>Sludge Dewatering Inefficiency</v>
      </c>
      <c r="AF31" s="52" t="str">
        <f>IFERROR(__xludf.DUMMYFUNCTION("""COMPUTED_VALUE"""),"Foam - White/ Grey/ Thick")</f>
        <v>Foam - White/ Grey/ Thick</v>
      </c>
      <c r="AG31" s="52" t="str">
        <f>IFERROR(__xludf.DUMMYFUNCTION("""COMPUTED_VALUE"""),"Foam - White/ Grey/ Thin")</f>
        <v>Foam - White/ Grey/ Thin</v>
      </c>
      <c r="AH31" s="52" t="str">
        <f>IFERROR(__xludf.DUMMYFUNCTION("""COMPUTED_VALUE"""),"Foam - White/ Grey/ Slimy")</f>
        <v>Foam - White/ Grey/ Slimy</v>
      </c>
      <c r="AI31" s="52" t="str">
        <f>IFERROR(__xludf.DUMMYFUNCTION("""COMPUTED_VALUE"""),"Foam - Brown/ Dark/ Thick")</f>
        <v>Foam - Brown/ Dark/ Thick</v>
      </c>
      <c r="AJ31" s="52" t="str">
        <f>IFERROR(__xludf.DUMMYFUNCTION("""COMPUTED_VALUE"""),"Foam - Black/ Very Dark/ Thick")</f>
        <v>Foam - Black/ Very Dark/ Thick</v>
      </c>
      <c r="AK31" s="52" t="str">
        <f>IFERROR(__xludf.DUMMYFUNCTION("""COMPUTED_VALUE"""),"Pin Flocs")</f>
        <v>Pin Flocs</v>
      </c>
      <c r="AL31" s="52" t="str">
        <f>IFERROR(__xludf.DUMMYFUNCTION("""COMPUTED_VALUE"""),"Straggler Flocs")</f>
        <v>Straggler Flocs</v>
      </c>
      <c r="AM31" s="52" t="str">
        <f>IFERROR(__xludf.DUMMYFUNCTION("""COMPUTED_VALUE"""),"Rain")</f>
        <v>Rain</v>
      </c>
      <c r="AN31" s="52" t="str">
        <f>IFERROR(__xludf.DUMMYFUNCTION("""COMPUTED_VALUE"""),"Wind")</f>
        <v>Wind</v>
      </c>
      <c r="AO31" s="52"/>
      <c r="AP31" s="52"/>
      <c r="AQ31" s="52"/>
      <c r="AR31" s="52"/>
      <c r="AS31" s="52"/>
      <c r="AT31" s="52"/>
      <c r="AU31" s="52"/>
      <c r="AV31" s="53"/>
    </row>
    <row r="32">
      <c r="A32" s="36"/>
      <c r="B32" s="48"/>
      <c r="C32" s="54"/>
      <c r="D32" s="55"/>
      <c r="E32" s="56"/>
      <c r="F32" s="57">
        <f>IFERROR(__xludf.DUMMYFUNCTION("""COMPUTED_VALUE"""),9.0)</f>
        <v>9</v>
      </c>
      <c r="G32" s="57">
        <f>IFERROR(__xludf.DUMMYFUNCTION("""COMPUTED_VALUE"""),6.0)</f>
        <v>6</v>
      </c>
      <c r="H32" s="57">
        <f>IFERROR(__xludf.DUMMYFUNCTION("""COMPUTED_VALUE"""),4.0)</f>
        <v>4</v>
      </c>
      <c r="I32" s="57">
        <f>IFERROR(__xludf.DUMMYFUNCTION("""COMPUTED_VALUE"""),4.0)</f>
        <v>4</v>
      </c>
      <c r="J32" s="57">
        <f>IFERROR(__xludf.DUMMYFUNCTION("""COMPUTED_VALUE"""),4.0)</f>
        <v>4</v>
      </c>
      <c r="K32" s="57">
        <f>IFERROR(__xludf.DUMMYFUNCTION("""COMPUTED_VALUE"""),4.0)</f>
        <v>4</v>
      </c>
      <c r="L32" s="57">
        <f>IFERROR(__xludf.DUMMYFUNCTION("""COMPUTED_VALUE"""),3.0)</f>
        <v>3</v>
      </c>
      <c r="M32" s="57">
        <f>IFERROR(__xludf.DUMMYFUNCTION("""COMPUTED_VALUE"""),3.0)</f>
        <v>3</v>
      </c>
      <c r="N32" s="57">
        <f>IFERROR(__xludf.DUMMYFUNCTION("""COMPUTED_VALUE"""),3.0)</f>
        <v>3</v>
      </c>
      <c r="O32" s="57">
        <f>IFERROR(__xludf.DUMMYFUNCTION("""COMPUTED_VALUE"""),3.0)</f>
        <v>3</v>
      </c>
      <c r="P32" s="57">
        <f>IFERROR(__xludf.DUMMYFUNCTION("""COMPUTED_VALUE"""),2.0)</f>
        <v>2</v>
      </c>
      <c r="Q32" s="57">
        <f>IFERROR(__xludf.DUMMYFUNCTION("""COMPUTED_VALUE"""),2.0)</f>
        <v>2</v>
      </c>
      <c r="R32" s="57">
        <f>IFERROR(__xludf.DUMMYFUNCTION("""COMPUTED_VALUE"""),2.0)</f>
        <v>2</v>
      </c>
      <c r="S32" s="57">
        <f>IFERROR(__xludf.DUMMYFUNCTION("""COMPUTED_VALUE"""),2.0)</f>
        <v>2</v>
      </c>
      <c r="T32" s="57">
        <f>IFERROR(__xludf.DUMMYFUNCTION("""COMPUTED_VALUE"""),2.0)</f>
        <v>2</v>
      </c>
      <c r="U32" s="57">
        <f>IFERROR(__xludf.DUMMYFUNCTION("""COMPUTED_VALUE"""),2.0)</f>
        <v>2</v>
      </c>
      <c r="V32" s="57">
        <f>IFERROR(__xludf.DUMMYFUNCTION("""COMPUTED_VALUE"""),1.0)</f>
        <v>1</v>
      </c>
      <c r="W32" s="57">
        <f>IFERROR(__xludf.DUMMYFUNCTION("""COMPUTED_VALUE"""),1.0)</f>
        <v>1</v>
      </c>
      <c r="X32" s="57">
        <f>IFERROR(__xludf.DUMMYFUNCTION("""COMPUTED_VALUE"""),1.0)</f>
        <v>1</v>
      </c>
      <c r="Y32" s="57">
        <f>IFERROR(__xludf.DUMMYFUNCTION("""COMPUTED_VALUE"""),1.0)</f>
        <v>1</v>
      </c>
      <c r="Z32" s="57">
        <f>IFERROR(__xludf.DUMMYFUNCTION("""COMPUTED_VALUE"""),1.0)</f>
        <v>1</v>
      </c>
      <c r="AA32" s="57">
        <f>IFERROR(__xludf.DUMMYFUNCTION("""COMPUTED_VALUE"""),1.0)</f>
        <v>1</v>
      </c>
      <c r="AB32" s="57">
        <f>IFERROR(__xludf.DUMMYFUNCTION("""COMPUTED_VALUE"""),1.0)</f>
        <v>1</v>
      </c>
      <c r="AC32" s="57">
        <f>IFERROR(__xludf.DUMMYFUNCTION("""COMPUTED_VALUE"""),1.0)</f>
        <v>1</v>
      </c>
      <c r="AD32" s="57">
        <f>IFERROR(__xludf.DUMMYFUNCTION("""COMPUTED_VALUE"""),1.0)</f>
        <v>1</v>
      </c>
      <c r="AE32" s="57">
        <f>IFERROR(__xludf.DUMMYFUNCTION("""COMPUTED_VALUE"""),1.0)</f>
        <v>1</v>
      </c>
      <c r="AF32" s="57">
        <f>IFERROR(__xludf.DUMMYFUNCTION("""COMPUTED_VALUE"""),1.0)</f>
        <v>1</v>
      </c>
      <c r="AG32" s="57">
        <f>IFERROR(__xludf.DUMMYFUNCTION("""COMPUTED_VALUE"""),1.0)</f>
        <v>1</v>
      </c>
      <c r="AH32" s="57">
        <f>IFERROR(__xludf.DUMMYFUNCTION("""COMPUTED_VALUE"""),1.0)</f>
        <v>1</v>
      </c>
      <c r="AI32" s="57">
        <f>IFERROR(__xludf.DUMMYFUNCTION("""COMPUTED_VALUE"""),1.0)</f>
        <v>1</v>
      </c>
      <c r="AJ32" s="57">
        <f>IFERROR(__xludf.DUMMYFUNCTION("""COMPUTED_VALUE"""),1.0)</f>
        <v>1</v>
      </c>
      <c r="AK32" s="57">
        <f>IFERROR(__xludf.DUMMYFUNCTION("""COMPUTED_VALUE"""),1.0)</f>
        <v>1</v>
      </c>
      <c r="AL32" s="57">
        <f>IFERROR(__xludf.DUMMYFUNCTION("""COMPUTED_VALUE"""),1.0)</f>
        <v>1</v>
      </c>
      <c r="AM32" s="57">
        <f>IFERROR(__xludf.DUMMYFUNCTION("""COMPUTED_VALUE"""),1.0)</f>
        <v>1</v>
      </c>
      <c r="AN32" s="57">
        <f>IFERROR(__xludf.DUMMYFUNCTION("""COMPUTED_VALUE"""),1.0)</f>
        <v>1</v>
      </c>
      <c r="AO32" s="57"/>
      <c r="AP32" s="57"/>
      <c r="AQ32" s="57"/>
      <c r="AR32" s="57"/>
      <c r="AS32" s="57"/>
      <c r="AT32" s="57"/>
      <c r="AU32" s="57"/>
      <c r="AV32" s="58"/>
    </row>
  </sheetData>
  <mergeCells count="7">
    <mergeCell ref="A1:B2"/>
    <mergeCell ref="C1:C2"/>
    <mergeCell ref="D1:D2"/>
    <mergeCell ref="E1:E2"/>
    <mergeCell ref="F1:AV1"/>
    <mergeCell ref="C29:C30"/>
    <mergeCell ref="C31:C32"/>
  </mergeCells>
  <conditionalFormatting sqref="A3:AV27">
    <cfRule type="expression" dxfId="0" priority="1">
      <formula>$D3=TRUE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38"/>
    <col customWidth="1" min="2" max="2" width="70.38"/>
    <col customWidth="1" min="3" max="3" width="10.38"/>
    <col customWidth="1" min="4" max="4" width="3.63"/>
    <col customWidth="1" min="5" max="5" width="8.0"/>
    <col customWidth="1" min="6" max="6" width="8.63"/>
    <col customWidth="1" min="7" max="14" width="8.25"/>
    <col customWidth="1" min="15" max="15" width="9.25"/>
    <col customWidth="1" min="16" max="16" width="9.13"/>
    <col customWidth="1" min="17" max="48" width="9.25"/>
  </cols>
  <sheetData>
    <row r="1">
      <c r="A1" s="1" t="s">
        <v>0</v>
      </c>
      <c r="C1" s="2" t="s">
        <v>1</v>
      </c>
      <c r="D1" s="3" t="b">
        <v>1</v>
      </c>
      <c r="E1" s="4" t="s">
        <v>2</v>
      </c>
      <c r="F1" s="5" t="s">
        <v>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7"/>
    </row>
    <row r="2">
      <c r="A2" s="8"/>
      <c r="B2" s="8"/>
      <c r="C2" s="8"/>
      <c r="D2" s="9"/>
      <c r="E2" s="8"/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28</v>
      </c>
      <c r="AE2" s="10" t="s">
        <v>29</v>
      </c>
      <c r="AF2" s="10" t="s">
        <v>30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36</v>
      </c>
      <c r="AM2" s="10" t="s">
        <v>37</v>
      </c>
      <c r="AN2" s="10" t="s">
        <v>38</v>
      </c>
      <c r="AO2" s="10" t="s">
        <v>39</v>
      </c>
      <c r="AP2" s="10" t="s">
        <v>40</v>
      </c>
      <c r="AQ2" s="10" t="s">
        <v>41</v>
      </c>
      <c r="AR2" s="10" t="s">
        <v>42</v>
      </c>
      <c r="AS2" s="10" t="s">
        <v>43</v>
      </c>
      <c r="AT2" s="10" t="s">
        <v>44</v>
      </c>
      <c r="AU2" s="10" t="s">
        <v>45</v>
      </c>
      <c r="AV2" s="11" t="s">
        <v>46</v>
      </c>
    </row>
    <row r="3">
      <c r="A3" s="59">
        <v>1.0</v>
      </c>
      <c r="B3" s="60" t="s">
        <v>47</v>
      </c>
      <c r="C3" s="61"/>
      <c r="D3" s="62"/>
      <c r="E3" s="63"/>
      <c r="F3" s="61" t="str">
        <f t="array" ref="F3">IF('Obsv 1'!F3="","",INDEX('Tests 1'!$C$2:$C$36,MATCH('Obsv 1'!F3,'Tests 1'!$B$2:$B$36,0)))</f>
        <v>HO</v>
      </c>
      <c r="G3" s="61" t="str">
        <f t="array" ref="G3">IF('Obsv 1'!G3="","",INDEX('Tests 1'!$C$2:$C$36,MATCH('Obsv 1'!G3,'Tests 1'!$B$2:$B$36,0)))</f>
        <v>OO</v>
      </c>
      <c r="H3" s="61" t="str">
        <f t="array" ref="H3">IF('Obsv 1'!H3="","",INDEX('Tests 1'!$C$2:$C$36,MATCH('Obsv 1'!H3,'Tests 1'!$B$2:$B$36,0)))</f>
        <v>EQ</v>
      </c>
      <c r="I3" s="61" t="str">
        <f t="array" ref="I3">IF('Obsv 1'!I3="","",INDEX('Tests 1'!$C$2:$C$36,MATCH('Obsv 1'!I3,'Tests 1'!$B$2:$B$36,0)))</f>
        <v>RS</v>
      </c>
      <c r="J3" s="61" t="str">
        <f t="array" ref="J3">IF('Obsv 1'!J3="","",INDEX('Tests 1'!$C$2:$C$36,MATCH('Obsv 1'!J3,'Tests 1'!$B$2:$B$36,0)))</f>
        <v>OG</v>
      </c>
      <c r="K3" s="61" t="str">
        <f t="array" ref="K3">IF('Obsv 1'!K3="","",INDEX('Tests 1'!$C$2:$C$36,MATCH('Obsv 1'!K3,'Tests 1'!$B$2:$B$36,0)))</f>
        <v>DN</v>
      </c>
      <c r="L3" s="61" t="str">
        <f t="array" ref="L3">IF('Obsv 1'!L3="","",INDEX('Tests 1'!$C$2:$C$36,MATCH('Obsv 1'!L3,'Tests 1'!$B$2:$B$36,0)))</f>
        <v>SP</v>
      </c>
      <c r="M3" s="61" t="str">
        <f t="array" ref="M3">IF('Obsv 1'!M3="","",INDEX('Tests 1'!$C$2:$C$36,MATCH('Obsv 1'!M3,'Tests 1'!$B$2:$B$36,0)))</f>
        <v>FB</v>
      </c>
      <c r="N3" s="61" t="str">
        <f t="array" ref="N3">IF('Obsv 1'!N3="","",INDEX('Tests 1'!$C$2:$C$36,MATCH('Obsv 1'!N3,'Tests 1'!$B$2:$B$36,0)))</f>
        <v>SB</v>
      </c>
      <c r="O3" s="61" t="str">
        <f t="array" ref="O3">IF('Obsv 1'!O3="","",INDEX('Tests 1'!$C$2:$C$36,MATCH('Obsv 1'!O3,'Tests 1'!$B$2:$B$36,0)))</f>
        <v>DP</v>
      </c>
      <c r="P3" s="61" t="str">
        <f t="array" ref="P3">IF('Obsv 1'!P3="","",INDEX('Tests 1'!$C$2:$C$36,MATCH('Obsv 1'!P3,'Tests 1'!$B$2:$B$36,0)))</f>
        <v>SC</v>
      </c>
      <c r="Q3" s="61" t="str">
        <f t="array" ref="Q3">IF('Obsv 1'!Q3="","",INDEX('Tests 1'!$C$2:$C$36,MATCH('Obsv 1'!Q3,'Tests 1'!$B$2:$B$36,0)))</f>
        <v>OA</v>
      </c>
      <c r="R3" s="61" t="str">
        <f t="array" ref="R3">IF('Obsv 1'!R3="","",INDEX('Tests 1'!$C$2:$C$36,MATCH('Obsv 1'!R3,'Tests 1'!$B$2:$B$36,0)))</f>
        <v>DO</v>
      </c>
      <c r="S3" s="61" t="str">
        <f t="array" ref="S3">IF('Obsv 1'!S3="","",INDEX('Tests 1'!$C$2:$C$36,MATCH('Obsv 1'!S3,'Tests 1'!$B$2:$B$36,0)))</f>
        <v>TX</v>
      </c>
      <c r="T3" s="61" t="str">
        <f t="array" ref="T3">IF('Obsv 1'!T3="","",INDEX('Tests 1'!$C$2:$C$36,MATCH('Obsv 1'!T3,'Tests 1'!$B$2:$B$36,0)))</f>
        <v>OD</v>
      </c>
      <c r="U3" s="61" t="str">
        <f t="array" ref="U3">IF('Obsv 1'!U3="","",INDEX('Tests 1'!$C$2:$C$36,MATCH('Obsv 1'!U3,'Tests 1'!$B$2:$B$36,0)))</f>
        <v>PS</v>
      </c>
      <c r="V3" s="61" t="str">
        <f t="array" ref="V3">IF('Obsv 1'!V3="","",INDEX('Tests 1'!$C$2:$C$36,MATCH('Obsv 1'!V3,'Tests 1'!$B$2:$B$36,0)))</f>
        <v>PH</v>
      </c>
      <c r="W3" s="61" t="str">
        <f t="array" ref="W3">IF('Obsv 1'!W3="","",INDEX('Tests 1'!$C$2:$C$36,MATCH('Obsv 1'!W3,'Tests 1'!$B$2:$B$36,0)))</f>
        <v>TM</v>
      </c>
      <c r="X3" s="61" t="str">
        <f t="array" ref="X3">IF('Obsv 1'!X3="","",INDEX('Tests 1'!$C$2:$C$36,MATCH('Obsv 1'!X3,'Tests 1'!$B$2:$B$36,0)))</f>
        <v>CG</v>
      </c>
      <c r="Y3" s="61" t="str">
        <f t="array" ref="Y3">IF('Obsv 1'!Y3="","",INDEX('Tests 1'!$C$2:$C$36,MATCH('Obsv 1'!Y3,'Tests 1'!$B$2:$B$36,0)))</f>
        <v>PD</v>
      </c>
      <c r="Z3" s="61" t="str">
        <f t="array" ref="Z3">IF('Obsv 1'!Z3="","",INDEX('Tests 1'!$C$2:$C$36,MATCH('Obsv 1'!Z3,'Tests 1'!$B$2:$B$36,0)))</f>
        <v>HD</v>
      </c>
      <c r="AA3" s="61" t="str">
        <f t="array" ref="AA3">IF('Obsv 1'!AA3="","",INDEX('Tests 1'!$C$2:$C$36,MATCH('Obsv 1'!AA3,'Tests 1'!$B$2:$B$36,0)))</f>
        <v>CD</v>
      </c>
      <c r="AB3" s="61" t="str">
        <f t="array" ref="AB3">IF('Obsv 1'!AB3="","",INDEX('Tests 1'!$C$2:$C$36,MATCH('Obsv 1'!AB3,'Tests 1'!$B$2:$B$36,0)))</f>
        <v>IF</v>
      </c>
      <c r="AC3" s="61" t="str">
        <f t="array" ref="AC3">IF('Obsv 1'!AC3="","",INDEX('Tests 1'!$C$2:$C$36,MATCH('Obsv 1'!AC3,'Tests 1'!$B$2:$B$36,0)))</f>
        <v/>
      </c>
      <c r="AD3" s="61" t="str">
        <f t="array" ref="AD3">IF('Obsv 1'!AD3="","",INDEX('Tests 1'!$C$2:$C$36,MATCH('Obsv 1'!AD3,'Tests 1'!$B$2:$B$36,0)))</f>
        <v/>
      </c>
      <c r="AE3" s="61" t="str">
        <f t="array" ref="AE3">IF('Obsv 1'!AE3="","",INDEX('Tests 1'!$C$2:$C$36,MATCH('Obsv 1'!AE3,'Tests 1'!$B$2:$B$36,0)))</f>
        <v/>
      </c>
      <c r="AF3" s="61" t="str">
        <f t="array" ref="AF3">IF('Obsv 1'!AF3="","",INDEX('Tests 1'!$C$2:$C$36,MATCH('Obsv 1'!AF3,'Tests 1'!$B$2:$B$36,0)))</f>
        <v/>
      </c>
      <c r="AG3" s="61" t="str">
        <f t="array" ref="AG3">IF('Obsv 1'!AG3="","",INDEX('Tests 1'!$C$2:$C$36,MATCH('Obsv 1'!AG3,'Tests 1'!$B$2:$B$36,0)))</f>
        <v/>
      </c>
      <c r="AH3" s="61" t="str">
        <f t="array" ref="AH3">IF('Obsv 1'!AH3="","",INDEX('Tests 1'!$C$2:$C$36,MATCH('Obsv 1'!AH3,'Tests 1'!$B$2:$B$36,0)))</f>
        <v/>
      </c>
      <c r="AI3" s="61" t="str">
        <f t="array" ref="AI3">IF('Obsv 1'!AI3="","",INDEX('Tests 1'!$C$2:$C$36,MATCH('Obsv 1'!AI3,'Tests 1'!$B$2:$B$36,0)))</f>
        <v/>
      </c>
      <c r="AJ3" s="61" t="str">
        <f t="array" ref="AJ3">IF('Obsv 1'!AJ3="","",INDEX('Tests 1'!$C$2:$C$36,MATCH('Obsv 1'!AJ3,'Tests 1'!$B$2:$B$36,0)))</f>
        <v/>
      </c>
      <c r="AK3" s="61" t="str">
        <f t="array" ref="AK3">IF('Obsv 1'!AK3="","",INDEX('Tests 1'!$C$2:$C$36,MATCH('Obsv 1'!AK3,'Tests 1'!$B$2:$B$36,0)))</f>
        <v/>
      </c>
      <c r="AL3" s="61" t="str">
        <f t="array" ref="AL3">IF('Obsv 1'!AL3="","",INDEX('Tests 1'!$C$2:$C$36,MATCH('Obsv 1'!AL3,'Tests 1'!$B$2:$B$36,0)))</f>
        <v/>
      </c>
      <c r="AM3" s="61" t="str">
        <f t="array" ref="AM3">IF('Obsv 1'!AM3="","",INDEX('Tests 1'!$C$2:$C$36,MATCH('Obsv 1'!AM3,'Tests 1'!$B$2:$B$36,0)))</f>
        <v/>
      </c>
      <c r="AN3" s="61" t="str">
        <f t="array" ref="AN3">IF('Obsv 1'!AN3="","",INDEX('Tests 1'!$C$2:$C$36,MATCH('Obsv 1'!AN3,'Tests 1'!$B$2:$B$36,0)))</f>
        <v/>
      </c>
      <c r="AO3" s="61" t="str">
        <f t="array" ref="AO3">IF('Obsv 1'!AO3="","",INDEX('Tests 1'!$C$2:$C$36,MATCH('Obsv 1'!AO3,'Tests 1'!$B$2:$B$36,0)))</f>
        <v/>
      </c>
      <c r="AP3" s="61" t="str">
        <f t="array" ref="AP3">IF('Obsv 1'!AP3="","",INDEX('Tests 1'!$C$2:$C$36,MATCH('Obsv 1'!AP3,'Tests 1'!$B$2:$B$36,0)))</f>
        <v/>
      </c>
      <c r="AQ3" s="61" t="str">
        <f t="array" ref="AQ3">IF('Obsv 1'!AQ3="","",INDEX('Tests 1'!$C$2:$C$36,MATCH('Obsv 1'!AQ3,'Tests 1'!$B$2:$B$36,0)))</f>
        <v/>
      </c>
      <c r="AR3" s="61" t="str">
        <f t="array" ref="AR3">IF('Obsv 1'!AR3="","",INDEX('Tests 1'!$C$2:$C$36,MATCH('Obsv 1'!AR3,'Tests 1'!$B$2:$B$36,0)))</f>
        <v/>
      </c>
      <c r="AS3" s="61" t="str">
        <f t="array" ref="AS3">IF('Obsv 1'!AS3="","",INDEX('Tests 1'!$C$2:$C$36,MATCH('Obsv 1'!AS3,'Tests 1'!$B$2:$B$36,0)))</f>
        <v/>
      </c>
      <c r="AT3" s="61" t="str">
        <f t="array" ref="AT3">IF('Obsv 1'!AT3="","",INDEX('Tests 1'!$C$2:$C$36,MATCH('Obsv 1'!AT3,'Tests 1'!$B$2:$B$36,0)))</f>
        <v/>
      </c>
      <c r="AU3" s="61" t="str">
        <f t="array" ref="AU3">IF('Obsv 1'!AU3="","",INDEX('Tests 1'!$C$2:$C$36,MATCH('Obsv 1'!AU3,'Tests 1'!$B$2:$B$36,0)))</f>
        <v/>
      </c>
      <c r="AV3" s="62" t="str">
        <f t="array" ref="AV3">IF('Obsv 1'!AV3="","",INDEX('Tests 1'!$C$2:$C$36,MATCH('Obsv 1'!AV3,'Tests 1'!$B$2:$B$36,0)))</f>
        <v/>
      </c>
    </row>
    <row r="4">
      <c r="A4" s="59">
        <v>2.0</v>
      </c>
      <c r="B4" s="60" t="s">
        <v>48</v>
      </c>
      <c r="C4" s="64"/>
      <c r="D4" s="62"/>
      <c r="E4" s="63"/>
      <c r="F4" s="61" t="str">
        <f t="array" ref="F4">IF('Obsv 1'!F4="","",INDEX('Tests 1'!$C$2:$C$36,MATCH('Obsv 1'!F4,'Tests 1'!$B$2:$B$36,0)))</f>
        <v>HO</v>
      </c>
      <c r="G4" s="61" t="str">
        <f t="array" ref="G4">IF('Obsv 1'!G4="","",INDEX('Tests 1'!$C$2:$C$36,MATCH('Obsv 1'!G4,'Tests 1'!$B$2:$B$36,0)))</f>
        <v>OO</v>
      </c>
      <c r="H4" s="61" t="str">
        <f t="array" ref="H4">IF('Obsv 1'!H4="","",INDEX('Tests 1'!$C$2:$C$36,MATCH('Obsv 1'!H4,'Tests 1'!$B$2:$B$36,0)))</f>
        <v>EQ</v>
      </c>
      <c r="I4" s="61" t="str">
        <f t="array" ref="I4">IF('Obsv 1'!I4="","",INDEX('Tests 1'!$C$2:$C$36,MATCH('Obsv 1'!I4,'Tests 1'!$B$2:$B$36,0)))</f>
        <v>RS</v>
      </c>
      <c r="J4" s="61" t="str">
        <f t="array" ref="J4">IF('Obsv 1'!J4="","",INDEX('Tests 1'!$C$2:$C$36,MATCH('Obsv 1'!J4,'Tests 1'!$B$2:$B$36,0)))</f>
        <v>DN</v>
      </c>
      <c r="K4" s="61" t="str">
        <f t="array" ref="K4">IF('Obsv 1'!K4="","",INDEX('Tests 1'!$C$2:$C$36,MATCH('Obsv 1'!K4,'Tests 1'!$B$2:$B$36,0)))</f>
        <v>SP</v>
      </c>
      <c r="L4" s="61" t="str">
        <f t="array" ref="L4">IF('Obsv 1'!L4="","",INDEX('Tests 1'!$C$2:$C$36,MATCH('Obsv 1'!L4,'Tests 1'!$B$2:$B$36,0)))</f>
        <v>FB</v>
      </c>
      <c r="M4" s="61" t="str">
        <f t="array" ref="M4">IF('Obsv 1'!M4="","",INDEX('Tests 1'!$C$2:$C$36,MATCH('Obsv 1'!M4,'Tests 1'!$B$2:$B$36,0)))</f>
        <v>SB</v>
      </c>
      <c r="N4" s="61" t="str">
        <f t="array" ref="N4">IF('Obsv 1'!N4="","",INDEX('Tests 1'!$C$2:$C$36,MATCH('Obsv 1'!N4,'Tests 1'!$B$2:$B$36,0)))</f>
        <v>DP</v>
      </c>
      <c r="O4" s="61" t="str">
        <f t="array" ref="O4">IF('Obsv 1'!O4="","",INDEX('Tests 1'!$C$2:$C$36,MATCH('Obsv 1'!O4,'Tests 1'!$B$2:$B$36,0)))</f>
        <v>SC</v>
      </c>
      <c r="P4" s="61" t="str">
        <f t="array" ref="P4">IF('Obsv 1'!P4="","",INDEX('Tests 1'!$C$2:$C$36,MATCH('Obsv 1'!P4,'Tests 1'!$B$2:$B$36,0)))</f>
        <v>OA</v>
      </c>
      <c r="Q4" s="61" t="str">
        <f t="array" ref="Q4">IF('Obsv 1'!Q4="","",INDEX('Tests 1'!$C$2:$C$36,MATCH('Obsv 1'!Q4,'Tests 1'!$B$2:$B$36,0)))</f>
        <v>PD</v>
      </c>
      <c r="R4" s="61" t="str">
        <f t="array" ref="R4">IF('Obsv 1'!R4="","",INDEX('Tests 1'!$C$2:$C$36,MATCH('Obsv 1'!R4,'Tests 1'!$B$2:$B$36,0)))</f>
        <v>IF</v>
      </c>
      <c r="S4" s="61" t="str">
        <f t="array" ref="S4">IF('Obsv 1'!S4="","",INDEX('Tests 1'!$C$2:$C$36,MATCH('Obsv 1'!S4,'Tests 1'!$B$2:$B$36,0)))</f>
        <v/>
      </c>
      <c r="T4" s="61" t="str">
        <f t="array" ref="T4">IF('Obsv 1'!T4="","",INDEX('Tests 1'!$C$2:$C$36,MATCH('Obsv 1'!T4,'Tests 1'!$B$2:$B$36,0)))</f>
        <v/>
      </c>
      <c r="U4" s="61" t="str">
        <f t="array" ref="U4">IF('Obsv 1'!U4="","",INDEX('Tests 1'!$C$2:$C$36,MATCH('Obsv 1'!U4,'Tests 1'!$B$2:$B$36,0)))</f>
        <v/>
      </c>
      <c r="V4" s="61" t="str">
        <f t="array" ref="V4">IF('Obsv 1'!V4="","",INDEX('Tests 1'!$C$2:$C$36,MATCH('Obsv 1'!V4,'Tests 1'!$B$2:$B$36,0)))</f>
        <v/>
      </c>
      <c r="W4" s="61" t="str">
        <f t="array" ref="W4">IF('Obsv 1'!W4="","",INDEX('Tests 1'!$C$2:$C$36,MATCH('Obsv 1'!W4,'Tests 1'!$B$2:$B$36,0)))</f>
        <v/>
      </c>
      <c r="X4" s="61" t="str">
        <f t="array" ref="X4">IF('Obsv 1'!X4="","",INDEX('Tests 1'!$C$2:$C$36,MATCH('Obsv 1'!X4,'Tests 1'!$B$2:$B$36,0)))</f>
        <v/>
      </c>
      <c r="Y4" s="61" t="str">
        <f t="array" ref="Y4">IF('Obsv 1'!Y4="","",INDEX('Tests 1'!$C$2:$C$36,MATCH('Obsv 1'!Y4,'Tests 1'!$B$2:$B$36,0)))</f>
        <v/>
      </c>
      <c r="Z4" s="61" t="str">
        <f t="array" ref="Z4">IF('Obsv 1'!Z4="","",INDEX('Tests 1'!$C$2:$C$36,MATCH('Obsv 1'!Z4,'Tests 1'!$B$2:$B$36,0)))</f>
        <v/>
      </c>
      <c r="AA4" s="61" t="str">
        <f t="array" ref="AA4">IF('Obsv 1'!AA4="","",INDEX('Tests 1'!$C$2:$C$36,MATCH('Obsv 1'!AA4,'Tests 1'!$B$2:$B$36,0)))</f>
        <v/>
      </c>
      <c r="AB4" s="61" t="str">
        <f t="array" ref="AB4">IF('Obsv 1'!AB4="","",INDEX('Tests 1'!$C$2:$C$36,MATCH('Obsv 1'!AB4,'Tests 1'!$B$2:$B$36,0)))</f>
        <v/>
      </c>
      <c r="AC4" s="61" t="str">
        <f t="array" ref="AC4">IF('Obsv 1'!AC4="","",INDEX('Tests 1'!$C$2:$C$36,MATCH('Obsv 1'!AC4,'Tests 1'!$B$2:$B$36,0)))</f>
        <v/>
      </c>
      <c r="AD4" s="61" t="str">
        <f t="array" ref="AD4">IF('Obsv 1'!AD4="","",INDEX('Tests 1'!$C$2:$C$36,MATCH('Obsv 1'!AD4,'Tests 1'!$B$2:$B$36,0)))</f>
        <v/>
      </c>
      <c r="AE4" s="61" t="str">
        <f t="array" ref="AE4">IF('Obsv 1'!AE4="","",INDEX('Tests 1'!$C$2:$C$36,MATCH('Obsv 1'!AE4,'Tests 1'!$B$2:$B$36,0)))</f>
        <v/>
      </c>
      <c r="AF4" s="61" t="str">
        <f t="array" ref="AF4">IF('Obsv 1'!AF4="","",INDEX('Tests 1'!$C$2:$C$36,MATCH('Obsv 1'!AF4,'Tests 1'!$B$2:$B$36,0)))</f>
        <v/>
      </c>
      <c r="AG4" s="61" t="str">
        <f t="array" ref="AG4">IF('Obsv 1'!AG4="","",INDEX('Tests 1'!$C$2:$C$36,MATCH('Obsv 1'!AG4,'Tests 1'!$B$2:$B$36,0)))</f>
        <v/>
      </c>
      <c r="AH4" s="61" t="str">
        <f t="array" ref="AH4">IF('Obsv 1'!AH4="","",INDEX('Tests 1'!$C$2:$C$36,MATCH('Obsv 1'!AH4,'Tests 1'!$B$2:$B$36,0)))</f>
        <v/>
      </c>
      <c r="AI4" s="61" t="str">
        <f t="array" ref="AI4">IF('Obsv 1'!AI4="","",INDEX('Tests 1'!$C$2:$C$36,MATCH('Obsv 1'!AI4,'Tests 1'!$B$2:$B$36,0)))</f>
        <v/>
      </c>
      <c r="AJ4" s="61" t="str">
        <f t="array" ref="AJ4">IF('Obsv 1'!AJ4="","",INDEX('Tests 1'!$C$2:$C$36,MATCH('Obsv 1'!AJ4,'Tests 1'!$B$2:$B$36,0)))</f>
        <v/>
      </c>
      <c r="AK4" s="61" t="str">
        <f t="array" ref="AK4">IF('Obsv 1'!AK4="","",INDEX('Tests 1'!$C$2:$C$36,MATCH('Obsv 1'!AK4,'Tests 1'!$B$2:$B$36,0)))</f>
        <v/>
      </c>
      <c r="AL4" s="61" t="str">
        <f t="array" ref="AL4">IF('Obsv 1'!AL4="","",INDEX('Tests 1'!$C$2:$C$36,MATCH('Obsv 1'!AL4,'Tests 1'!$B$2:$B$36,0)))</f>
        <v/>
      </c>
      <c r="AM4" s="61" t="str">
        <f t="array" ref="AM4">IF('Obsv 1'!AM4="","",INDEX('Tests 1'!$C$2:$C$36,MATCH('Obsv 1'!AM4,'Tests 1'!$B$2:$B$36,0)))</f>
        <v/>
      </c>
      <c r="AN4" s="61" t="str">
        <f t="array" ref="AN4">IF('Obsv 1'!AN4="","",INDEX('Tests 1'!$C$2:$C$36,MATCH('Obsv 1'!AN4,'Tests 1'!$B$2:$B$36,0)))</f>
        <v/>
      </c>
      <c r="AO4" s="61" t="str">
        <f t="array" ref="AO4">IF('Obsv 1'!AO4="","",INDEX('Tests 1'!$C$2:$C$36,MATCH('Obsv 1'!AO4,'Tests 1'!$B$2:$B$36,0)))</f>
        <v/>
      </c>
      <c r="AP4" s="61" t="str">
        <f t="array" ref="AP4">IF('Obsv 1'!AP4="","",INDEX('Tests 1'!$C$2:$C$36,MATCH('Obsv 1'!AP4,'Tests 1'!$B$2:$B$36,0)))</f>
        <v/>
      </c>
      <c r="AQ4" s="61" t="str">
        <f t="array" ref="AQ4">IF('Obsv 1'!AQ4="","",INDEX('Tests 1'!$C$2:$C$36,MATCH('Obsv 1'!AQ4,'Tests 1'!$B$2:$B$36,0)))</f>
        <v/>
      </c>
      <c r="AR4" s="61" t="str">
        <f t="array" ref="AR4">IF('Obsv 1'!AR4="","",INDEX('Tests 1'!$C$2:$C$36,MATCH('Obsv 1'!AR4,'Tests 1'!$B$2:$B$36,0)))</f>
        <v/>
      </c>
      <c r="AS4" s="61" t="str">
        <f t="array" ref="AS4">IF('Obsv 1'!AS4="","",INDEX('Tests 1'!$C$2:$C$36,MATCH('Obsv 1'!AS4,'Tests 1'!$B$2:$B$36,0)))</f>
        <v/>
      </c>
      <c r="AT4" s="61" t="str">
        <f t="array" ref="AT4">IF('Obsv 1'!AT4="","",INDEX('Tests 1'!$C$2:$C$36,MATCH('Obsv 1'!AT4,'Tests 1'!$B$2:$B$36,0)))</f>
        <v/>
      </c>
      <c r="AU4" s="61" t="str">
        <f t="array" ref="AU4">IF('Obsv 1'!AU4="","",INDEX('Tests 1'!$C$2:$C$36,MATCH('Obsv 1'!AU4,'Tests 1'!$B$2:$B$36,0)))</f>
        <v/>
      </c>
      <c r="AV4" s="62" t="str">
        <f t="array" ref="AV4">IF('Obsv 1'!AV4="","",INDEX('Tests 1'!$C$2:$C$36,MATCH('Obsv 1'!AV4,'Tests 1'!$B$2:$B$36,0)))</f>
        <v/>
      </c>
    </row>
    <row r="5">
      <c r="A5" s="59">
        <v>3.0</v>
      </c>
      <c r="B5" s="60" t="s">
        <v>49</v>
      </c>
      <c r="C5" s="64"/>
      <c r="D5" s="62"/>
      <c r="E5" s="63"/>
      <c r="F5" s="61" t="str">
        <f t="array" ref="F5">IF('Obsv 1'!F5="","",INDEX('Tests 1'!$C$2:$C$36,MATCH('Obsv 1'!F5,'Tests 1'!$B$2:$B$36,0)))</f>
        <v>FB</v>
      </c>
      <c r="G5" s="61" t="str">
        <f t="array" ref="G5">IF('Obsv 1'!G5="","",INDEX('Tests 1'!$C$2:$C$36,MATCH('Obsv 1'!G5,'Tests 1'!$B$2:$B$36,0)))</f>
        <v>SB</v>
      </c>
      <c r="H5" s="61" t="str">
        <f t="array" ref="H5">IF('Obsv 1'!H5="","",INDEX('Tests 1'!$C$2:$C$36,MATCH('Obsv 1'!H5,'Tests 1'!$B$2:$B$36,0)))</f>
        <v>DP</v>
      </c>
      <c r="I5" s="61" t="str">
        <f t="array" ref="I5">IF('Obsv 1'!I5="","",INDEX('Tests 1'!$C$2:$C$36,MATCH('Obsv 1'!I5,'Tests 1'!$B$2:$B$36,0)))</f>
        <v>CD</v>
      </c>
      <c r="J5" s="61" t="str">
        <f t="array" ref="J5">IF('Obsv 1'!J5="","",INDEX('Tests 1'!$C$2:$C$36,MATCH('Obsv 1'!J5,'Tests 1'!$B$2:$B$36,0)))</f>
        <v/>
      </c>
      <c r="K5" s="61" t="str">
        <f t="array" ref="K5">IF('Obsv 1'!K5="","",INDEX('Tests 1'!$C$2:$C$36,MATCH('Obsv 1'!K5,'Tests 1'!$B$2:$B$36,0)))</f>
        <v/>
      </c>
      <c r="L5" s="61" t="str">
        <f t="array" ref="L5">IF('Obsv 1'!L5="","",INDEX('Tests 1'!$C$2:$C$36,MATCH('Obsv 1'!L5,'Tests 1'!$B$2:$B$36,0)))</f>
        <v/>
      </c>
      <c r="M5" s="61" t="str">
        <f t="array" ref="M5">IF('Obsv 1'!M5="","",INDEX('Tests 1'!$C$2:$C$36,MATCH('Obsv 1'!M5,'Tests 1'!$B$2:$B$36,0)))</f>
        <v/>
      </c>
      <c r="N5" s="61" t="str">
        <f t="array" ref="N5">IF('Obsv 1'!N5="","",INDEX('Tests 1'!$C$2:$C$36,MATCH('Obsv 1'!N5,'Tests 1'!$B$2:$B$36,0)))</f>
        <v/>
      </c>
      <c r="O5" s="61" t="str">
        <f t="array" ref="O5">IF('Obsv 1'!O5="","",INDEX('Tests 1'!$C$2:$C$36,MATCH('Obsv 1'!O5,'Tests 1'!$B$2:$B$36,0)))</f>
        <v/>
      </c>
      <c r="P5" s="61" t="str">
        <f t="array" ref="P5">IF('Obsv 1'!P5="","",INDEX('Tests 1'!$C$2:$C$36,MATCH('Obsv 1'!P5,'Tests 1'!$B$2:$B$36,0)))</f>
        <v/>
      </c>
      <c r="Q5" s="61" t="str">
        <f t="array" ref="Q5">IF('Obsv 1'!Q5="","",INDEX('Tests 1'!$C$2:$C$36,MATCH('Obsv 1'!Q5,'Tests 1'!$B$2:$B$36,0)))</f>
        <v/>
      </c>
      <c r="R5" s="61" t="str">
        <f t="array" ref="R5">IF('Obsv 1'!R5="","",INDEX('Tests 1'!$C$2:$C$36,MATCH('Obsv 1'!R5,'Tests 1'!$B$2:$B$36,0)))</f>
        <v/>
      </c>
      <c r="S5" s="61" t="str">
        <f t="array" ref="S5">IF('Obsv 1'!S5="","",INDEX('Tests 1'!$C$2:$C$36,MATCH('Obsv 1'!S5,'Tests 1'!$B$2:$B$36,0)))</f>
        <v/>
      </c>
      <c r="T5" s="61" t="str">
        <f t="array" ref="T5">IF('Obsv 1'!T5="","",INDEX('Tests 1'!$C$2:$C$36,MATCH('Obsv 1'!T5,'Tests 1'!$B$2:$B$36,0)))</f>
        <v/>
      </c>
      <c r="U5" s="61" t="str">
        <f t="array" ref="U5">IF('Obsv 1'!U5="","",INDEX('Tests 1'!$C$2:$C$36,MATCH('Obsv 1'!U5,'Tests 1'!$B$2:$B$36,0)))</f>
        <v/>
      </c>
      <c r="V5" s="61" t="str">
        <f t="array" ref="V5">IF('Obsv 1'!V5="","",INDEX('Tests 1'!$C$2:$C$36,MATCH('Obsv 1'!V5,'Tests 1'!$B$2:$B$36,0)))</f>
        <v/>
      </c>
      <c r="W5" s="61" t="str">
        <f t="array" ref="W5">IF('Obsv 1'!W5="","",INDEX('Tests 1'!$C$2:$C$36,MATCH('Obsv 1'!W5,'Tests 1'!$B$2:$B$36,0)))</f>
        <v/>
      </c>
      <c r="X5" s="61" t="str">
        <f t="array" ref="X5">IF('Obsv 1'!X5="","",INDEX('Tests 1'!$C$2:$C$36,MATCH('Obsv 1'!X5,'Tests 1'!$B$2:$B$36,0)))</f>
        <v/>
      </c>
      <c r="Y5" s="61" t="str">
        <f t="array" ref="Y5">IF('Obsv 1'!Y5="","",INDEX('Tests 1'!$C$2:$C$36,MATCH('Obsv 1'!Y5,'Tests 1'!$B$2:$B$36,0)))</f>
        <v/>
      </c>
      <c r="Z5" s="61" t="str">
        <f t="array" ref="Z5">IF('Obsv 1'!Z5="","",INDEX('Tests 1'!$C$2:$C$36,MATCH('Obsv 1'!Z5,'Tests 1'!$B$2:$B$36,0)))</f>
        <v/>
      </c>
      <c r="AA5" s="61" t="str">
        <f t="array" ref="AA5">IF('Obsv 1'!AA5="","",INDEX('Tests 1'!$C$2:$C$36,MATCH('Obsv 1'!AA5,'Tests 1'!$B$2:$B$36,0)))</f>
        <v/>
      </c>
      <c r="AB5" s="61" t="str">
        <f t="array" ref="AB5">IF('Obsv 1'!AB5="","",INDEX('Tests 1'!$C$2:$C$36,MATCH('Obsv 1'!AB5,'Tests 1'!$B$2:$B$36,0)))</f>
        <v/>
      </c>
      <c r="AC5" s="61" t="str">
        <f t="array" ref="AC5">IF('Obsv 1'!AC5="","",INDEX('Tests 1'!$C$2:$C$36,MATCH('Obsv 1'!AC5,'Tests 1'!$B$2:$B$36,0)))</f>
        <v/>
      </c>
      <c r="AD5" s="61" t="str">
        <f t="array" ref="AD5">IF('Obsv 1'!AD5="","",INDEX('Tests 1'!$C$2:$C$36,MATCH('Obsv 1'!AD5,'Tests 1'!$B$2:$B$36,0)))</f>
        <v/>
      </c>
      <c r="AE5" s="61" t="str">
        <f t="array" ref="AE5">IF('Obsv 1'!AE5="","",INDEX('Tests 1'!$C$2:$C$36,MATCH('Obsv 1'!AE5,'Tests 1'!$B$2:$B$36,0)))</f>
        <v/>
      </c>
      <c r="AF5" s="61" t="str">
        <f t="array" ref="AF5">IF('Obsv 1'!AF5="","",INDEX('Tests 1'!$C$2:$C$36,MATCH('Obsv 1'!AF5,'Tests 1'!$B$2:$B$36,0)))</f>
        <v/>
      </c>
      <c r="AG5" s="61" t="str">
        <f t="array" ref="AG5">IF('Obsv 1'!AG5="","",INDEX('Tests 1'!$C$2:$C$36,MATCH('Obsv 1'!AG5,'Tests 1'!$B$2:$B$36,0)))</f>
        <v/>
      </c>
      <c r="AH5" s="61" t="str">
        <f t="array" ref="AH5">IF('Obsv 1'!AH5="","",INDEX('Tests 1'!$C$2:$C$36,MATCH('Obsv 1'!AH5,'Tests 1'!$B$2:$B$36,0)))</f>
        <v/>
      </c>
      <c r="AI5" s="61" t="str">
        <f t="array" ref="AI5">IF('Obsv 1'!AI5="","",INDEX('Tests 1'!$C$2:$C$36,MATCH('Obsv 1'!AI5,'Tests 1'!$B$2:$B$36,0)))</f>
        <v/>
      </c>
      <c r="AJ5" s="61" t="str">
        <f t="array" ref="AJ5">IF('Obsv 1'!AJ5="","",INDEX('Tests 1'!$C$2:$C$36,MATCH('Obsv 1'!AJ5,'Tests 1'!$B$2:$B$36,0)))</f>
        <v/>
      </c>
      <c r="AK5" s="61" t="str">
        <f t="array" ref="AK5">IF('Obsv 1'!AK5="","",INDEX('Tests 1'!$C$2:$C$36,MATCH('Obsv 1'!AK5,'Tests 1'!$B$2:$B$36,0)))</f>
        <v/>
      </c>
      <c r="AL5" s="61" t="str">
        <f t="array" ref="AL5">IF('Obsv 1'!AL5="","",INDEX('Tests 1'!$C$2:$C$36,MATCH('Obsv 1'!AL5,'Tests 1'!$B$2:$B$36,0)))</f>
        <v/>
      </c>
      <c r="AM5" s="61" t="str">
        <f t="array" ref="AM5">IF('Obsv 1'!AM5="","",INDEX('Tests 1'!$C$2:$C$36,MATCH('Obsv 1'!AM5,'Tests 1'!$B$2:$B$36,0)))</f>
        <v/>
      </c>
      <c r="AN5" s="61" t="str">
        <f t="array" ref="AN5">IF('Obsv 1'!AN5="","",INDEX('Tests 1'!$C$2:$C$36,MATCH('Obsv 1'!AN5,'Tests 1'!$B$2:$B$36,0)))</f>
        <v/>
      </c>
      <c r="AO5" s="61" t="str">
        <f t="array" ref="AO5">IF('Obsv 1'!AO5="","",INDEX('Tests 1'!$C$2:$C$36,MATCH('Obsv 1'!AO5,'Tests 1'!$B$2:$B$36,0)))</f>
        <v/>
      </c>
      <c r="AP5" s="61" t="str">
        <f t="array" ref="AP5">IF('Obsv 1'!AP5="","",INDEX('Tests 1'!$C$2:$C$36,MATCH('Obsv 1'!AP5,'Tests 1'!$B$2:$B$36,0)))</f>
        <v/>
      </c>
      <c r="AQ5" s="61" t="str">
        <f t="array" ref="AQ5">IF('Obsv 1'!AQ5="","",INDEX('Tests 1'!$C$2:$C$36,MATCH('Obsv 1'!AQ5,'Tests 1'!$B$2:$B$36,0)))</f>
        <v/>
      </c>
      <c r="AR5" s="61" t="str">
        <f t="array" ref="AR5">IF('Obsv 1'!AR5="","",INDEX('Tests 1'!$C$2:$C$36,MATCH('Obsv 1'!AR5,'Tests 1'!$B$2:$B$36,0)))</f>
        <v/>
      </c>
      <c r="AS5" s="61" t="str">
        <f t="array" ref="AS5">IF('Obsv 1'!AS5="","",INDEX('Tests 1'!$C$2:$C$36,MATCH('Obsv 1'!AS5,'Tests 1'!$B$2:$B$36,0)))</f>
        <v/>
      </c>
      <c r="AT5" s="61" t="str">
        <f t="array" ref="AT5">IF('Obsv 1'!AT5="","",INDEX('Tests 1'!$C$2:$C$36,MATCH('Obsv 1'!AT5,'Tests 1'!$B$2:$B$36,0)))</f>
        <v/>
      </c>
      <c r="AU5" s="61" t="str">
        <f t="array" ref="AU5">IF('Obsv 1'!AU5="","",INDEX('Tests 1'!$C$2:$C$36,MATCH('Obsv 1'!AU5,'Tests 1'!$B$2:$B$36,0)))</f>
        <v/>
      </c>
      <c r="AV5" s="62" t="str">
        <f t="array" ref="AV5">IF('Obsv 1'!AV5="","",INDEX('Tests 1'!$C$2:$C$36,MATCH('Obsv 1'!AV5,'Tests 1'!$B$2:$B$36,0)))</f>
        <v/>
      </c>
    </row>
    <row r="6">
      <c r="A6" s="59">
        <v>4.0</v>
      </c>
      <c r="B6" s="60" t="s">
        <v>50</v>
      </c>
      <c r="C6" s="64"/>
      <c r="D6" s="62"/>
      <c r="E6" s="63"/>
      <c r="F6" s="61" t="str">
        <f t="array" ref="F6">IF('Obsv 1'!F6="","",INDEX('Tests 1'!$C$2:$C$36,MATCH('Obsv 1'!F6,'Tests 1'!$B$2:$B$36,0)))</f>
        <v>DN</v>
      </c>
      <c r="G6" s="61" t="str">
        <f t="array" ref="G6">IF('Obsv 1'!G6="","",INDEX('Tests 1'!$C$2:$C$36,MATCH('Obsv 1'!G6,'Tests 1'!$B$2:$B$36,0)))</f>
        <v>SP</v>
      </c>
      <c r="H6" s="61" t="str">
        <f t="array" ref="H6">IF('Obsv 1'!H6="","",INDEX('Tests 1'!$C$2:$C$36,MATCH('Obsv 1'!H6,'Tests 1'!$B$2:$B$36,0)))</f>
        <v/>
      </c>
      <c r="I6" s="61" t="str">
        <f t="array" ref="I6">IF('Obsv 1'!I6="","",INDEX('Tests 1'!$C$2:$C$36,MATCH('Obsv 1'!I6,'Tests 1'!$B$2:$B$36,0)))</f>
        <v/>
      </c>
      <c r="J6" s="61" t="str">
        <f t="array" ref="J6">IF('Obsv 1'!J6="","",INDEX('Tests 1'!$C$2:$C$36,MATCH('Obsv 1'!J6,'Tests 1'!$B$2:$B$36,0)))</f>
        <v/>
      </c>
      <c r="K6" s="61" t="str">
        <f t="array" ref="K6">IF('Obsv 1'!K6="","",INDEX('Tests 1'!$C$2:$C$36,MATCH('Obsv 1'!K6,'Tests 1'!$B$2:$B$36,0)))</f>
        <v/>
      </c>
      <c r="L6" s="61" t="str">
        <f t="array" ref="L6">IF('Obsv 1'!L6="","",INDEX('Tests 1'!$C$2:$C$36,MATCH('Obsv 1'!L6,'Tests 1'!$B$2:$B$36,0)))</f>
        <v/>
      </c>
      <c r="M6" s="61" t="str">
        <f t="array" ref="M6">IF('Obsv 1'!M6="","",INDEX('Tests 1'!$C$2:$C$36,MATCH('Obsv 1'!M6,'Tests 1'!$B$2:$B$36,0)))</f>
        <v/>
      </c>
      <c r="N6" s="61" t="str">
        <f t="array" ref="N6">IF('Obsv 1'!N6="","",INDEX('Tests 1'!$C$2:$C$36,MATCH('Obsv 1'!N6,'Tests 1'!$B$2:$B$36,0)))</f>
        <v/>
      </c>
      <c r="O6" s="61" t="str">
        <f t="array" ref="O6">IF('Obsv 1'!O6="","",INDEX('Tests 1'!$C$2:$C$36,MATCH('Obsv 1'!O6,'Tests 1'!$B$2:$B$36,0)))</f>
        <v/>
      </c>
      <c r="P6" s="61" t="str">
        <f t="array" ref="P6">IF('Obsv 1'!P6="","",INDEX('Tests 1'!$C$2:$C$36,MATCH('Obsv 1'!P6,'Tests 1'!$B$2:$B$36,0)))</f>
        <v/>
      </c>
      <c r="Q6" s="61" t="str">
        <f t="array" ref="Q6">IF('Obsv 1'!Q6="","",INDEX('Tests 1'!$C$2:$C$36,MATCH('Obsv 1'!Q6,'Tests 1'!$B$2:$B$36,0)))</f>
        <v/>
      </c>
      <c r="R6" s="61" t="str">
        <f t="array" ref="R6">IF('Obsv 1'!R6="","",INDEX('Tests 1'!$C$2:$C$36,MATCH('Obsv 1'!R6,'Tests 1'!$B$2:$B$36,0)))</f>
        <v/>
      </c>
      <c r="S6" s="61" t="str">
        <f t="array" ref="S6">IF('Obsv 1'!S6="","",INDEX('Tests 1'!$C$2:$C$36,MATCH('Obsv 1'!S6,'Tests 1'!$B$2:$B$36,0)))</f>
        <v/>
      </c>
      <c r="T6" s="61" t="str">
        <f t="array" ref="T6">IF('Obsv 1'!T6="","",INDEX('Tests 1'!$C$2:$C$36,MATCH('Obsv 1'!T6,'Tests 1'!$B$2:$B$36,0)))</f>
        <v/>
      </c>
      <c r="U6" s="61" t="str">
        <f t="array" ref="U6">IF('Obsv 1'!U6="","",INDEX('Tests 1'!$C$2:$C$36,MATCH('Obsv 1'!U6,'Tests 1'!$B$2:$B$36,0)))</f>
        <v/>
      </c>
      <c r="V6" s="61" t="str">
        <f t="array" ref="V6">IF('Obsv 1'!V6="","",INDEX('Tests 1'!$C$2:$C$36,MATCH('Obsv 1'!V6,'Tests 1'!$B$2:$B$36,0)))</f>
        <v/>
      </c>
      <c r="W6" s="61" t="str">
        <f t="array" ref="W6">IF('Obsv 1'!W6="","",INDEX('Tests 1'!$C$2:$C$36,MATCH('Obsv 1'!W6,'Tests 1'!$B$2:$B$36,0)))</f>
        <v/>
      </c>
      <c r="X6" s="61" t="str">
        <f t="array" ref="X6">IF('Obsv 1'!X6="","",INDEX('Tests 1'!$C$2:$C$36,MATCH('Obsv 1'!X6,'Tests 1'!$B$2:$B$36,0)))</f>
        <v/>
      </c>
      <c r="Y6" s="61" t="str">
        <f t="array" ref="Y6">IF('Obsv 1'!Y6="","",INDEX('Tests 1'!$C$2:$C$36,MATCH('Obsv 1'!Y6,'Tests 1'!$B$2:$B$36,0)))</f>
        <v/>
      </c>
      <c r="Z6" s="61" t="str">
        <f t="array" ref="Z6">IF('Obsv 1'!Z6="","",INDEX('Tests 1'!$C$2:$C$36,MATCH('Obsv 1'!Z6,'Tests 1'!$B$2:$B$36,0)))</f>
        <v/>
      </c>
      <c r="AA6" s="61" t="str">
        <f t="array" ref="AA6">IF('Obsv 1'!AA6="","",INDEX('Tests 1'!$C$2:$C$36,MATCH('Obsv 1'!AA6,'Tests 1'!$B$2:$B$36,0)))</f>
        <v/>
      </c>
      <c r="AB6" s="61" t="str">
        <f t="array" ref="AB6">IF('Obsv 1'!AB6="","",INDEX('Tests 1'!$C$2:$C$36,MATCH('Obsv 1'!AB6,'Tests 1'!$B$2:$B$36,0)))</f>
        <v/>
      </c>
      <c r="AC6" s="61" t="str">
        <f t="array" ref="AC6">IF('Obsv 1'!AC6="","",INDEX('Tests 1'!$C$2:$C$36,MATCH('Obsv 1'!AC6,'Tests 1'!$B$2:$B$36,0)))</f>
        <v/>
      </c>
      <c r="AD6" s="61" t="str">
        <f t="array" ref="AD6">IF('Obsv 1'!AD6="","",INDEX('Tests 1'!$C$2:$C$36,MATCH('Obsv 1'!AD6,'Tests 1'!$B$2:$B$36,0)))</f>
        <v/>
      </c>
      <c r="AE6" s="61" t="str">
        <f t="array" ref="AE6">IF('Obsv 1'!AE6="","",INDEX('Tests 1'!$C$2:$C$36,MATCH('Obsv 1'!AE6,'Tests 1'!$B$2:$B$36,0)))</f>
        <v/>
      </c>
      <c r="AF6" s="61" t="str">
        <f t="array" ref="AF6">IF('Obsv 1'!AF6="","",INDEX('Tests 1'!$C$2:$C$36,MATCH('Obsv 1'!AF6,'Tests 1'!$B$2:$B$36,0)))</f>
        <v/>
      </c>
      <c r="AG6" s="61" t="str">
        <f t="array" ref="AG6">IF('Obsv 1'!AG6="","",INDEX('Tests 1'!$C$2:$C$36,MATCH('Obsv 1'!AG6,'Tests 1'!$B$2:$B$36,0)))</f>
        <v/>
      </c>
      <c r="AH6" s="61" t="str">
        <f t="array" ref="AH6">IF('Obsv 1'!AH6="","",INDEX('Tests 1'!$C$2:$C$36,MATCH('Obsv 1'!AH6,'Tests 1'!$B$2:$B$36,0)))</f>
        <v/>
      </c>
      <c r="AI6" s="61" t="str">
        <f t="array" ref="AI6">IF('Obsv 1'!AI6="","",INDEX('Tests 1'!$C$2:$C$36,MATCH('Obsv 1'!AI6,'Tests 1'!$B$2:$B$36,0)))</f>
        <v/>
      </c>
      <c r="AJ6" s="61" t="str">
        <f t="array" ref="AJ6">IF('Obsv 1'!AJ6="","",INDEX('Tests 1'!$C$2:$C$36,MATCH('Obsv 1'!AJ6,'Tests 1'!$B$2:$B$36,0)))</f>
        <v/>
      </c>
      <c r="AK6" s="61" t="str">
        <f t="array" ref="AK6">IF('Obsv 1'!AK6="","",INDEX('Tests 1'!$C$2:$C$36,MATCH('Obsv 1'!AK6,'Tests 1'!$B$2:$B$36,0)))</f>
        <v/>
      </c>
      <c r="AL6" s="61" t="str">
        <f t="array" ref="AL6">IF('Obsv 1'!AL6="","",INDEX('Tests 1'!$C$2:$C$36,MATCH('Obsv 1'!AL6,'Tests 1'!$B$2:$B$36,0)))</f>
        <v/>
      </c>
      <c r="AM6" s="61" t="str">
        <f t="array" ref="AM6">IF('Obsv 1'!AM6="","",INDEX('Tests 1'!$C$2:$C$36,MATCH('Obsv 1'!AM6,'Tests 1'!$B$2:$B$36,0)))</f>
        <v/>
      </c>
      <c r="AN6" s="61" t="str">
        <f t="array" ref="AN6">IF('Obsv 1'!AN6="","",INDEX('Tests 1'!$C$2:$C$36,MATCH('Obsv 1'!AN6,'Tests 1'!$B$2:$B$36,0)))</f>
        <v/>
      </c>
      <c r="AO6" s="61" t="str">
        <f t="array" ref="AO6">IF('Obsv 1'!AO6="","",INDEX('Tests 1'!$C$2:$C$36,MATCH('Obsv 1'!AO6,'Tests 1'!$B$2:$B$36,0)))</f>
        <v/>
      </c>
      <c r="AP6" s="61" t="str">
        <f t="array" ref="AP6">IF('Obsv 1'!AP6="","",INDEX('Tests 1'!$C$2:$C$36,MATCH('Obsv 1'!AP6,'Tests 1'!$B$2:$B$36,0)))</f>
        <v/>
      </c>
      <c r="AQ6" s="61" t="str">
        <f t="array" ref="AQ6">IF('Obsv 1'!AQ6="","",INDEX('Tests 1'!$C$2:$C$36,MATCH('Obsv 1'!AQ6,'Tests 1'!$B$2:$B$36,0)))</f>
        <v/>
      </c>
      <c r="AR6" s="61" t="str">
        <f t="array" ref="AR6">IF('Obsv 1'!AR6="","",INDEX('Tests 1'!$C$2:$C$36,MATCH('Obsv 1'!AR6,'Tests 1'!$B$2:$B$36,0)))</f>
        <v/>
      </c>
      <c r="AS6" s="61" t="str">
        <f t="array" ref="AS6">IF('Obsv 1'!AS6="","",INDEX('Tests 1'!$C$2:$C$36,MATCH('Obsv 1'!AS6,'Tests 1'!$B$2:$B$36,0)))</f>
        <v/>
      </c>
      <c r="AT6" s="61" t="str">
        <f t="array" ref="AT6">IF('Obsv 1'!AT6="","",INDEX('Tests 1'!$C$2:$C$36,MATCH('Obsv 1'!AT6,'Tests 1'!$B$2:$B$36,0)))</f>
        <v/>
      </c>
      <c r="AU6" s="61" t="str">
        <f t="array" ref="AU6">IF('Obsv 1'!AU6="","",INDEX('Tests 1'!$C$2:$C$36,MATCH('Obsv 1'!AU6,'Tests 1'!$B$2:$B$36,0)))</f>
        <v/>
      </c>
      <c r="AV6" s="62" t="str">
        <f t="array" ref="AV6">IF('Obsv 1'!AV6="","",INDEX('Tests 1'!$C$2:$C$36,MATCH('Obsv 1'!AV6,'Tests 1'!$B$2:$B$36,0)))</f>
        <v/>
      </c>
    </row>
    <row r="7">
      <c r="A7" s="59">
        <v>5.0</v>
      </c>
      <c r="B7" s="60" t="s">
        <v>51</v>
      </c>
      <c r="C7" s="44"/>
      <c r="D7" s="62"/>
      <c r="E7" s="65"/>
      <c r="F7" s="61" t="str">
        <f t="array" ref="F7">IF('Obsv 1'!F7="","",INDEX('Tests 1'!$C$2:$C$36,MATCH('Obsv 1'!F7,'Tests 1'!$B$2:$B$36,0)))</f>
        <v>FM</v>
      </c>
      <c r="G7" s="61" t="str">
        <f t="array" ref="G7">IF('Obsv 1'!G7="","",INDEX('Tests 1'!$C$2:$C$36,MATCH('Obsv 1'!G7,'Tests 1'!$B$2:$B$36,0)))</f>
        <v>SA</v>
      </c>
      <c r="H7" s="61" t="str">
        <f t="array" ref="H7">IF('Obsv 1'!H7="","",INDEX('Tests 1'!$C$2:$C$36,MATCH('Obsv 1'!H7,'Tests 1'!$B$2:$B$36,0)))</f>
        <v>DN</v>
      </c>
      <c r="I7" s="61" t="str">
        <f t="array" ref="I7">IF('Obsv 1'!I7="","",INDEX('Tests 1'!$C$2:$C$36,MATCH('Obsv 1'!I7,'Tests 1'!$B$2:$B$36,0)))</f>
        <v>OG</v>
      </c>
      <c r="J7" s="61" t="str">
        <f t="array" ref="J7">IF('Obsv 1'!J7="","",INDEX('Tests 1'!$C$2:$C$36,MATCH('Obsv 1'!J7,'Tests 1'!$B$2:$B$36,0)))</f>
        <v>SW</v>
      </c>
      <c r="K7" s="61" t="str">
        <f t="array" ref="K7">IF('Obsv 1'!K7="","",INDEX('Tests 1'!$C$2:$C$36,MATCH('Obsv 1'!K7,'Tests 1'!$B$2:$B$36,0)))</f>
        <v/>
      </c>
      <c r="L7" s="61" t="str">
        <f t="array" ref="L7">IF('Obsv 1'!L7="","",INDEX('Tests 1'!$C$2:$C$36,MATCH('Obsv 1'!L7,'Tests 1'!$B$2:$B$36,0)))</f>
        <v/>
      </c>
      <c r="M7" s="61" t="str">
        <f t="array" ref="M7">IF('Obsv 1'!M7="","",INDEX('Tests 1'!$C$2:$C$36,MATCH('Obsv 1'!M7,'Tests 1'!$B$2:$B$36,0)))</f>
        <v/>
      </c>
      <c r="N7" s="61" t="str">
        <f t="array" ref="N7">IF('Obsv 1'!N7="","",INDEX('Tests 1'!$C$2:$C$36,MATCH('Obsv 1'!N7,'Tests 1'!$B$2:$B$36,0)))</f>
        <v/>
      </c>
      <c r="O7" s="61" t="str">
        <f t="array" ref="O7">IF('Obsv 1'!O7="","",INDEX('Tests 1'!$C$2:$C$36,MATCH('Obsv 1'!O7,'Tests 1'!$B$2:$B$36,0)))</f>
        <v/>
      </c>
      <c r="P7" s="61" t="str">
        <f t="array" ref="P7">IF('Obsv 1'!P7="","",INDEX('Tests 1'!$C$2:$C$36,MATCH('Obsv 1'!P7,'Tests 1'!$B$2:$B$36,0)))</f>
        <v/>
      </c>
      <c r="Q7" s="61" t="str">
        <f t="array" ref="Q7">IF('Obsv 1'!Q7="","",INDEX('Tests 1'!$C$2:$C$36,MATCH('Obsv 1'!Q7,'Tests 1'!$B$2:$B$36,0)))</f>
        <v/>
      </c>
      <c r="R7" s="61" t="str">
        <f t="array" ref="R7">IF('Obsv 1'!R7="","",INDEX('Tests 1'!$C$2:$C$36,MATCH('Obsv 1'!R7,'Tests 1'!$B$2:$B$36,0)))</f>
        <v/>
      </c>
      <c r="S7" s="61" t="str">
        <f t="array" ref="S7">IF('Obsv 1'!S7="","",INDEX('Tests 1'!$C$2:$C$36,MATCH('Obsv 1'!S7,'Tests 1'!$B$2:$B$36,0)))</f>
        <v/>
      </c>
      <c r="T7" s="61" t="str">
        <f t="array" ref="T7">IF('Obsv 1'!T7="","",INDEX('Tests 1'!$C$2:$C$36,MATCH('Obsv 1'!T7,'Tests 1'!$B$2:$B$36,0)))</f>
        <v/>
      </c>
      <c r="U7" s="61" t="str">
        <f t="array" ref="U7">IF('Obsv 1'!U7="","",INDEX('Tests 1'!$C$2:$C$36,MATCH('Obsv 1'!U7,'Tests 1'!$B$2:$B$36,0)))</f>
        <v/>
      </c>
      <c r="V7" s="61" t="str">
        <f t="array" ref="V7">IF('Obsv 1'!V7="","",INDEX('Tests 1'!$C$2:$C$36,MATCH('Obsv 1'!V7,'Tests 1'!$B$2:$B$36,0)))</f>
        <v/>
      </c>
      <c r="W7" s="61" t="str">
        <f t="array" ref="W7">IF('Obsv 1'!W7="","",INDEX('Tests 1'!$C$2:$C$36,MATCH('Obsv 1'!W7,'Tests 1'!$B$2:$B$36,0)))</f>
        <v/>
      </c>
      <c r="X7" s="61" t="str">
        <f t="array" ref="X7">IF('Obsv 1'!X7="","",INDEX('Tests 1'!$C$2:$C$36,MATCH('Obsv 1'!X7,'Tests 1'!$B$2:$B$36,0)))</f>
        <v/>
      </c>
      <c r="Y7" s="61" t="str">
        <f t="array" ref="Y7">IF('Obsv 1'!Y7="","",INDEX('Tests 1'!$C$2:$C$36,MATCH('Obsv 1'!Y7,'Tests 1'!$B$2:$B$36,0)))</f>
        <v/>
      </c>
      <c r="Z7" s="61" t="str">
        <f t="array" ref="Z7">IF('Obsv 1'!Z7="","",INDEX('Tests 1'!$C$2:$C$36,MATCH('Obsv 1'!Z7,'Tests 1'!$B$2:$B$36,0)))</f>
        <v/>
      </c>
      <c r="AA7" s="61" t="str">
        <f t="array" ref="AA7">IF('Obsv 1'!AA7="","",INDEX('Tests 1'!$C$2:$C$36,MATCH('Obsv 1'!AA7,'Tests 1'!$B$2:$B$36,0)))</f>
        <v/>
      </c>
      <c r="AB7" s="61" t="str">
        <f t="array" ref="AB7">IF('Obsv 1'!AB7="","",INDEX('Tests 1'!$C$2:$C$36,MATCH('Obsv 1'!AB7,'Tests 1'!$B$2:$B$36,0)))</f>
        <v/>
      </c>
      <c r="AC7" s="61" t="str">
        <f t="array" ref="AC7">IF('Obsv 1'!AC7="","",INDEX('Tests 1'!$C$2:$C$36,MATCH('Obsv 1'!AC7,'Tests 1'!$B$2:$B$36,0)))</f>
        <v/>
      </c>
      <c r="AD7" s="61" t="str">
        <f t="array" ref="AD7">IF('Obsv 1'!AD7="","",INDEX('Tests 1'!$C$2:$C$36,MATCH('Obsv 1'!AD7,'Tests 1'!$B$2:$B$36,0)))</f>
        <v/>
      </c>
      <c r="AE7" s="61" t="str">
        <f t="array" ref="AE7">IF('Obsv 1'!AE7="","",INDEX('Tests 1'!$C$2:$C$36,MATCH('Obsv 1'!AE7,'Tests 1'!$B$2:$B$36,0)))</f>
        <v/>
      </c>
      <c r="AF7" s="61" t="str">
        <f t="array" ref="AF7">IF('Obsv 1'!AF7="","",INDEX('Tests 1'!$C$2:$C$36,MATCH('Obsv 1'!AF7,'Tests 1'!$B$2:$B$36,0)))</f>
        <v/>
      </c>
      <c r="AG7" s="61" t="str">
        <f t="array" ref="AG7">IF('Obsv 1'!AG7="","",INDEX('Tests 1'!$C$2:$C$36,MATCH('Obsv 1'!AG7,'Tests 1'!$B$2:$B$36,0)))</f>
        <v/>
      </c>
      <c r="AH7" s="61" t="str">
        <f t="array" ref="AH7">IF('Obsv 1'!AH7="","",INDEX('Tests 1'!$C$2:$C$36,MATCH('Obsv 1'!AH7,'Tests 1'!$B$2:$B$36,0)))</f>
        <v/>
      </c>
      <c r="AI7" s="61" t="str">
        <f t="array" ref="AI7">IF('Obsv 1'!AI7="","",INDEX('Tests 1'!$C$2:$C$36,MATCH('Obsv 1'!AI7,'Tests 1'!$B$2:$B$36,0)))</f>
        <v/>
      </c>
      <c r="AJ7" s="61" t="str">
        <f t="array" ref="AJ7">IF('Obsv 1'!AJ7="","",INDEX('Tests 1'!$C$2:$C$36,MATCH('Obsv 1'!AJ7,'Tests 1'!$B$2:$B$36,0)))</f>
        <v/>
      </c>
      <c r="AK7" s="61" t="str">
        <f t="array" ref="AK7">IF('Obsv 1'!AK7="","",INDEX('Tests 1'!$C$2:$C$36,MATCH('Obsv 1'!AK7,'Tests 1'!$B$2:$B$36,0)))</f>
        <v/>
      </c>
      <c r="AL7" s="61" t="str">
        <f t="array" ref="AL7">IF('Obsv 1'!AL7="","",INDEX('Tests 1'!$C$2:$C$36,MATCH('Obsv 1'!AL7,'Tests 1'!$B$2:$B$36,0)))</f>
        <v/>
      </c>
      <c r="AM7" s="61" t="str">
        <f t="array" ref="AM7">IF('Obsv 1'!AM7="","",INDEX('Tests 1'!$C$2:$C$36,MATCH('Obsv 1'!AM7,'Tests 1'!$B$2:$B$36,0)))</f>
        <v/>
      </c>
      <c r="AN7" s="61" t="str">
        <f t="array" ref="AN7">IF('Obsv 1'!AN7="","",INDEX('Tests 1'!$C$2:$C$36,MATCH('Obsv 1'!AN7,'Tests 1'!$B$2:$B$36,0)))</f>
        <v/>
      </c>
      <c r="AO7" s="61" t="str">
        <f t="array" ref="AO7">IF('Obsv 1'!AO7="","",INDEX('Tests 1'!$C$2:$C$36,MATCH('Obsv 1'!AO7,'Tests 1'!$B$2:$B$36,0)))</f>
        <v/>
      </c>
      <c r="AP7" s="61" t="str">
        <f t="array" ref="AP7">IF('Obsv 1'!AP7="","",INDEX('Tests 1'!$C$2:$C$36,MATCH('Obsv 1'!AP7,'Tests 1'!$B$2:$B$36,0)))</f>
        <v/>
      </c>
      <c r="AQ7" s="61" t="str">
        <f t="array" ref="AQ7">IF('Obsv 1'!AQ7="","",INDEX('Tests 1'!$C$2:$C$36,MATCH('Obsv 1'!AQ7,'Tests 1'!$B$2:$B$36,0)))</f>
        <v/>
      </c>
      <c r="AR7" s="61" t="str">
        <f t="array" ref="AR7">IF('Obsv 1'!AR7="","",INDEX('Tests 1'!$C$2:$C$36,MATCH('Obsv 1'!AR7,'Tests 1'!$B$2:$B$36,0)))</f>
        <v/>
      </c>
      <c r="AS7" s="61" t="str">
        <f t="array" ref="AS7">IF('Obsv 1'!AS7="","",INDEX('Tests 1'!$C$2:$C$36,MATCH('Obsv 1'!AS7,'Tests 1'!$B$2:$B$36,0)))</f>
        <v/>
      </c>
      <c r="AT7" s="61" t="str">
        <f t="array" ref="AT7">IF('Obsv 1'!AT7="","",INDEX('Tests 1'!$C$2:$C$36,MATCH('Obsv 1'!AT7,'Tests 1'!$B$2:$B$36,0)))</f>
        <v/>
      </c>
      <c r="AU7" s="61" t="str">
        <f t="array" ref="AU7">IF('Obsv 1'!AU7="","",INDEX('Tests 1'!$C$2:$C$36,MATCH('Obsv 1'!AU7,'Tests 1'!$B$2:$B$36,0)))</f>
        <v/>
      </c>
      <c r="AV7" s="62" t="str">
        <f t="array" ref="AV7">IF('Obsv 1'!AV7="","",INDEX('Tests 1'!$C$2:$C$36,MATCH('Obsv 1'!AV7,'Tests 1'!$B$2:$B$36,0)))</f>
        <v/>
      </c>
    </row>
    <row r="8">
      <c r="A8" s="59">
        <v>6.0</v>
      </c>
      <c r="B8" s="60" t="s">
        <v>52</v>
      </c>
      <c r="C8" s="61"/>
      <c r="D8" s="62"/>
      <c r="E8" s="63"/>
      <c r="F8" s="61" t="str">
        <f t="array" ref="F8">IF('Obsv 1'!F8="","",INDEX('Tests 1'!$C$2:$C$36,MATCH('Obsv 1'!F8,'Tests 1'!$B$2:$B$36,0)))</f>
        <v>DN</v>
      </c>
      <c r="G8" s="61" t="str">
        <f t="array" ref="G8">IF('Obsv 1'!G8="","",INDEX('Tests 1'!$C$2:$C$36,MATCH('Obsv 1'!G8,'Tests 1'!$B$2:$B$36,0)))</f>
        <v/>
      </c>
      <c r="H8" s="61" t="str">
        <f t="array" ref="H8">IF('Obsv 1'!H8="","",INDEX('Tests 1'!$C$2:$C$36,MATCH('Obsv 1'!H8,'Tests 1'!$B$2:$B$36,0)))</f>
        <v/>
      </c>
      <c r="I8" s="61" t="str">
        <f t="array" ref="I8">IF('Obsv 1'!I8="","",INDEX('Tests 1'!$C$2:$C$36,MATCH('Obsv 1'!I8,'Tests 1'!$B$2:$B$36,0)))</f>
        <v/>
      </c>
      <c r="J8" s="61" t="str">
        <f t="array" ref="J8">IF('Obsv 1'!J8="","",INDEX('Tests 1'!$C$2:$C$36,MATCH('Obsv 1'!J8,'Tests 1'!$B$2:$B$36,0)))</f>
        <v/>
      </c>
      <c r="K8" s="61" t="str">
        <f t="array" ref="K8">IF('Obsv 1'!K8="","",INDEX('Tests 1'!$C$2:$C$36,MATCH('Obsv 1'!K8,'Tests 1'!$B$2:$B$36,0)))</f>
        <v/>
      </c>
      <c r="L8" s="61" t="str">
        <f t="array" ref="L8">IF('Obsv 1'!L8="","",INDEX('Tests 1'!$C$2:$C$36,MATCH('Obsv 1'!L8,'Tests 1'!$B$2:$B$36,0)))</f>
        <v/>
      </c>
      <c r="M8" s="61" t="str">
        <f t="array" ref="M8">IF('Obsv 1'!M8="","",INDEX('Tests 1'!$C$2:$C$36,MATCH('Obsv 1'!M8,'Tests 1'!$B$2:$B$36,0)))</f>
        <v/>
      </c>
      <c r="N8" s="61" t="str">
        <f t="array" ref="N8">IF('Obsv 1'!N8="","",INDEX('Tests 1'!$C$2:$C$36,MATCH('Obsv 1'!N8,'Tests 1'!$B$2:$B$36,0)))</f>
        <v/>
      </c>
      <c r="O8" s="61" t="str">
        <f t="array" ref="O8">IF('Obsv 1'!O8="","",INDEX('Tests 1'!$C$2:$C$36,MATCH('Obsv 1'!O8,'Tests 1'!$B$2:$B$36,0)))</f>
        <v/>
      </c>
      <c r="P8" s="61" t="str">
        <f t="array" ref="P8">IF('Obsv 1'!P8="","",INDEX('Tests 1'!$C$2:$C$36,MATCH('Obsv 1'!P8,'Tests 1'!$B$2:$B$36,0)))</f>
        <v/>
      </c>
      <c r="Q8" s="61" t="str">
        <f t="array" ref="Q8">IF('Obsv 1'!Q8="","",INDEX('Tests 1'!$C$2:$C$36,MATCH('Obsv 1'!Q8,'Tests 1'!$B$2:$B$36,0)))</f>
        <v/>
      </c>
      <c r="R8" s="61" t="str">
        <f t="array" ref="R8">IF('Obsv 1'!R8="","",INDEX('Tests 1'!$C$2:$C$36,MATCH('Obsv 1'!R8,'Tests 1'!$B$2:$B$36,0)))</f>
        <v/>
      </c>
      <c r="S8" s="61" t="str">
        <f t="array" ref="S8">IF('Obsv 1'!S8="","",INDEX('Tests 1'!$C$2:$C$36,MATCH('Obsv 1'!S8,'Tests 1'!$B$2:$B$36,0)))</f>
        <v/>
      </c>
      <c r="T8" s="61" t="str">
        <f t="array" ref="T8">IF('Obsv 1'!T8="","",INDEX('Tests 1'!$C$2:$C$36,MATCH('Obsv 1'!T8,'Tests 1'!$B$2:$B$36,0)))</f>
        <v/>
      </c>
      <c r="U8" s="61" t="str">
        <f t="array" ref="U8">IF('Obsv 1'!U8="","",INDEX('Tests 1'!$C$2:$C$36,MATCH('Obsv 1'!U8,'Tests 1'!$B$2:$B$36,0)))</f>
        <v/>
      </c>
      <c r="V8" s="61" t="str">
        <f t="array" ref="V8">IF('Obsv 1'!V8="","",INDEX('Tests 1'!$C$2:$C$36,MATCH('Obsv 1'!V8,'Tests 1'!$B$2:$B$36,0)))</f>
        <v/>
      </c>
      <c r="W8" s="61" t="str">
        <f t="array" ref="W8">IF('Obsv 1'!W8="","",INDEX('Tests 1'!$C$2:$C$36,MATCH('Obsv 1'!W8,'Tests 1'!$B$2:$B$36,0)))</f>
        <v/>
      </c>
      <c r="X8" s="61" t="str">
        <f t="array" ref="X8">IF('Obsv 1'!X8="","",INDEX('Tests 1'!$C$2:$C$36,MATCH('Obsv 1'!X8,'Tests 1'!$B$2:$B$36,0)))</f>
        <v/>
      </c>
      <c r="Y8" s="61" t="str">
        <f t="array" ref="Y8">IF('Obsv 1'!Y8="","",INDEX('Tests 1'!$C$2:$C$36,MATCH('Obsv 1'!Y8,'Tests 1'!$B$2:$B$36,0)))</f>
        <v/>
      </c>
      <c r="Z8" s="61" t="str">
        <f t="array" ref="Z8">IF('Obsv 1'!Z8="","",INDEX('Tests 1'!$C$2:$C$36,MATCH('Obsv 1'!Z8,'Tests 1'!$B$2:$B$36,0)))</f>
        <v/>
      </c>
      <c r="AA8" s="61" t="str">
        <f t="array" ref="AA8">IF('Obsv 1'!AA8="","",INDEX('Tests 1'!$C$2:$C$36,MATCH('Obsv 1'!AA8,'Tests 1'!$B$2:$B$36,0)))</f>
        <v/>
      </c>
      <c r="AB8" s="61" t="str">
        <f t="array" ref="AB8">IF('Obsv 1'!AB8="","",INDEX('Tests 1'!$C$2:$C$36,MATCH('Obsv 1'!AB8,'Tests 1'!$B$2:$B$36,0)))</f>
        <v/>
      </c>
      <c r="AC8" s="61" t="str">
        <f t="array" ref="AC8">IF('Obsv 1'!AC8="","",INDEX('Tests 1'!$C$2:$C$36,MATCH('Obsv 1'!AC8,'Tests 1'!$B$2:$B$36,0)))</f>
        <v/>
      </c>
      <c r="AD8" s="61" t="str">
        <f t="array" ref="AD8">IF('Obsv 1'!AD8="","",INDEX('Tests 1'!$C$2:$C$36,MATCH('Obsv 1'!AD8,'Tests 1'!$B$2:$B$36,0)))</f>
        <v/>
      </c>
      <c r="AE8" s="61" t="str">
        <f t="array" ref="AE8">IF('Obsv 1'!AE8="","",INDEX('Tests 1'!$C$2:$C$36,MATCH('Obsv 1'!AE8,'Tests 1'!$B$2:$B$36,0)))</f>
        <v/>
      </c>
      <c r="AF8" s="61" t="str">
        <f t="array" ref="AF8">IF('Obsv 1'!AF8="","",INDEX('Tests 1'!$C$2:$C$36,MATCH('Obsv 1'!AF8,'Tests 1'!$B$2:$B$36,0)))</f>
        <v/>
      </c>
      <c r="AG8" s="61" t="str">
        <f t="array" ref="AG8">IF('Obsv 1'!AG8="","",INDEX('Tests 1'!$C$2:$C$36,MATCH('Obsv 1'!AG8,'Tests 1'!$B$2:$B$36,0)))</f>
        <v/>
      </c>
      <c r="AH8" s="61" t="str">
        <f t="array" ref="AH8">IF('Obsv 1'!AH8="","",INDEX('Tests 1'!$C$2:$C$36,MATCH('Obsv 1'!AH8,'Tests 1'!$B$2:$B$36,0)))</f>
        <v/>
      </c>
      <c r="AI8" s="61" t="str">
        <f t="array" ref="AI8">IF('Obsv 1'!AI8="","",INDEX('Tests 1'!$C$2:$C$36,MATCH('Obsv 1'!AI8,'Tests 1'!$B$2:$B$36,0)))</f>
        <v/>
      </c>
      <c r="AJ8" s="61" t="str">
        <f t="array" ref="AJ8">IF('Obsv 1'!AJ8="","",INDEX('Tests 1'!$C$2:$C$36,MATCH('Obsv 1'!AJ8,'Tests 1'!$B$2:$B$36,0)))</f>
        <v/>
      </c>
      <c r="AK8" s="61" t="str">
        <f t="array" ref="AK8">IF('Obsv 1'!AK8="","",INDEX('Tests 1'!$C$2:$C$36,MATCH('Obsv 1'!AK8,'Tests 1'!$B$2:$B$36,0)))</f>
        <v/>
      </c>
      <c r="AL8" s="61" t="str">
        <f t="array" ref="AL8">IF('Obsv 1'!AL8="","",INDEX('Tests 1'!$C$2:$C$36,MATCH('Obsv 1'!AL8,'Tests 1'!$B$2:$B$36,0)))</f>
        <v/>
      </c>
      <c r="AM8" s="61" t="str">
        <f t="array" ref="AM8">IF('Obsv 1'!AM8="","",INDEX('Tests 1'!$C$2:$C$36,MATCH('Obsv 1'!AM8,'Tests 1'!$B$2:$B$36,0)))</f>
        <v/>
      </c>
      <c r="AN8" s="61" t="str">
        <f t="array" ref="AN8">IF('Obsv 1'!AN8="","",INDEX('Tests 1'!$C$2:$C$36,MATCH('Obsv 1'!AN8,'Tests 1'!$B$2:$B$36,0)))</f>
        <v/>
      </c>
      <c r="AO8" s="61" t="str">
        <f t="array" ref="AO8">IF('Obsv 1'!AO8="","",INDEX('Tests 1'!$C$2:$C$36,MATCH('Obsv 1'!AO8,'Tests 1'!$B$2:$B$36,0)))</f>
        <v/>
      </c>
      <c r="AP8" s="61" t="str">
        <f t="array" ref="AP8">IF('Obsv 1'!AP8="","",INDEX('Tests 1'!$C$2:$C$36,MATCH('Obsv 1'!AP8,'Tests 1'!$B$2:$B$36,0)))</f>
        <v/>
      </c>
      <c r="AQ8" s="61" t="str">
        <f t="array" ref="AQ8">IF('Obsv 1'!AQ8="","",INDEX('Tests 1'!$C$2:$C$36,MATCH('Obsv 1'!AQ8,'Tests 1'!$B$2:$B$36,0)))</f>
        <v/>
      </c>
      <c r="AR8" s="61" t="str">
        <f t="array" ref="AR8">IF('Obsv 1'!AR8="","",INDEX('Tests 1'!$C$2:$C$36,MATCH('Obsv 1'!AR8,'Tests 1'!$B$2:$B$36,0)))</f>
        <v/>
      </c>
      <c r="AS8" s="61" t="str">
        <f t="array" ref="AS8">IF('Obsv 1'!AS8="","",INDEX('Tests 1'!$C$2:$C$36,MATCH('Obsv 1'!AS8,'Tests 1'!$B$2:$B$36,0)))</f>
        <v/>
      </c>
      <c r="AT8" s="61" t="str">
        <f t="array" ref="AT8">IF('Obsv 1'!AT8="","",INDEX('Tests 1'!$C$2:$C$36,MATCH('Obsv 1'!AT8,'Tests 1'!$B$2:$B$36,0)))</f>
        <v/>
      </c>
      <c r="AU8" s="61" t="str">
        <f t="array" ref="AU8">IF('Obsv 1'!AU8="","",INDEX('Tests 1'!$C$2:$C$36,MATCH('Obsv 1'!AU8,'Tests 1'!$B$2:$B$36,0)))</f>
        <v/>
      </c>
      <c r="AV8" s="62" t="str">
        <f t="array" ref="AV8">IF('Obsv 1'!AV8="","",INDEX('Tests 1'!$C$2:$C$36,MATCH('Obsv 1'!AV8,'Tests 1'!$B$2:$B$36,0)))</f>
        <v/>
      </c>
    </row>
    <row r="9">
      <c r="A9" s="59">
        <v>7.0</v>
      </c>
      <c r="B9" s="60" t="s">
        <v>53</v>
      </c>
      <c r="C9" s="61"/>
      <c r="D9" s="62"/>
      <c r="E9" s="63"/>
      <c r="F9" s="61" t="str">
        <f t="array" ref="F9">IF('Obsv 1'!F9="","",INDEX('Tests 1'!$C$2:$C$36,MATCH('Obsv 1'!F9,'Tests 1'!$B$2:$B$36,0)))</f>
        <v>DN</v>
      </c>
      <c r="G9" s="61" t="str">
        <f t="array" ref="G9">IF('Obsv 1'!G9="","",INDEX('Tests 1'!$C$2:$C$36,MATCH('Obsv 1'!G9,'Tests 1'!$B$2:$B$36,0)))</f>
        <v>SP</v>
      </c>
      <c r="H9" s="61" t="str">
        <f t="array" ref="H9">IF('Obsv 1'!H9="","",INDEX('Tests 1'!$C$2:$C$36,MATCH('Obsv 1'!H9,'Tests 1'!$B$2:$B$36,0)))</f>
        <v>IF</v>
      </c>
      <c r="I9" s="61" t="str">
        <f t="array" ref="I9">IF('Obsv 1'!I9="","",INDEX('Tests 1'!$C$2:$C$36,MATCH('Obsv 1'!I9,'Tests 1'!$B$2:$B$36,0)))</f>
        <v/>
      </c>
      <c r="J9" s="61" t="str">
        <f t="array" ref="J9">IF('Obsv 1'!J9="","",INDEX('Tests 1'!$C$2:$C$36,MATCH('Obsv 1'!J9,'Tests 1'!$B$2:$B$36,0)))</f>
        <v/>
      </c>
      <c r="K9" s="61" t="str">
        <f t="array" ref="K9">IF('Obsv 1'!K9="","",INDEX('Tests 1'!$C$2:$C$36,MATCH('Obsv 1'!K9,'Tests 1'!$B$2:$B$36,0)))</f>
        <v/>
      </c>
      <c r="L9" s="61" t="str">
        <f t="array" ref="L9">IF('Obsv 1'!L9="","",INDEX('Tests 1'!$C$2:$C$36,MATCH('Obsv 1'!L9,'Tests 1'!$B$2:$B$36,0)))</f>
        <v/>
      </c>
      <c r="M9" s="61" t="str">
        <f t="array" ref="M9">IF('Obsv 1'!M9="","",INDEX('Tests 1'!$C$2:$C$36,MATCH('Obsv 1'!M9,'Tests 1'!$B$2:$B$36,0)))</f>
        <v/>
      </c>
      <c r="N9" s="61" t="str">
        <f t="array" ref="N9">IF('Obsv 1'!N9="","",INDEX('Tests 1'!$C$2:$C$36,MATCH('Obsv 1'!N9,'Tests 1'!$B$2:$B$36,0)))</f>
        <v/>
      </c>
      <c r="O9" s="61" t="str">
        <f t="array" ref="O9">IF('Obsv 1'!O9="","",INDEX('Tests 1'!$C$2:$C$36,MATCH('Obsv 1'!O9,'Tests 1'!$B$2:$B$36,0)))</f>
        <v/>
      </c>
      <c r="P9" s="61" t="str">
        <f t="array" ref="P9">IF('Obsv 1'!P9="","",INDEX('Tests 1'!$C$2:$C$36,MATCH('Obsv 1'!P9,'Tests 1'!$B$2:$B$36,0)))</f>
        <v/>
      </c>
      <c r="Q9" s="61" t="str">
        <f t="array" ref="Q9">IF('Obsv 1'!Q9="","",INDEX('Tests 1'!$C$2:$C$36,MATCH('Obsv 1'!Q9,'Tests 1'!$B$2:$B$36,0)))</f>
        <v/>
      </c>
      <c r="R9" s="61" t="str">
        <f t="array" ref="R9">IF('Obsv 1'!R9="","",INDEX('Tests 1'!$C$2:$C$36,MATCH('Obsv 1'!R9,'Tests 1'!$B$2:$B$36,0)))</f>
        <v/>
      </c>
      <c r="S9" s="61" t="str">
        <f t="array" ref="S9">IF('Obsv 1'!S9="","",INDEX('Tests 1'!$C$2:$C$36,MATCH('Obsv 1'!S9,'Tests 1'!$B$2:$B$36,0)))</f>
        <v/>
      </c>
      <c r="T9" s="61" t="str">
        <f t="array" ref="T9">IF('Obsv 1'!T9="","",INDEX('Tests 1'!$C$2:$C$36,MATCH('Obsv 1'!T9,'Tests 1'!$B$2:$B$36,0)))</f>
        <v/>
      </c>
      <c r="U9" s="61" t="str">
        <f t="array" ref="U9">IF('Obsv 1'!U9="","",INDEX('Tests 1'!$C$2:$C$36,MATCH('Obsv 1'!U9,'Tests 1'!$B$2:$B$36,0)))</f>
        <v/>
      </c>
      <c r="V9" s="61" t="str">
        <f t="array" ref="V9">IF('Obsv 1'!V9="","",INDEX('Tests 1'!$C$2:$C$36,MATCH('Obsv 1'!V9,'Tests 1'!$B$2:$B$36,0)))</f>
        <v/>
      </c>
      <c r="W9" s="61" t="str">
        <f t="array" ref="W9">IF('Obsv 1'!W9="","",INDEX('Tests 1'!$C$2:$C$36,MATCH('Obsv 1'!W9,'Tests 1'!$B$2:$B$36,0)))</f>
        <v/>
      </c>
      <c r="X9" s="61" t="str">
        <f t="array" ref="X9">IF('Obsv 1'!X9="","",INDEX('Tests 1'!$C$2:$C$36,MATCH('Obsv 1'!X9,'Tests 1'!$B$2:$B$36,0)))</f>
        <v/>
      </c>
      <c r="Y9" s="61" t="str">
        <f t="array" ref="Y9">IF('Obsv 1'!Y9="","",INDEX('Tests 1'!$C$2:$C$36,MATCH('Obsv 1'!Y9,'Tests 1'!$B$2:$B$36,0)))</f>
        <v/>
      </c>
      <c r="Z9" s="61" t="str">
        <f t="array" ref="Z9">IF('Obsv 1'!Z9="","",INDEX('Tests 1'!$C$2:$C$36,MATCH('Obsv 1'!Z9,'Tests 1'!$B$2:$B$36,0)))</f>
        <v/>
      </c>
      <c r="AA9" s="61" t="str">
        <f t="array" ref="AA9">IF('Obsv 1'!AA9="","",INDEX('Tests 1'!$C$2:$C$36,MATCH('Obsv 1'!AA9,'Tests 1'!$B$2:$B$36,0)))</f>
        <v/>
      </c>
      <c r="AB9" s="61" t="str">
        <f t="array" ref="AB9">IF('Obsv 1'!AB9="","",INDEX('Tests 1'!$C$2:$C$36,MATCH('Obsv 1'!AB9,'Tests 1'!$B$2:$B$36,0)))</f>
        <v/>
      </c>
      <c r="AC9" s="61" t="str">
        <f t="array" ref="AC9">IF('Obsv 1'!AC9="","",INDEX('Tests 1'!$C$2:$C$36,MATCH('Obsv 1'!AC9,'Tests 1'!$B$2:$B$36,0)))</f>
        <v/>
      </c>
      <c r="AD9" s="61" t="str">
        <f t="array" ref="AD9">IF('Obsv 1'!AD9="","",INDEX('Tests 1'!$C$2:$C$36,MATCH('Obsv 1'!AD9,'Tests 1'!$B$2:$B$36,0)))</f>
        <v/>
      </c>
      <c r="AE9" s="61" t="str">
        <f t="array" ref="AE9">IF('Obsv 1'!AE9="","",INDEX('Tests 1'!$C$2:$C$36,MATCH('Obsv 1'!AE9,'Tests 1'!$B$2:$B$36,0)))</f>
        <v/>
      </c>
      <c r="AF9" s="61" t="str">
        <f t="array" ref="AF9">IF('Obsv 1'!AF9="","",INDEX('Tests 1'!$C$2:$C$36,MATCH('Obsv 1'!AF9,'Tests 1'!$B$2:$B$36,0)))</f>
        <v/>
      </c>
      <c r="AG9" s="61" t="str">
        <f t="array" ref="AG9">IF('Obsv 1'!AG9="","",INDEX('Tests 1'!$C$2:$C$36,MATCH('Obsv 1'!AG9,'Tests 1'!$B$2:$B$36,0)))</f>
        <v/>
      </c>
      <c r="AH9" s="61" t="str">
        <f t="array" ref="AH9">IF('Obsv 1'!AH9="","",INDEX('Tests 1'!$C$2:$C$36,MATCH('Obsv 1'!AH9,'Tests 1'!$B$2:$B$36,0)))</f>
        <v/>
      </c>
      <c r="AI9" s="61" t="str">
        <f t="array" ref="AI9">IF('Obsv 1'!AI9="","",INDEX('Tests 1'!$C$2:$C$36,MATCH('Obsv 1'!AI9,'Tests 1'!$B$2:$B$36,0)))</f>
        <v/>
      </c>
      <c r="AJ9" s="61" t="str">
        <f t="array" ref="AJ9">IF('Obsv 1'!AJ9="","",INDEX('Tests 1'!$C$2:$C$36,MATCH('Obsv 1'!AJ9,'Tests 1'!$B$2:$B$36,0)))</f>
        <v/>
      </c>
      <c r="AK9" s="61" t="str">
        <f t="array" ref="AK9">IF('Obsv 1'!AK9="","",INDEX('Tests 1'!$C$2:$C$36,MATCH('Obsv 1'!AK9,'Tests 1'!$B$2:$B$36,0)))</f>
        <v/>
      </c>
      <c r="AL9" s="61" t="str">
        <f t="array" ref="AL9">IF('Obsv 1'!AL9="","",INDEX('Tests 1'!$C$2:$C$36,MATCH('Obsv 1'!AL9,'Tests 1'!$B$2:$B$36,0)))</f>
        <v/>
      </c>
      <c r="AM9" s="61" t="str">
        <f t="array" ref="AM9">IF('Obsv 1'!AM9="","",INDEX('Tests 1'!$C$2:$C$36,MATCH('Obsv 1'!AM9,'Tests 1'!$B$2:$B$36,0)))</f>
        <v/>
      </c>
      <c r="AN9" s="61" t="str">
        <f t="array" ref="AN9">IF('Obsv 1'!AN9="","",INDEX('Tests 1'!$C$2:$C$36,MATCH('Obsv 1'!AN9,'Tests 1'!$B$2:$B$36,0)))</f>
        <v/>
      </c>
      <c r="AO9" s="61" t="str">
        <f t="array" ref="AO9">IF('Obsv 1'!AO9="","",INDEX('Tests 1'!$C$2:$C$36,MATCH('Obsv 1'!AO9,'Tests 1'!$B$2:$B$36,0)))</f>
        <v/>
      </c>
      <c r="AP9" s="61" t="str">
        <f t="array" ref="AP9">IF('Obsv 1'!AP9="","",INDEX('Tests 1'!$C$2:$C$36,MATCH('Obsv 1'!AP9,'Tests 1'!$B$2:$B$36,0)))</f>
        <v/>
      </c>
      <c r="AQ9" s="61" t="str">
        <f t="array" ref="AQ9">IF('Obsv 1'!AQ9="","",INDEX('Tests 1'!$C$2:$C$36,MATCH('Obsv 1'!AQ9,'Tests 1'!$B$2:$B$36,0)))</f>
        <v/>
      </c>
      <c r="AR9" s="61" t="str">
        <f t="array" ref="AR9">IF('Obsv 1'!AR9="","",INDEX('Tests 1'!$C$2:$C$36,MATCH('Obsv 1'!AR9,'Tests 1'!$B$2:$B$36,0)))</f>
        <v/>
      </c>
      <c r="AS9" s="61" t="str">
        <f t="array" ref="AS9">IF('Obsv 1'!AS9="","",INDEX('Tests 1'!$C$2:$C$36,MATCH('Obsv 1'!AS9,'Tests 1'!$B$2:$B$36,0)))</f>
        <v/>
      </c>
      <c r="AT9" s="61" t="str">
        <f t="array" ref="AT9">IF('Obsv 1'!AT9="","",INDEX('Tests 1'!$C$2:$C$36,MATCH('Obsv 1'!AT9,'Tests 1'!$B$2:$B$36,0)))</f>
        <v/>
      </c>
      <c r="AU9" s="61" t="str">
        <f t="array" ref="AU9">IF('Obsv 1'!AU9="","",INDEX('Tests 1'!$C$2:$C$36,MATCH('Obsv 1'!AU9,'Tests 1'!$B$2:$B$36,0)))</f>
        <v/>
      </c>
      <c r="AV9" s="62" t="str">
        <f t="array" ref="AV9">IF('Obsv 1'!AV9="","",INDEX('Tests 1'!$C$2:$C$36,MATCH('Obsv 1'!AV9,'Tests 1'!$B$2:$B$36,0)))</f>
        <v/>
      </c>
    </row>
    <row r="10">
      <c r="A10" s="59">
        <v>8.0</v>
      </c>
      <c r="B10" s="60" t="s">
        <v>54</v>
      </c>
      <c r="C10" s="64"/>
      <c r="D10" s="62"/>
      <c r="E10" s="63"/>
      <c r="F10" s="61" t="str">
        <f t="array" ref="F10">IF('Obsv 1'!F10="","",INDEX('Tests 1'!$C$2:$C$36,MATCH('Obsv 1'!F10,'Tests 1'!$B$2:$B$36,0)))</f>
        <v>DN</v>
      </c>
      <c r="G10" s="61" t="str">
        <f t="array" ref="G10">IF('Obsv 1'!G10="","",INDEX('Tests 1'!$C$2:$C$36,MATCH('Obsv 1'!G10,'Tests 1'!$B$2:$B$36,0)))</f>
        <v/>
      </c>
      <c r="H10" s="61" t="str">
        <f t="array" ref="H10">IF('Obsv 1'!H10="","",INDEX('Tests 1'!$C$2:$C$36,MATCH('Obsv 1'!H10,'Tests 1'!$B$2:$B$36,0)))</f>
        <v/>
      </c>
      <c r="I10" s="61" t="str">
        <f t="array" ref="I10">IF('Obsv 1'!I10="","",INDEX('Tests 1'!$C$2:$C$36,MATCH('Obsv 1'!I10,'Tests 1'!$B$2:$B$36,0)))</f>
        <v/>
      </c>
      <c r="J10" s="61" t="str">
        <f t="array" ref="J10">IF('Obsv 1'!J10="","",INDEX('Tests 1'!$C$2:$C$36,MATCH('Obsv 1'!J10,'Tests 1'!$B$2:$B$36,0)))</f>
        <v/>
      </c>
      <c r="K10" s="61" t="str">
        <f t="array" ref="K10">IF('Obsv 1'!K10="","",INDEX('Tests 1'!$C$2:$C$36,MATCH('Obsv 1'!K10,'Tests 1'!$B$2:$B$36,0)))</f>
        <v/>
      </c>
      <c r="L10" s="61" t="str">
        <f t="array" ref="L10">IF('Obsv 1'!L10="","",INDEX('Tests 1'!$C$2:$C$36,MATCH('Obsv 1'!L10,'Tests 1'!$B$2:$B$36,0)))</f>
        <v/>
      </c>
      <c r="M10" s="61" t="str">
        <f t="array" ref="M10">IF('Obsv 1'!M10="","",INDEX('Tests 1'!$C$2:$C$36,MATCH('Obsv 1'!M10,'Tests 1'!$B$2:$B$36,0)))</f>
        <v/>
      </c>
      <c r="N10" s="61" t="str">
        <f t="array" ref="N10">IF('Obsv 1'!N10="","",INDEX('Tests 1'!$C$2:$C$36,MATCH('Obsv 1'!N10,'Tests 1'!$B$2:$B$36,0)))</f>
        <v/>
      </c>
      <c r="O10" s="61" t="str">
        <f t="array" ref="O10">IF('Obsv 1'!O10="","",INDEX('Tests 1'!$C$2:$C$36,MATCH('Obsv 1'!O10,'Tests 1'!$B$2:$B$36,0)))</f>
        <v/>
      </c>
      <c r="P10" s="61" t="str">
        <f t="array" ref="P10">IF('Obsv 1'!P10="","",INDEX('Tests 1'!$C$2:$C$36,MATCH('Obsv 1'!P10,'Tests 1'!$B$2:$B$36,0)))</f>
        <v/>
      </c>
      <c r="Q10" s="61" t="str">
        <f t="array" ref="Q10">IF('Obsv 1'!Q10="","",INDEX('Tests 1'!$C$2:$C$36,MATCH('Obsv 1'!Q10,'Tests 1'!$B$2:$B$36,0)))</f>
        <v/>
      </c>
      <c r="R10" s="61" t="str">
        <f t="array" ref="R10">IF('Obsv 1'!R10="","",INDEX('Tests 1'!$C$2:$C$36,MATCH('Obsv 1'!R10,'Tests 1'!$B$2:$B$36,0)))</f>
        <v/>
      </c>
      <c r="S10" s="61" t="str">
        <f t="array" ref="S10">IF('Obsv 1'!S10="","",INDEX('Tests 1'!$C$2:$C$36,MATCH('Obsv 1'!S10,'Tests 1'!$B$2:$B$36,0)))</f>
        <v/>
      </c>
      <c r="T10" s="61" t="str">
        <f t="array" ref="T10">IF('Obsv 1'!T10="","",INDEX('Tests 1'!$C$2:$C$36,MATCH('Obsv 1'!T10,'Tests 1'!$B$2:$B$36,0)))</f>
        <v/>
      </c>
      <c r="U10" s="61" t="str">
        <f t="array" ref="U10">IF('Obsv 1'!U10="","",INDEX('Tests 1'!$C$2:$C$36,MATCH('Obsv 1'!U10,'Tests 1'!$B$2:$B$36,0)))</f>
        <v/>
      </c>
      <c r="V10" s="61" t="str">
        <f t="array" ref="V10">IF('Obsv 1'!V10="","",INDEX('Tests 1'!$C$2:$C$36,MATCH('Obsv 1'!V10,'Tests 1'!$B$2:$B$36,0)))</f>
        <v/>
      </c>
      <c r="W10" s="61" t="str">
        <f t="array" ref="W10">IF('Obsv 1'!W10="","",INDEX('Tests 1'!$C$2:$C$36,MATCH('Obsv 1'!W10,'Tests 1'!$B$2:$B$36,0)))</f>
        <v/>
      </c>
      <c r="X10" s="61" t="str">
        <f t="array" ref="X10">IF('Obsv 1'!X10="","",INDEX('Tests 1'!$C$2:$C$36,MATCH('Obsv 1'!X10,'Tests 1'!$B$2:$B$36,0)))</f>
        <v/>
      </c>
      <c r="Y10" s="61" t="str">
        <f t="array" ref="Y10">IF('Obsv 1'!Y10="","",INDEX('Tests 1'!$C$2:$C$36,MATCH('Obsv 1'!Y10,'Tests 1'!$B$2:$B$36,0)))</f>
        <v/>
      </c>
      <c r="Z10" s="61" t="str">
        <f t="array" ref="Z10">IF('Obsv 1'!Z10="","",INDEX('Tests 1'!$C$2:$C$36,MATCH('Obsv 1'!Z10,'Tests 1'!$B$2:$B$36,0)))</f>
        <v/>
      </c>
      <c r="AA10" s="61" t="str">
        <f t="array" ref="AA10">IF('Obsv 1'!AA10="","",INDEX('Tests 1'!$C$2:$C$36,MATCH('Obsv 1'!AA10,'Tests 1'!$B$2:$B$36,0)))</f>
        <v/>
      </c>
      <c r="AB10" s="61" t="str">
        <f t="array" ref="AB10">IF('Obsv 1'!AB10="","",INDEX('Tests 1'!$C$2:$C$36,MATCH('Obsv 1'!AB10,'Tests 1'!$B$2:$B$36,0)))</f>
        <v/>
      </c>
      <c r="AC10" s="61" t="str">
        <f t="array" ref="AC10">IF('Obsv 1'!AC10="","",INDEX('Tests 1'!$C$2:$C$36,MATCH('Obsv 1'!AC10,'Tests 1'!$B$2:$B$36,0)))</f>
        <v/>
      </c>
      <c r="AD10" s="61" t="str">
        <f t="array" ref="AD10">IF('Obsv 1'!AD10="","",INDEX('Tests 1'!$C$2:$C$36,MATCH('Obsv 1'!AD10,'Tests 1'!$B$2:$B$36,0)))</f>
        <v/>
      </c>
      <c r="AE10" s="61" t="str">
        <f t="array" ref="AE10">IF('Obsv 1'!AE10="","",INDEX('Tests 1'!$C$2:$C$36,MATCH('Obsv 1'!AE10,'Tests 1'!$B$2:$B$36,0)))</f>
        <v/>
      </c>
      <c r="AF10" s="61" t="str">
        <f t="array" ref="AF10">IF('Obsv 1'!AF10="","",INDEX('Tests 1'!$C$2:$C$36,MATCH('Obsv 1'!AF10,'Tests 1'!$B$2:$B$36,0)))</f>
        <v/>
      </c>
      <c r="AG10" s="61" t="str">
        <f t="array" ref="AG10">IF('Obsv 1'!AG10="","",INDEX('Tests 1'!$C$2:$C$36,MATCH('Obsv 1'!AG10,'Tests 1'!$B$2:$B$36,0)))</f>
        <v/>
      </c>
      <c r="AH10" s="61" t="str">
        <f t="array" ref="AH10">IF('Obsv 1'!AH10="","",INDEX('Tests 1'!$C$2:$C$36,MATCH('Obsv 1'!AH10,'Tests 1'!$B$2:$B$36,0)))</f>
        <v/>
      </c>
      <c r="AI10" s="61" t="str">
        <f t="array" ref="AI10">IF('Obsv 1'!AI10="","",INDEX('Tests 1'!$C$2:$C$36,MATCH('Obsv 1'!AI10,'Tests 1'!$B$2:$B$36,0)))</f>
        <v/>
      </c>
      <c r="AJ10" s="61" t="str">
        <f t="array" ref="AJ10">IF('Obsv 1'!AJ10="","",INDEX('Tests 1'!$C$2:$C$36,MATCH('Obsv 1'!AJ10,'Tests 1'!$B$2:$B$36,0)))</f>
        <v/>
      </c>
      <c r="AK10" s="61" t="str">
        <f t="array" ref="AK10">IF('Obsv 1'!AK10="","",INDEX('Tests 1'!$C$2:$C$36,MATCH('Obsv 1'!AK10,'Tests 1'!$B$2:$B$36,0)))</f>
        <v/>
      </c>
      <c r="AL10" s="61" t="str">
        <f t="array" ref="AL10">IF('Obsv 1'!AL10="","",INDEX('Tests 1'!$C$2:$C$36,MATCH('Obsv 1'!AL10,'Tests 1'!$B$2:$B$36,0)))</f>
        <v/>
      </c>
      <c r="AM10" s="61" t="str">
        <f t="array" ref="AM10">IF('Obsv 1'!AM10="","",INDEX('Tests 1'!$C$2:$C$36,MATCH('Obsv 1'!AM10,'Tests 1'!$B$2:$B$36,0)))</f>
        <v/>
      </c>
      <c r="AN10" s="61" t="str">
        <f t="array" ref="AN10">IF('Obsv 1'!AN10="","",INDEX('Tests 1'!$C$2:$C$36,MATCH('Obsv 1'!AN10,'Tests 1'!$B$2:$B$36,0)))</f>
        <v/>
      </c>
      <c r="AO10" s="61" t="str">
        <f t="array" ref="AO10">IF('Obsv 1'!AO10="","",INDEX('Tests 1'!$C$2:$C$36,MATCH('Obsv 1'!AO10,'Tests 1'!$B$2:$B$36,0)))</f>
        <v/>
      </c>
      <c r="AP10" s="61" t="str">
        <f t="array" ref="AP10">IF('Obsv 1'!AP10="","",INDEX('Tests 1'!$C$2:$C$36,MATCH('Obsv 1'!AP10,'Tests 1'!$B$2:$B$36,0)))</f>
        <v/>
      </c>
      <c r="AQ10" s="61" t="str">
        <f t="array" ref="AQ10">IF('Obsv 1'!AQ10="","",INDEX('Tests 1'!$C$2:$C$36,MATCH('Obsv 1'!AQ10,'Tests 1'!$B$2:$B$36,0)))</f>
        <v/>
      </c>
      <c r="AR10" s="61" t="str">
        <f t="array" ref="AR10">IF('Obsv 1'!AR10="","",INDEX('Tests 1'!$C$2:$C$36,MATCH('Obsv 1'!AR10,'Tests 1'!$B$2:$B$36,0)))</f>
        <v/>
      </c>
      <c r="AS10" s="61" t="str">
        <f t="array" ref="AS10">IF('Obsv 1'!AS10="","",INDEX('Tests 1'!$C$2:$C$36,MATCH('Obsv 1'!AS10,'Tests 1'!$B$2:$B$36,0)))</f>
        <v/>
      </c>
      <c r="AT10" s="61" t="str">
        <f t="array" ref="AT10">IF('Obsv 1'!AT10="","",INDEX('Tests 1'!$C$2:$C$36,MATCH('Obsv 1'!AT10,'Tests 1'!$B$2:$B$36,0)))</f>
        <v/>
      </c>
      <c r="AU10" s="61" t="str">
        <f t="array" ref="AU10">IF('Obsv 1'!AU10="","",INDEX('Tests 1'!$C$2:$C$36,MATCH('Obsv 1'!AU10,'Tests 1'!$B$2:$B$36,0)))</f>
        <v/>
      </c>
      <c r="AV10" s="62" t="str">
        <f t="array" ref="AV10">IF('Obsv 1'!AV10="","",INDEX('Tests 1'!$C$2:$C$36,MATCH('Obsv 1'!AV10,'Tests 1'!$B$2:$B$36,0)))</f>
        <v/>
      </c>
    </row>
    <row r="11">
      <c r="A11" s="59">
        <v>9.0</v>
      </c>
      <c r="B11" s="60" t="s">
        <v>55</v>
      </c>
      <c r="C11" s="66"/>
      <c r="D11" s="62"/>
      <c r="E11" s="63"/>
      <c r="F11" s="61" t="str">
        <f t="array" ref="F11">IF('Obsv 1'!F11="","",INDEX('Tests 1'!$C$2:$C$36,MATCH('Obsv 1'!F11,'Tests 1'!$B$2:$B$36,0)))</f>
        <v>DN</v>
      </c>
      <c r="G11" s="61" t="str">
        <f t="array" ref="G11">IF('Obsv 1'!G11="","",INDEX('Tests 1'!$C$2:$C$36,MATCH('Obsv 1'!G11,'Tests 1'!$B$2:$B$36,0)))</f>
        <v/>
      </c>
      <c r="H11" s="61" t="str">
        <f t="array" ref="H11">IF('Obsv 1'!H11="","",INDEX('Tests 1'!$C$2:$C$36,MATCH('Obsv 1'!H11,'Tests 1'!$B$2:$B$36,0)))</f>
        <v/>
      </c>
      <c r="I11" s="61" t="str">
        <f t="array" ref="I11">IF('Obsv 1'!I11="","",INDEX('Tests 1'!$C$2:$C$36,MATCH('Obsv 1'!I11,'Tests 1'!$B$2:$B$36,0)))</f>
        <v/>
      </c>
      <c r="J11" s="61" t="str">
        <f t="array" ref="J11">IF('Obsv 1'!J11="","",INDEX('Tests 1'!$C$2:$C$36,MATCH('Obsv 1'!J11,'Tests 1'!$B$2:$B$36,0)))</f>
        <v/>
      </c>
      <c r="K11" s="61" t="str">
        <f t="array" ref="K11">IF('Obsv 1'!K11="","",INDEX('Tests 1'!$C$2:$C$36,MATCH('Obsv 1'!K11,'Tests 1'!$B$2:$B$36,0)))</f>
        <v/>
      </c>
      <c r="L11" s="61" t="str">
        <f t="array" ref="L11">IF('Obsv 1'!L11="","",INDEX('Tests 1'!$C$2:$C$36,MATCH('Obsv 1'!L11,'Tests 1'!$B$2:$B$36,0)))</f>
        <v/>
      </c>
      <c r="M11" s="61" t="str">
        <f t="array" ref="M11">IF('Obsv 1'!M11="","",INDEX('Tests 1'!$C$2:$C$36,MATCH('Obsv 1'!M11,'Tests 1'!$B$2:$B$36,0)))</f>
        <v/>
      </c>
      <c r="N11" s="61" t="str">
        <f t="array" ref="N11">IF('Obsv 1'!N11="","",INDEX('Tests 1'!$C$2:$C$36,MATCH('Obsv 1'!N11,'Tests 1'!$B$2:$B$36,0)))</f>
        <v/>
      </c>
      <c r="O11" s="61" t="str">
        <f t="array" ref="O11">IF('Obsv 1'!O11="","",INDEX('Tests 1'!$C$2:$C$36,MATCH('Obsv 1'!O11,'Tests 1'!$B$2:$B$36,0)))</f>
        <v/>
      </c>
      <c r="P11" s="61" t="str">
        <f t="array" ref="P11">IF('Obsv 1'!P11="","",INDEX('Tests 1'!$C$2:$C$36,MATCH('Obsv 1'!P11,'Tests 1'!$B$2:$B$36,0)))</f>
        <v/>
      </c>
      <c r="Q11" s="61" t="str">
        <f t="array" ref="Q11">IF('Obsv 1'!Q11="","",INDEX('Tests 1'!$C$2:$C$36,MATCH('Obsv 1'!Q11,'Tests 1'!$B$2:$B$36,0)))</f>
        <v/>
      </c>
      <c r="R11" s="61" t="str">
        <f t="array" ref="R11">IF('Obsv 1'!R11="","",INDEX('Tests 1'!$C$2:$C$36,MATCH('Obsv 1'!R11,'Tests 1'!$B$2:$B$36,0)))</f>
        <v/>
      </c>
      <c r="S11" s="61" t="str">
        <f t="array" ref="S11">IF('Obsv 1'!S11="","",INDEX('Tests 1'!$C$2:$C$36,MATCH('Obsv 1'!S11,'Tests 1'!$B$2:$B$36,0)))</f>
        <v/>
      </c>
      <c r="T11" s="61" t="str">
        <f t="array" ref="T11">IF('Obsv 1'!T11="","",INDEX('Tests 1'!$C$2:$C$36,MATCH('Obsv 1'!T11,'Tests 1'!$B$2:$B$36,0)))</f>
        <v/>
      </c>
      <c r="U11" s="61" t="str">
        <f t="array" ref="U11">IF('Obsv 1'!U11="","",INDEX('Tests 1'!$C$2:$C$36,MATCH('Obsv 1'!U11,'Tests 1'!$B$2:$B$36,0)))</f>
        <v/>
      </c>
      <c r="V11" s="61" t="str">
        <f t="array" ref="V11">IF('Obsv 1'!V11="","",INDEX('Tests 1'!$C$2:$C$36,MATCH('Obsv 1'!V11,'Tests 1'!$B$2:$B$36,0)))</f>
        <v/>
      </c>
      <c r="W11" s="61" t="str">
        <f t="array" ref="W11">IF('Obsv 1'!W11="","",INDEX('Tests 1'!$C$2:$C$36,MATCH('Obsv 1'!W11,'Tests 1'!$B$2:$B$36,0)))</f>
        <v/>
      </c>
      <c r="X11" s="61" t="str">
        <f t="array" ref="X11">IF('Obsv 1'!X11="","",INDEX('Tests 1'!$C$2:$C$36,MATCH('Obsv 1'!X11,'Tests 1'!$B$2:$B$36,0)))</f>
        <v/>
      </c>
      <c r="Y11" s="61" t="str">
        <f t="array" ref="Y11">IF('Obsv 1'!Y11="","",INDEX('Tests 1'!$C$2:$C$36,MATCH('Obsv 1'!Y11,'Tests 1'!$B$2:$B$36,0)))</f>
        <v/>
      </c>
      <c r="Z11" s="61" t="str">
        <f t="array" ref="Z11">IF('Obsv 1'!Z11="","",INDEX('Tests 1'!$C$2:$C$36,MATCH('Obsv 1'!Z11,'Tests 1'!$B$2:$B$36,0)))</f>
        <v/>
      </c>
      <c r="AA11" s="61" t="str">
        <f t="array" ref="AA11">IF('Obsv 1'!AA11="","",INDEX('Tests 1'!$C$2:$C$36,MATCH('Obsv 1'!AA11,'Tests 1'!$B$2:$B$36,0)))</f>
        <v/>
      </c>
      <c r="AB11" s="61" t="str">
        <f t="array" ref="AB11">IF('Obsv 1'!AB11="","",INDEX('Tests 1'!$C$2:$C$36,MATCH('Obsv 1'!AB11,'Tests 1'!$B$2:$B$36,0)))</f>
        <v/>
      </c>
      <c r="AC11" s="61" t="str">
        <f t="array" ref="AC11">IF('Obsv 1'!AC11="","",INDEX('Tests 1'!$C$2:$C$36,MATCH('Obsv 1'!AC11,'Tests 1'!$B$2:$B$36,0)))</f>
        <v/>
      </c>
      <c r="AD11" s="61" t="str">
        <f t="array" ref="AD11">IF('Obsv 1'!AD11="","",INDEX('Tests 1'!$C$2:$C$36,MATCH('Obsv 1'!AD11,'Tests 1'!$B$2:$B$36,0)))</f>
        <v/>
      </c>
      <c r="AE11" s="61" t="str">
        <f t="array" ref="AE11">IF('Obsv 1'!AE11="","",INDEX('Tests 1'!$C$2:$C$36,MATCH('Obsv 1'!AE11,'Tests 1'!$B$2:$B$36,0)))</f>
        <v/>
      </c>
      <c r="AF11" s="61" t="str">
        <f t="array" ref="AF11">IF('Obsv 1'!AF11="","",INDEX('Tests 1'!$C$2:$C$36,MATCH('Obsv 1'!AF11,'Tests 1'!$B$2:$B$36,0)))</f>
        <v/>
      </c>
      <c r="AG11" s="61" t="str">
        <f t="array" ref="AG11">IF('Obsv 1'!AG11="","",INDEX('Tests 1'!$C$2:$C$36,MATCH('Obsv 1'!AG11,'Tests 1'!$B$2:$B$36,0)))</f>
        <v/>
      </c>
      <c r="AH11" s="61" t="str">
        <f t="array" ref="AH11">IF('Obsv 1'!AH11="","",INDEX('Tests 1'!$C$2:$C$36,MATCH('Obsv 1'!AH11,'Tests 1'!$B$2:$B$36,0)))</f>
        <v/>
      </c>
      <c r="AI11" s="61" t="str">
        <f t="array" ref="AI11">IF('Obsv 1'!AI11="","",INDEX('Tests 1'!$C$2:$C$36,MATCH('Obsv 1'!AI11,'Tests 1'!$B$2:$B$36,0)))</f>
        <v/>
      </c>
      <c r="AJ11" s="61" t="str">
        <f t="array" ref="AJ11">IF('Obsv 1'!AJ11="","",INDEX('Tests 1'!$C$2:$C$36,MATCH('Obsv 1'!AJ11,'Tests 1'!$B$2:$B$36,0)))</f>
        <v/>
      </c>
      <c r="AK11" s="61" t="str">
        <f t="array" ref="AK11">IF('Obsv 1'!AK11="","",INDEX('Tests 1'!$C$2:$C$36,MATCH('Obsv 1'!AK11,'Tests 1'!$B$2:$B$36,0)))</f>
        <v/>
      </c>
      <c r="AL11" s="61" t="str">
        <f t="array" ref="AL11">IF('Obsv 1'!AL11="","",INDEX('Tests 1'!$C$2:$C$36,MATCH('Obsv 1'!AL11,'Tests 1'!$B$2:$B$36,0)))</f>
        <v/>
      </c>
      <c r="AM11" s="61" t="str">
        <f t="array" ref="AM11">IF('Obsv 1'!AM11="","",INDEX('Tests 1'!$C$2:$C$36,MATCH('Obsv 1'!AM11,'Tests 1'!$B$2:$B$36,0)))</f>
        <v/>
      </c>
      <c r="AN11" s="61" t="str">
        <f t="array" ref="AN11">IF('Obsv 1'!AN11="","",INDEX('Tests 1'!$C$2:$C$36,MATCH('Obsv 1'!AN11,'Tests 1'!$B$2:$B$36,0)))</f>
        <v/>
      </c>
      <c r="AO11" s="61" t="str">
        <f t="array" ref="AO11">IF('Obsv 1'!AO11="","",INDEX('Tests 1'!$C$2:$C$36,MATCH('Obsv 1'!AO11,'Tests 1'!$B$2:$B$36,0)))</f>
        <v/>
      </c>
      <c r="AP11" s="61" t="str">
        <f t="array" ref="AP11">IF('Obsv 1'!AP11="","",INDEX('Tests 1'!$C$2:$C$36,MATCH('Obsv 1'!AP11,'Tests 1'!$B$2:$B$36,0)))</f>
        <v/>
      </c>
      <c r="AQ11" s="61" t="str">
        <f t="array" ref="AQ11">IF('Obsv 1'!AQ11="","",INDEX('Tests 1'!$C$2:$C$36,MATCH('Obsv 1'!AQ11,'Tests 1'!$B$2:$B$36,0)))</f>
        <v/>
      </c>
      <c r="AR11" s="61" t="str">
        <f t="array" ref="AR11">IF('Obsv 1'!AR11="","",INDEX('Tests 1'!$C$2:$C$36,MATCH('Obsv 1'!AR11,'Tests 1'!$B$2:$B$36,0)))</f>
        <v/>
      </c>
      <c r="AS11" s="61" t="str">
        <f t="array" ref="AS11">IF('Obsv 1'!AS11="","",INDEX('Tests 1'!$C$2:$C$36,MATCH('Obsv 1'!AS11,'Tests 1'!$B$2:$B$36,0)))</f>
        <v/>
      </c>
      <c r="AT11" s="61" t="str">
        <f t="array" ref="AT11">IF('Obsv 1'!AT11="","",INDEX('Tests 1'!$C$2:$C$36,MATCH('Obsv 1'!AT11,'Tests 1'!$B$2:$B$36,0)))</f>
        <v/>
      </c>
      <c r="AU11" s="61" t="str">
        <f t="array" ref="AU11">IF('Obsv 1'!AU11="","",INDEX('Tests 1'!$C$2:$C$36,MATCH('Obsv 1'!AU11,'Tests 1'!$B$2:$B$36,0)))</f>
        <v/>
      </c>
      <c r="AV11" s="62" t="str">
        <f t="array" ref="AV11">IF('Obsv 1'!AV11="","",INDEX('Tests 1'!$C$2:$C$36,MATCH('Obsv 1'!AV11,'Tests 1'!$B$2:$B$36,0)))</f>
        <v/>
      </c>
    </row>
    <row r="12">
      <c r="A12" s="59">
        <v>10.0</v>
      </c>
      <c r="B12" s="60" t="s">
        <v>56</v>
      </c>
      <c r="C12" s="66"/>
      <c r="D12" s="62"/>
      <c r="E12" s="63"/>
      <c r="F12" s="61" t="str">
        <f t="array" ref="F12">IF('Obsv 1'!F12="","",INDEX('Tests 1'!$C$2:$C$36,MATCH('Obsv 1'!F12,'Tests 1'!$B$2:$B$36,0)))</f>
        <v>SP</v>
      </c>
      <c r="G12" s="61" t="str">
        <f t="array" ref="G12">IF('Obsv 1'!G12="","",INDEX('Tests 1'!$C$2:$C$36,MATCH('Obsv 1'!G12,'Tests 1'!$B$2:$B$36,0)))</f>
        <v/>
      </c>
      <c r="H12" s="61" t="str">
        <f t="array" ref="H12">IF('Obsv 1'!H12="","",INDEX('Tests 1'!$C$2:$C$36,MATCH('Obsv 1'!H12,'Tests 1'!$B$2:$B$36,0)))</f>
        <v/>
      </c>
      <c r="I12" s="61" t="str">
        <f t="array" ref="I12">IF('Obsv 1'!I12="","",INDEX('Tests 1'!$C$2:$C$36,MATCH('Obsv 1'!I12,'Tests 1'!$B$2:$B$36,0)))</f>
        <v/>
      </c>
      <c r="J12" s="61" t="str">
        <f t="array" ref="J12">IF('Obsv 1'!J12="","",INDEX('Tests 1'!$C$2:$C$36,MATCH('Obsv 1'!J12,'Tests 1'!$B$2:$B$36,0)))</f>
        <v/>
      </c>
      <c r="K12" s="61" t="str">
        <f t="array" ref="K12">IF('Obsv 1'!K12="","",INDEX('Tests 1'!$C$2:$C$36,MATCH('Obsv 1'!K12,'Tests 1'!$B$2:$B$36,0)))</f>
        <v/>
      </c>
      <c r="L12" s="61" t="str">
        <f t="array" ref="L12">IF('Obsv 1'!L12="","",INDEX('Tests 1'!$C$2:$C$36,MATCH('Obsv 1'!L12,'Tests 1'!$B$2:$B$36,0)))</f>
        <v/>
      </c>
      <c r="M12" s="61" t="str">
        <f t="array" ref="M12">IF('Obsv 1'!M12="","",INDEX('Tests 1'!$C$2:$C$36,MATCH('Obsv 1'!M12,'Tests 1'!$B$2:$B$36,0)))</f>
        <v/>
      </c>
      <c r="N12" s="61" t="str">
        <f t="array" ref="N12">IF('Obsv 1'!N12="","",INDEX('Tests 1'!$C$2:$C$36,MATCH('Obsv 1'!N12,'Tests 1'!$B$2:$B$36,0)))</f>
        <v/>
      </c>
      <c r="O12" s="61" t="str">
        <f t="array" ref="O12">IF('Obsv 1'!O12="","",INDEX('Tests 1'!$C$2:$C$36,MATCH('Obsv 1'!O12,'Tests 1'!$B$2:$B$36,0)))</f>
        <v/>
      </c>
      <c r="P12" s="61" t="str">
        <f t="array" ref="P12">IF('Obsv 1'!P12="","",INDEX('Tests 1'!$C$2:$C$36,MATCH('Obsv 1'!P12,'Tests 1'!$B$2:$B$36,0)))</f>
        <v/>
      </c>
      <c r="Q12" s="61" t="str">
        <f t="array" ref="Q12">IF('Obsv 1'!Q12="","",INDEX('Tests 1'!$C$2:$C$36,MATCH('Obsv 1'!Q12,'Tests 1'!$B$2:$B$36,0)))</f>
        <v/>
      </c>
      <c r="R12" s="61" t="str">
        <f t="array" ref="R12">IF('Obsv 1'!R12="","",INDEX('Tests 1'!$C$2:$C$36,MATCH('Obsv 1'!R12,'Tests 1'!$B$2:$B$36,0)))</f>
        <v/>
      </c>
      <c r="S12" s="61" t="str">
        <f t="array" ref="S12">IF('Obsv 1'!S12="","",INDEX('Tests 1'!$C$2:$C$36,MATCH('Obsv 1'!S12,'Tests 1'!$B$2:$B$36,0)))</f>
        <v/>
      </c>
      <c r="T12" s="61" t="str">
        <f t="array" ref="T12">IF('Obsv 1'!T12="","",INDEX('Tests 1'!$C$2:$C$36,MATCH('Obsv 1'!T12,'Tests 1'!$B$2:$B$36,0)))</f>
        <v/>
      </c>
      <c r="U12" s="61" t="str">
        <f t="array" ref="U12">IF('Obsv 1'!U12="","",INDEX('Tests 1'!$C$2:$C$36,MATCH('Obsv 1'!U12,'Tests 1'!$B$2:$B$36,0)))</f>
        <v/>
      </c>
      <c r="V12" s="61" t="str">
        <f t="array" ref="V12">IF('Obsv 1'!V12="","",INDEX('Tests 1'!$C$2:$C$36,MATCH('Obsv 1'!V12,'Tests 1'!$B$2:$B$36,0)))</f>
        <v/>
      </c>
      <c r="W12" s="61" t="str">
        <f t="array" ref="W12">IF('Obsv 1'!W12="","",INDEX('Tests 1'!$C$2:$C$36,MATCH('Obsv 1'!W12,'Tests 1'!$B$2:$B$36,0)))</f>
        <v/>
      </c>
      <c r="X12" s="61" t="str">
        <f t="array" ref="X12">IF('Obsv 1'!X12="","",INDEX('Tests 1'!$C$2:$C$36,MATCH('Obsv 1'!X12,'Tests 1'!$B$2:$B$36,0)))</f>
        <v/>
      </c>
      <c r="Y12" s="61" t="str">
        <f t="array" ref="Y12">IF('Obsv 1'!Y12="","",INDEX('Tests 1'!$C$2:$C$36,MATCH('Obsv 1'!Y12,'Tests 1'!$B$2:$B$36,0)))</f>
        <v/>
      </c>
      <c r="Z12" s="61" t="str">
        <f t="array" ref="Z12">IF('Obsv 1'!Z12="","",INDEX('Tests 1'!$C$2:$C$36,MATCH('Obsv 1'!Z12,'Tests 1'!$B$2:$B$36,0)))</f>
        <v/>
      </c>
      <c r="AA12" s="61" t="str">
        <f t="array" ref="AA12">IF('Obsv 1'!AA12="","",INDEX('Tests 1'!$C$2:$C$36,MATCH('Obsv 1'!AA12,'Tests 1'!$B$2:$B$36,0)))</f>
        <v/>
      </c>
      <c r="AB12" s="61" t="str">
        <f t="array" ref="AB12">IF('Obsv 1'!AB12="","",INDEX('Tests 1'!$C$2:$C$36,MATCH('Obsv 1'!AB12,'Tests 1'!$B$2:$B$36,0)))</f>
        <v/>
      </c>
      <c r="AC12" s="61" t="str">
        <f t="array" ref="AC12">IF('Obsv 1'!AC12="","",INDEX('Tests 1'!$C$2:$C$36,MATCH('Obsv 1'!AC12,'Tests 1'!$B$2:$B$36,0)))</f>
        <v/>
      </c>
      <c r="AD12" s="61" t="str">
        <f t="array" ref="AD12">IF('Obsv 1'!AD12="","",INDEX('Tests 1'!$C$2:$C$36,MATCH('Obsv 1'!AD12,'Tests 1'!$B$2:$B$36,0)))</f>
        <v/>
      </c>
      <c r="AE12" s="61" t="str">
        <f t="array" ref="AE12">IF('Obsv 1'!AE12="","",INDEX('Tests 1'!$C$2:$C$36,MATCH('Obsv 1'!AE12,'Tests 1'!$B$2:$B$36,0)))</f>
        <v/>
      </c>
      <c r="AF12" s="61" t="str">
        <f t="array" ref="AF12">IF('Obsv 1'!AF12="","",INDEX('Tests 1'!$C$2:$C$36,MATCH('Obsv 1'!AF12,'Tests 1'!$B$2:$B$36,0)))</f>
        <v/>
      </c>
      <c r="AG12" s="61" t="str">
        <f t="array" ref="AG12">IF('Obsv 1'!AG12="","",INDEX('Tests 1'!$C$2:$C$36,MATCH('Obsv 1'!AG12,'Tests 1'!$B$2:$B$36,0)))</f>
        <v/>
      </c>
      <c r="AH12" s="61" t="str">
        <f t="array" ref="AH12">IF('Obsv 1'!AH12="","",INDEX('Tests 1'!$C$2:$C$36,MATCH('Obsv 1'!AH12,'Tests 1'!$B$2:$B$36,0)))</f>
        <v/>
      </c>
      <c r="AI12" s="61" t="str">
        <f t="array" ref="AI12">IF('Obsv 1'!AI12="","",INDEX('Tests 1'!$C$2:$C$36,MATCH('Obsv 1'!AI12,'Tests 1'!$B$2:$B$36,0)))</f>
        <v/>
      </c>
      <c r="AJ12" s="61" t="str">
        <f t="array" ref="AJ12">IF('Obsv 1'!AJ12="","",INDEX('Tests 1'!$C$2:$C$36,MATCH('Obsv 1'!AJ12,'Tests 1'!$B$2:$B$36,0)))</f>
        <v/>
      </c>
      <c r="AK12" s="61" t="str">
        <f t="array" ref="AK12">IF('Obsv 1'!AK12="","",INDEX('Tests 1'!$C$2:$C$36,MATCH('Obsv 1'!AK12,'Tests 1'!$B$2:$B$36,0)))</f>
        <v/>
      </c>
      <c r="AL12" s="61" t="str">
        <f t="array" ref="AL12">IF('Obsv 1'!AL12="","",INDEX('Tests 1'!$C$2:$C$36,MATCH('Obsv 1'!AL12,'Tests 1'!$B$2:$B$36,0)))</f>
        <v/>
      </c>
      <c r="AM12" s="61" t="str">
        <f t="array" ref="AM12">IF('Obsv 1'!AM12="","",INDEX('Tests 1'!$C$2:$C$36,MATCH('Obsv 1'!AM12,'Tests 1'!$B$2:$B$36,0)))</f>
        <v/>
      </c>
      <c r="AN12" s="61" t="str">
        <f t="array" ref="AN12">IF('Obsv 1'!AN12="","",INDEX('Tests 1'!$C$2:$C$36,MATCH('Obsv 1'!AN12,'Tests 1'!$B$2:$B$36,0)))</f>
        <v/>
      </c>
      <c r="AO12" s="61" t="str">
        <f t="array" ref="AO12">IF('Obsv 1'!AO12="","",INDEX('Tests 1'!$C$2:$C$36,MATCH('Obsv 1'!AO12,'Tests 1'!$B$2:$B$36,0)))</f>
        <v/>
      </c>
      <c r="AP12" s="61" t="str">
        <f t="array" ref="AP12">IF('Obsv 1'!AP12="","",INDEX('Tests 1'!$C$2:$C$36,MATCH('Obsv 1'!AP12,'Tests 1'!$B$2:$B$36,0)))</f>
        <v/>
      </c>
      <c r="AQ12" s="61" t="str">
        <f t="array" ref="AQ12">IF('Obsv 1'!AQ12="","",INDEX('Tests 1'!$C$2:$C$36,MATCH('Obsv 1'!AQ12,'Tests 1'!$B$2:$B$36,0)))</f>
        <v/>
      </c>
      <c r="AR12" s="61" t="str">
        <f t="array" ref="AR12">IF('Obsv 1'!AR12="","",INDEX('Tests 1'!$C$2:$C$36,MATCH('Obsv 1'!AR12,'Tests 1'!$B$2:$B$36,0)))</f>
        <v/>
      </c>
      <c r="AS12" s="61" t="str">
        <f t="array" ref="AS12">IF('Obsv 1'!AS12="","",INDEX('Tests 1'!$C$2:$C$36,MATCH('Obsv 1'!AS12,'Tests 1'!$B$2:$B$36,0)))</f>
        <v/>
      </c>
      <c r="AT12" s="61" t="str">
        <f t="array" ref="AT12">IF('Obsv 1'!AT12="","",INDEX('Tests 1'!$C$2:$C$36,MATCH('Obsv 1'!AT12,'Tests 1'!$B$2:$B$36,0)))</f>
        <v/>
      </c>
      <c r="AU12" s="61" t="str">
        <f t="array" ref="AU12">IF('Obsv 1'!AU12="","",INDEX('Tests 1'!$C$2:$C$36,MATCH('Obsv 1'!AU12,'Tests 1'!$B$2:$B$36,0)))</f>
        <v/>
      </c>
      <c r="AV12" s="62" t="str">
        <f t="array" ref="AV12">IF('Obsv 1'!AV12="","",INDEX('Tests 1'!$C$2:$C$36,MATCH('Obsv 1'!AV12,'Tests 1'!$B$2:$B$36,0)))</f>
        <v/>
      </c>
    </row>
    <row r="13">
      <c r="A13" s="59">
        <v>11.0</v>
      </c>
      <c r="B13" s="60" t="s">
        <v>57</v>
      </c>
      <c r="C13" s="64"/>
      <c r="D13" s="62"/>
      <c r="E13" s="63"/>
      <c r="F13" s="61" t="str">
        <f t="array" ref="F13">IF('Obsv 1'!F13="","",INDEX('Tests 1'!$C$2:$C$36,MATCH('Obsv 1'!F13,'Tests 1'!$B$2:$B$36,0)))</f>
        <v>SP</v>
      </c>
      <c r="G13" s="61" t="str">
        <f t="array" ref="G13">IF('Obsv 1'!G13="","",INDEX('Tests 1'!$C$2:$C$36,MATCH('Obsv 1'!G13,'Tests 1'!$B$2:$B$36,0)))</f>
        <v>IF</v>
      </c>
      <c r="H13" s="61" t="str">
        <f t="array" ref="H13">IF('Obsv 1'!H13="","",INDEX('Tests 1'!$C$2:$C$36,MATCH('Obsv 1'!H13,'Tests 1'!$B$2:$B$36,0)))</f>
        <v/>
      </c>
      <c r="I13" s="61" t="str">
        <f t="array" ref="I13">IF('Obsv 1'!I13="","",INDEX('Tests 1'!$C$2:$C$36,MATCH('Obsv 1'!I13,'Tests 1'!$B$2:$B$36,0)))</f>
        <v/>
      </c>
      <c r="J13" s="61" t="str">
        <f t="array" ref="J13">IF('Obsv 1'!J13="","",INDEX('Tests 1'!$C$2:$C$36,MATCH('Obsv 1'!J13,'Tests 1'!$B$2:$B$36,0)))</f>
        <v/>
      </c>
      <c r="K13" s="61" t="str">
        <f t="array" ref="K13">IF('Obsv 1'!K13="","",INDEX('Tests 1'!$C$2:$C$36,MATCH('Obsv 1'!K13,'Tests 1'!$B$2:$B$36,0)))</f>
        <v/>
      </c>
      <c r="L13" s="61" t="str">
        <f t="array" ref="L13">IF('Obsv 1'!L13="","",INDEX('Tests 1'!$C$2:$C$36,MATCH('Obsv 1'!L13,'Tests 1'!$B$2:$B$36,0)))</f>
        <v/>
      </c>
      <c r="M13" s="61" t="str">
        <f t="array" ref="M13">IF('Obsv 1'!M13="","",INDEX('Tests 1'!$C$2:$C$36,MATCH('Obsv 1'!M13,'Tests 1'!$B$2:$B$36,0)))</f>
        <v/>
      </c>
      <c r="N13" s="61" t="str">
        <f t="array" ref="N13">IF('Obsv 1'!N13="","",INDEX('Tests 1'!$C$2:$C$36,MATCH('Obsv 1'!N13,'Tests 1'!$B$2:$B$36,0)))</f>
        <v/>
      </c>
      <c r="O13" s="61" t="str">
        <f t="array" ref="O13">IF('Obsv 1'!O13="","",INDEX('Tests 1'!$C$2:$C$36,MATCH('Obsv 1'!O13,'Tests 1'!$B$2:$B$36,0)))</f>
        <v/>
      </c>
      <c r="P13" s="61" t="str">
        <f t="array" ref="P13">IF('Obsv 1'!P13="","",INDEX('Tests 1'!$C$2:$C$36,MATCH('Obsv 1'!P13,'Tests 1'!$B$2:$B$36,0)))</f>
        <v/>
      </c>
      <c r="Q13" s="61" t="str">
        <f t="array" ref="Q13">IF('Obsv 1'!Q13="","",INDEX('Tests 1'!$C$2:$C$36,MATCH('Obsv 1'!Q13,'Tests 1'!$B$2:$B$36,0)))</f>
        <v/>
      </c>
      <c r="R13" s="61" t="str">
        <f t="array" ref="R13">IF('Obsv 1'!R13="","",INDEX('Tests 1'!$C$2:$C$36,MATCH('Obsv 1'!R13,'Tests 1'!$B$2:$B$36,0)))</f>
        <v/>
      </c>
      <c r="S13" s="61" t="str">
        <f t="array" ref="S13">IF('Obsv 1'!S13="","",INDEX('Tests 1'!$C$2:$C$36,MATCH('Obsv 1'!S13,'Tests 1'!$B$2:$B$36,0)))</f>
        <v/>
      </c>
      <c r="T13" s="61" t="str">
        <f t="array" ref="T13">IF('Obsv 1'!T13="","",INDEX('Tests 1'!$C$2:$C$36,MATCH('Obsv 1'!T13,'Tests 1'!$B$2:$B$36,0)))</f>
        <v/>
      </c>
      <c r="U13" s="61" t="str">
        <f t="array" ref="U13">IF('Obsv 1'!U13="","",INDEX('Tests 1'!$C$2:$C$36,MATCH('Obsv 1'!U13,'Tests 1'!$B$2:$B$36,0)))</f>
        <v/>
      </c>
      <c r="V13" s="61" t="str">
        <f t="array" ref="V13">IF('Obsv 1'!V13="","",INDEX('Tests 1'!$C$2:$C$36,MATCH('Obsv 1'!V13,'Tests 1'!$B$2:$B$36,0)))</f>
        <v/>
      </c>
      <c r="W13" s="61" t="str">
        <f t="array" ref="W13">IF('Obsv 1'!W13="","",INDEX('Tests 1'!$C$2:$C$36,MATCH('Obsv 1'!W13,'Tests 1'!$B$2:$B$36,0)))</f>
        <v/>
      </c>
      <c r="X13" s="61" t="str">
        <f t="array" ref="X13">IF('Obsv 1'!X13="","",INDEX('Tests 1'!$C$2:$C$36,MATCH('Obsv 1'!X13,'Tests 1'!$B$2:$B$36,0)))</f>
        <v/>
      </c>
      <c r="Y13" s="61" t="str">
        <f t="array" ref="Y13">IF('Obsv 1'!Y13="","",INDEX('Tests 1'!$C$2:$C$36,MATCH('Obsv 1'!Y13,'Tests 1'!$B$2:$B$36,0)))</f>
        <v/>
      </c>
      <c r="Z13" s="61" t="str">
        <f t="array" ref="Z13">IF('Obsv 1'!Z13="","",INDEX('Tests 1'!$C$2:$C$36,MATCH('Obsv 1'!Z13,'Tests 1'!$B$2:$B$36,0)))</f>
        <v/>
      </c>
      <c r="AA13" s="61" t="str">
        <f t="array" ref="AA13">IF('Obsv 1'!AA13="","",INDEX('Tests 1'!$C$2:$C$36,MATCH('Obsv 1'!AA13,'Tests 1'!$B$2:$B$36,0)))</f>
        <v/>
      </c>
      <c r="AB13" s="61" t="str">
        <f t="array" ref="AB13">IF('Obsv 1'!AB13="","",INDEX('Tests 1'!$C$2:$C$36,MATCH('Obsv 1'!AB13,'Tests 1'!$B$2:$B$36,0)))</f>
        <v/>
      </c>
      <c r="AC13" s="61" t="str">
        <f t="array" ref="AC13">IF('Obsv 1'!AC13="","",INDEX('Tests 1'!$C$2:$C$36,MATCH('Obsv 1'!AC13,'Tests 1'!$B$2:$B$36,0)))</f>
        <v/>
      </c>
      <c r="AD13" s="61" t="str">
        <f t="array" ref="AD13">IF('Obsv 1'!AD13="","",INDEX('Tests 1'!$C$2:$C$36,MATCH('Obsv 1'!AD13,'Tests 1'!$B$2:$B$36,0)))</f>
        <v/>
      </c>
      <c r="AE13" s="61" t="str">
        <f t="array" ref="AE13">IF('Obsv 1'!AE13="","",INDEX('Tests 1'!$C$2:$C$36,MATCH('Obsv 1'!AE13,'Tests 1'!$B$2:$B$36,0)))</f>
        <v/>
      </c>
      <c r="AF13" s="61" t="str">
        <f t="array" ref="AF13">IF('Obsv 1'!AF13="","",INDEX('Tests 1'!$C$2:$C$36,MATCH('Obsv 1'!AF13,'Tests 1'!$B$2:$B$36,0)))</f>
        <v/>
      </c>
      <c r="AG13" s="61" t="str">
        <f t="array" ref="AG13">IF('Obsv 1'!AG13="","",INDEX('Tests 1'!$C$2:$C$36,MATCH('Obsv 1'!AG13,'Tests 1'!$B$2:$B$36,0)))</f>
        <v/>
      </c>
      <c r="AH13" s="61" t="str">
        <f t="array" ref="AH13">IF('Obsv 1'!AH13="","",INDEX('Tests 1'!$C$2:$C$36,MATCH('Obsv 1'!AH13,'Tests 1'!$B$2:$B$36,0)))</f>
        <v/>
      </c>
      <c r="AI13" s="61" t="str">
        <f t="array" ref="AI13">IF('Obsv 1'!AI13="","",INDEX('Tests 1'!$C$2:$C$36,MATCH('Obsv 1'!AI13,'Tests 1'!$B$2:$B$36,0)))</f>
        <v/>
      </c>
      <c r="AJ13" s="61" t="str">
        <f t="array" ref="AJ13">IF('Obsv 1'!AJ13="","",INDEX('Tests 1'!$C$2:$C$36,MATCH('Obsv 1'!AJ13,'Tests 1'!$B$2:$B$36,0)))</f>
        <v/>
      </c>
      <c r="AK13" s="61" t="str">
        <f t="array" ref="AK13">IF('Obsv 1'!AK13="","",INDEX('Tests 1'!$C$2:$C$36,MATCH('Obsv 1'!AK13,'Tests 1'!$B$2:$B$36,0)))</f>
        <v/>
      </c>
      <c r="AL13" s="61" t="str">
        <f t="array" ref="AL13">IF('Obsv 1'!AL13="","",INDEX('Tests 1'!$C$2:$C$36,MATCH('Obsv 1'!AL13,'Tests 1'!$B$2:$B$36,0)))</f>
        <v/>
      </c>
      <c r="AM13" s="61" t="str">
        <f t="array" ref="AM13">IF('Obsv 1'!AM13="","",INDEX('Tests 1'!$C$2:$C$36,MATCH('Obsv 1'!AM13,'Tests 1'!$B$2:$B$36,0)))</f>
        <v/>
      </c>
      <c r="AN13" s="61" t="str">
        <f t="array" ref="AN13">IF('Obsv 1'!AN13="","",INDEX('Tests 1'!$C$2:$C$36,MATCH('Obsv 1'!AN13,'Tests 1'!$B$2:$B$36,0)))</f>
        <v/>
      </c>
      <c r="AO13" s="61" t="str">
        <f t="array" ref="AO13">IF('Obsv 1'!AO13="","",INDEX('Tests 1'!$C$2:$C$36,MATCH('Obsv 1'!AO13,'Tests 1'!$B$2:$B$36,0)))</f>
        <v/>
      </c>
      <c r="AP13" s="61" t="str">
        <f t="array" ref="AP13">IF('Obsv 1'!AP13="","",INDEX('Tests 1'!$C$2:$C$36,MATCH('Obsv 1'!AP13,'Tests 1'!$B$2:$B$36,0)))</f>
        <v/>
      </c>
      <c r="AQ13" s="61" t="str">
        <f t="array" ref="AQ13">IF('Obsv 1'!AQ13="","",INDEX('Tests 1'!$C$2:$C$36,MATCH('Obsv 1'!AQ13,'Tests 1'!$B$2:$B$36,0)))</f>
        <v/>
      </c>
      <c r="AR13" s="61" t="str">
        <f t="array" ref="AR13">IF('Obsv 1'!AR13="","",INDEX('Tests 1'!$C$2:$C$36,MATCH('Obsv 1'!AR13,'Tests 1'!$B$2:$B$36,0)))</f>
        <v/>
      </c>
      <c r="AS13" s="61" t="str">
        <f t="array" ref="AS13">IF('Obsv 1'!AS13="","",INDEX('Tests 1'!$C$2:$C$36,MATCH('Obsv 1'!AS13,'Tests 1'!$B$2:$B$36,0)))</f>
        <v/>
      </c>
      <c r="AT13" s="61" t="str">
        <f t="array" ref="AT13">IF('Obsv 1'!AT13="","",INDEX('Tests 1'!$C$2:$C$36,MATCH('Obsv 1'!AT13,'Tests 1'!$B$2:$B$36,0)))</f>
        <v/>
      </c>
      <c r="AU13" s="61" t="str">
        <f t="array" ref="AU13">IF('Obsv 1'!AU13="","",INDEX('Tests 1'!$C$2:$C$36,MATCH('Obsv 1'!AU13,'Tests 1'!$B$2:$B$36,0)))</f>
        <v/>
      </c>
      <c r="AV13" s="62" t="str">
        <f t="array" ref="AV13">IF('Obsv 1'!AV13="","",INDEX('Tests 1'!$C$2:$C$36,MATCH('Obsv 1'!AV13,'Tests 1'!$B$2:$B$36,0)))</f>
        <v/>
      </c>
    </row>
    <row r="14">
      <c r="A14" s="59">
        <v>12.0</v>
      </c>
      <c r="B14" s="60" t="s">
        <v>58</v>
      </c>
      <c r="C14" s="64"/>
      <c r="D14" s="62"/>
      <c r="E14" s="63"/>
      <c r="F14" s="61" t="str">
        <f t="array" ref="F14">IF('Obsv 1'!F14="","",INDEX('Tests 1'!$C$2:$C$36,MATCH('Obsv 1'!F14,'Tests 1'!$B$2:$B$36,0)))</f>
        <v>OG</v>
      </c>
      <c r="G14" s="61" t="str">
        <f t="array" ref="G14">IF('Obsv 1'!G14="","",INDEX('Tests 1'!$C$2:$C$36,MATCH('Obsv 1'!G14,'Tests 1'!$B$2:$B$36,0)))</f>
        <v/>
      </c>
      <c r="H14" s="61" t="str">
        <f t="array" ref="H14">IF('Obsv 1'!H14="","",INDEX('Tests 1'!$C$2:$C$36,MATCH('Obsv 1'!H14,'Tests 1'!$B$2:$B$36,0)))</f>
        <v/>
      </c>
      <c r="I14" s="61" t="str">
        <f t="array" ref="I14">IF('Obsv 1'!I14="","",INDEX('Tests 1'!$C$2:$C$36,MATCH('Obsv 1'!I14,'Tests 1'!$B$2:$B$36,0)))</f>
        <v/>
      </c>
      <c r="J14" s="61" t="str">
        <f t="array" ref="J14">IF('Obsv 1'!J14="","",INDEX('Tests 1'!$C$2:$C$36,MATCH('Obsv 1'!J14,'Tests 1'!$B$2:$B$36,0)))</f>
        <v/>
      </c>
      <c r="K14" s="61" t="str">
        <f t="array" ref="K14">IF('Obsv 1'!K14="","",INDEX('Tests 1'!$C$2:$C$36,MATCH('Obsv 1'!K14,'Tests 1'!$B$2:$B$36,0)))</f>
        <v/>
      </c>
      <c r="L14" s="61" t="str">
        <f t="array" ref="L14">IF('Obsv 1'!L14="","",INDEX('Tests 1'!$C$2:$C$36,MATCH('Obsv 1'!L14,'Tests 1'!$B$2:$B$36,0)))</f>
        <v/>
      </c>
      <c r="M14" s="61" t="str">
        <f t="array" ref="M14">IF('Obsv 1'!M14="","",INDEX('Tests 1'!$C$2:$C$36,MATCH('Obsv 1'!M14,'Tests 1'!$B$2:$B$36,0)))</f>
        <v/>
      </c>
      <c r="N14" s="61" t="str">
        <f t="array" ref="N14">IF('Obsv 1'!N14="","",INDEX('Tests 1'!$C$2:$C$36,MATCH('Obsv 1'!N14,'Tests 1'!$B$2:$B$36,0)))</f>
        <v/>
      </c>
      <c r="O14" s="61" t="str">
        <f t="array" ref="O14">IF('Obsv 1'!O14="","",INDEX('Tests 1'!$C$2:$C$36,MATCH('Obsv 1'!O14,'Tests 1'!$B$2:$B$36,0)))</f>
        <v/>
      </c>
      <c r="P14" s="61" t="str">
        <f t="array" ref="P14">IF('Obsv 1'!P14="","",INDEX('Tests 1'!$C$2:$C$36,MATCH('Obsv 1'!P14,'Tests 1'!$B$2:$B$36,0)))</f>
        <v/>
      </c>
      <c r="Q14" s="61" t="str">
        <f t="array" ref="Q14">IF('Obsv 1'!Q14="","",INDEX('Tests 1'!$C$2:$C$36,MATCH('Obsv 1'!Q14,'Tests 1'!$B$2:$B$36,0)))</f>
        <v/>
      </c>
      <c r="R14" s="61" t="str">
        <f t="array" ref="R14">IF('Obsv 1'!R14="","",INDEX('Tests 1'!$C$2:$C$36,MATCH('Obsv 1'!R14,'Tests 1'!$B$2:$B$36,0)))</f>
        <v/>
      </c>
      <c r="S14" s="61" t="str">
        <f t="array" ref="S14">IF('Obsv 1'!S14="","",INDEX('Tests 1'!$C$2:$C$36,MATCH('Obsv 1'!S14,'Tests 1'!$B$2:$B$36,0)))</f>
        <v/>
      </c>
      <c r="T14" s="61" t="str">
        <f t="array" ref="T14">IF('Obsv 1'!T14="","",INDEX('Tests 1'!$C$2:$C$36,MATCH('Obsv 1'!T14,'Tests 1'!$B$2:$B$36,0)))</f>
        <v/>
      </c>
      <c r="U14" s="61" t="str">
        <f t="array" ref="U14">IF('Obsv 1'!U14="","",INDEX('Tests 1'!$C$2:$C$36,MATCH('Obsv 1'!U14,'Tests 1'!$B$2:$B$36,0)))</f>
        <v/>
      </c>
      <c r="V14" s="61" t="str">
        <f t="array" ref="V14">IF('Obsv 1'!V14="","",INDEX('Tests 1'!$C$2:$C$36,MATCH('Obsv 1'!V14,'Tests 1'!$B$2:$B$36,0)))</f>
        <v/>
      </c>
      <c r="W14" s="61" t="str">
        <f t="array" ref="W14">IF('Obsv 1'!W14="","",INDEX('Tests 1'!$C$2:$C$36,MATCH('Obsv 1'!W14,'Tests 1'!$B$2:$B$36,0)))</f>
        <v/>
      </c>
      <c r="X14" s="61" t="str">
        <f t="array" ref="X14">IF('Obsv 1'!X14="","",INDEX('Tests 1'!$C$2:$C$36,MATCH('Obsv 1'!X14,'Tests 1'!$B$2:$B$36,0)))</f>
        <v/>
      </c>
      <c r="Y14" s="61" t="str">
        <f t="array" ref="Y14">IF('Obsv 1'!Y14="","",INDEX('Tests 1'!$C$2:$C$36,MATCH('Obsv 1'!Y14,'Tests 1'!$B$2:$B$36,0)))</f>
        <v/>
      </c>
      <c r="Z14" s="61" t="str">
        <f t="array" ref="Z14">IF('Obsv 1'!Z14="","",INDEX('Tests 1'!$C$2:$C$36,MATCH('Obsv 1'!Z14,'Tests 1'!$B$2:$B$36,0)))</f>
        <v/>
      </c>
      <c r="AA14" s="61" t="str">
        <f t="array" ref="AA14">IF('Obsv 1'!AA14="","",INDEX('Tests 1'!$C$2:$C$36,MATCH('Obsv 1'!AA14,'Tests 1'!$B$2:$B$36,0)))</f>
        <v/>
      </c>
      <c r="AB14" s="61" t="str">
        <f t="array" ref="AB14">IF('Obsv 1'!AB14="","",INDEX('Tests 1'!$C$2:$C$36,MATCH('Obsv 1'!AB14,'Tests 1'!$B$2:$B$36,0)))</f>
        <v/>
      </c>
      <c r="AC14" s="61" t="str">
        <f t="array" ref="AC14">IF('Obsv 1'!AC14="","",INDEX('Tests 1'!$C$2:$C$36,MATCH('Obsv 1'!AC14,'Tests 1'!$B$2:$B$36,0)))</f>
        <v/>
      </c>
      <c r="AD14" s="61" t="str">
        <f t="array" ref="AD14">IF('Obsv 1'!AD14="","",INDEX('Tests 1'!$C$2:$C$36,MATCH('Obsv 1'!AD14,'Tests 1'!$B$2:$B$36,0)))</f>
        <v/>
      </c>
      <c r="AE14" s="61" t="str">
        <f t="array" ref="AE14">IF('Obsv 1'!AE14="","",INDEX('Tests 1'!$C$2:$C$36,MATCH('Obsv 1'!AE14,'Tests 1'!$B$2:$B$36,0)))</f>
        <v/>
      </c>
      <c r="AF14" s="61" t="str">
        <f t="array" ref="AF14">IF('Obsv 1'!AF14="","",INDEX('Tests 1'!$C$2:$C$36,MATCH('Obsv 1'!AF14,'Tests 1'!$B$2:$B$36,0)))</f>
        <v/>
      </c>
      <c r="AG14" s="61" t="str">
        <f t="array" ref="AG14">IF('Obsv 1'!AG14="","",INDEX('Tests 1'!$C$2:$C$36,MATCH('Obsv 1'!AG14,'Tests 1'!$B$2:$B$36,0)))</f>
        <v/>
      </c>
      <c r="AH14" s="61" t="str">
        <f t="array" ref="AH14">IF('Obsv 1'!AH14="","",INDEX('Tests 1'!$C$2:$C$36,MATCH('Obsv 1'!AH14,'Tests 1'!$B$2:$B$36,0)))</f>
        <v/>
      </c>
      <c r="AI14" s="61" t="str">
        <f t="array" ref="AI14">IF('Obsv 1'!AI14="","",INDEX('Tests 1'!$C$2:$C$36,MATCH('Obsv 1'!AI14,'Tests 1'!$B$2:$B$36,0)))</f>
        <v/>
      </c>
      <c r="AJ14" s="61" t="str">
        <f t="array" ref="AJ14">IF('Obsv 1'!AJ14="","",INDEX('Tests 1'!$C$2:$C$36,MATCH('Obsv 1'!AJ14,'Tests 1'!$B$2:$B$36,0)))</f>
        <v/>
      </c>
      <c r="AK14" s="61" t="str">
        <f t="array" ref="AK14">IF('Obsv 1'!AK14="","",INDEX('Tests 1'!$C$2:$C$36,MATCH('Obsv 1'!AK14,'Tests 1'!$B$2:$B$36,0)))</f>
        <v/>
      </c>
      <c r="AL14" s="61" t="str">
        <f t="array" ref="AL14">IF('Obsv 1'!AL14="","",INDEX('Tests 1'!$C$2:$C$36,MATCH('Obsv 1'!AL14,'Tests 1'!$B$2:$B$36,0)))</f>
        <v/>
      </c>
      <c r="AM14" s="61" t="str">
        <f t="array" ref="AM14">IF('Obsv 1'!AM14="","",INDEX('Tests 1'!$C$2:$C$36,MATCH('Obsv 1'!AM14,'Tests 1'!$B$2:$B$36,0)))</f>
        <v/>
      </c>
      <c r="AN14" s="61" t="str">
        <f t="array" ref="AN14">IF('Obsv 1'!AN14="","",INDEX('Tests 1'!$C$2:$C$36,MATCH('Obsv 1'!AN14,'Tests 1'!$B$2:$B$36,0)))</f>
        <v/>
      </c>
      <c r="AO14" s="61" t="str">
        <f t="array" ref="AO14">IF('Obsv 1'!AO14="","",INDEX('Tests 1'!$C$2:$C$36,MATCH('Obsv 1'!AO14,'Tests 1'!$B$2:$B$36,0)))</f>
        <v/>
      </c>
      <c r="AP14" s="61" t="str">
        <f t="array" ref="AP14">IF('Obsv 1'!AP14="","",INDEX('Tests 1'!$C$2:$C$36,MATCH('Obsv 1'!AP14,'Tests 1'!$B$2:$B$36,0)))</f>
        <v/>
      </c>
      <c r="AQ14" s="61" t="str">
        <f t="array" ref="AQ14">IF('Obsv 1'!AQ14="","",INDEX('Tests 1'!$C$2:$C$36,MATCH('Obsv 1'!AQ14,'Tests 1'!$B$2:$B$36,0)))</f>
        <v/>
      </c>
      <c r="AR14" s="61" t="str">
        <f t="array" ref="AR14">IF('Obsv 1'!AR14="","",INDEX('Tests 1'!$C$2:$C$36,MATCH('Obsv 1'!AR14,'Tests 1'!$B$2:$B$36,0)))</f>
        <v/>
      </c>
      <c r="AS14" s="61" t="str">
        <f t="array" ref="AS14">IF('Obsv 1'!AS14="","",INDEX('Tests 1'!$C$2:$C$36,MATCH('Obsv 1'!AS14,'Tests 1'!$B$2:$B$36,0)))</f>
        <v/>
      </c>
      <c r="AT14" s="61" t="str">
        <f t="array" ref="AT14">IF('Obsv 1'!AT14="","",INDEX('Tests 1'!$C$2:$C$36,MATCH('Obsv 1'!AT14,'Tests 1'!$B$2:$B$36,0)))</f>
        <v/>
      </c>
      <c r="AU14" s="61" t="str">
        <f t="array" ref="AU14">IF('Obsv 1'!AU14="","",INDEX('Tests 1'!$C$2:$C$36,MATCH('Obsv 1'!AU14,'Tests 1'!$B$2:$B$36,0)))</f>
        <v/>
      </c>
      <c r="AV14" s="62" t="str">
        <f t="array" ref="AV14">IF('Obsv 1'!AV14="","",INDEX('Tests 1'!$C$2:$C$36,MATCH('Obsv 1'!AV14,'Tests 1'!$B$2:$B$36,0)))</f>
        <v/>
      </c>
    </row>
    <row r="15">
      <c r="A15" s="59">
        <v>13.0</v>
      </c>
      <c r="B15" s="60" t="s">
        <v>75</v>
      </c>
      <c r="C15" s="64"/>
      <c r="D15" s="62"/>
      <c r="E15" s="65"/>
      <c r="F15" s="61" t="str">
        <f t="array" ref="F15">IF('Obsv 1'!F15="","",INDEX('Tests 1'!$C$2:$C$36,MATCH('Obsv 1'!F15,'Tests 1'!$B$2:$B$36,0)))</f>
        <v>WH</v>
      </c>
      <c r="G15" s="61" t="str">
        <f t="array" ref="G15">IF('Obsv 1'!G15="","",INDEX('Tests 1'!$C$2:$C$36,MATCH('Obsv 1'!G15,'Tests 1'!$B$2:$B$36,0)))</f>
        <v/>
      </c>
      <c r="H15" s="61" t="str">
        <f t="array" ref="H15">IF('Obsv 1'!H15="","",INDEX('Tests 1'!$C$2:$C$36,MATCH('Obsv 1'!H15,'Tests 1'!$B$2:$B$36,0)))</f>
        <v/>
      </c>
      <c r="I15" s="61" t="str">
        <f t="array" ref="I15">IF('Obsv 1'!I15="","",INDEX('Tests 1'!$C$2:$C$36,MATCH('Obsv 1'!I15,'Tests 1'!$B$2:$B$36,0)))</f>
        <v/>
      </c>
      <c r="J15" s="61" t="str">
        <f t="array" ref="J15">IF('Obsv 1'!J15="","",INDEX('Tests 1'!$C$2:$C$36,MATCH('Obsv 1'!J15,'Tests 1'!$B$2:$B$36,0)))</f>
        <v/>
      </c>
      <c r="K15" s="61" t="str">
        <f t="array" ref="K15">IF('Obsv 1'!K15="","",INDEX('Tests 1'!$C$2:$C$36,MATCH('Obsv 1'!K15,'Tests 1'!$B$2:$B$36,0)))</f>
        <v/>
      </c>
      <c r="L15" s="61" t="str">
        <f t="array" ref="L15">IF('Obsv 1'!L15="","",INDEX('Tests 1'!$C$2:$C$36,MATCH('Obsv 1'!L15,'Tests 1'!$B$2:$B$36,0)))</f>
        <v/>
      </c>
      <c r="M15" s="61" t="str">
        <f t="array" ref="M15">IF('Obsv 1'!M15="","",INDEX('Tests 1'!$C$2:$C$36,MATCH('Obsv 1'!M15,'Tests 1'!$B$2:$B$36,0)))</f>
        <v/>
      </c>
      <c r="N15" s="61" t="str">
        <f t="array" ref="N15">IF('Obsv 1'!N15="","",INDEX('Tests 1'!$C$2:$C$36,MATCH('Obsv 1'!N15,'Tests 1'!$B$2:$B$36,0)))</f>
        <v/>
      </c>
      <c r="O15" s="61" t="str">
        <f t="array" ref="O15">IF('Obsv 1'!O15="","",INDEX('Tests 1'!$C$2:$C$36,MATCH('Obsv 1'!O15,'Tests 1'!$B$2:$B$36,0)))</f>
        <v/>
      </c>
      <c r="P15" s="61" t="str">
        <f t="array" ref="P15">IF('Obsv 1'!P15="","",INDEX('Tests 1'!$C$2:$C$36,MATCH('Obsv 1'!P15,'Tests 1'!$B$2:$B$36,0)))</f>
        <v/>
      </c>
      <c r="Q15" s="61" t="str">
        <f t="array" ref="Q15">IF('Obsv 1'!Q15="","",INDEX('Tests 1'!$C$2:$C$36,MATCH('Obsv 1'!Q15,'Tests 1'!$B$2:$B$36,0)))</f>
        <v/>
      </c>
      <c r="R15" s="61" t="str">
        <f t="array" ref="R15">IF('Obsv 1'!R15="","",INDEX('Tests 1'!$C$2:$C$36,MATCH('Obsv 1'!R15,'Tests 1'!$B$2:$B$36,0)))</f>
        <v/>
      </c>
      <c r="S15" s="61" t="str">
        <f t="array" ref="S15">IF('Obsv 1'!S15="","",INDEX('Tests 1'!$C$2:$C$36,MATCH('Obsv 1'!S15,'Tests 1'!$B$2:$B$36,0)))</f>
        <v/>
      </c>
      <c r="T15" s="61" t="str">
        <f t="array" ref="T15">IF('Obsv 1'!T15="","",INDEX('Tests 1'!$C$2:$C$36,MATCH('Obsv 1'!T15,'Tests 1'!$B$2:$B$36,0)))</f>
        <v/>
      </c>
      <c r="U15" s="61" t="str">
        <f t="array" ref="U15">IF('Obsv 1'!U15="","",INDEX('Tests 1'!$C$2:$C$36,MATCH('Obsv 1'!U15,'Tests 1'!$B$2:$B$36,0)))</f>
        <v/>
      </c>
      <c r="V15" s="61" t="str">
        <f t="array" ref="V15">IF('Obsv 1'!V15="","",INDEX('Tests 1'!$C$2:$C$36,MATCH('Obsv 1'!V15,'Tests 1'!$B$2:$B$36,0)))</f>
        <v/>
      </c>
      <c r="W15" s="61" t="str">
        <f t="array" ref="W15">IF('Obsv 1'!W15="","",INDEX('Tests 1'!$C$2:$C$36,MATCH('Obsv 1'!W15,'Tests 1'!$B$2:$B$36,0)))</f>
        <v/>
      </c>
      <c r="X15" s="61" t="str">
        <f t="array" ref="X15">IF('Obsv 1'!X15="","",INDEX('Tests 1'!$C$2:$C$36,MATCH('Obsv 1'!X15,'Tests 1'!$B$2:$B$36,0)))</f>
        <v/>
      </c>
      <c r="Y15" s="61" t="str">
        <f t="array" ref="Y15">IF('Obsv 1'!Y15="","",INDEX('Tests 1'!$C$2:$C$36,MATCH('Obsv 1'!Y15,'Tests 1'!$B$2:$B$36,0)))</f>
        <v/>
      </c>
      <c r="Z15" s="61" t="str">
        <f t="array" ref="Z15">IF('Obsv 1'!Z15="","",INDEX('Tests 1'!$C$2:$C$36,MATCH('Obsv 1'!Z15,'Tests 1'!$B$2:$B$36,0)))</f>
        <v/>
      </c>
      <c r="AA15" s="61" t="str">
        <f t="array" ref="AA15">IF('Obsv 1'!AA15="","",INDEX('Tests 1'!$C$2:$C$36,MATCH('Obsv 1'!AA15,'Tests 1'!$B$2:$B$36,0)))</f>
        <v/>
      </c>
      <c r="AB15" s="61" t="str">
        <f t="array" ref="AB15">IF('Obsv 1'!AB15="","",INDEX('Tests 1'!$C$2:$C$36,MATCH('Obsv 1'!AB15,'Tests 1'!$B$2:$B$36,0)))</f>
        <v/>
      </c>
      <c r="AC15" s="61" t="str">
        <f t="array" ref="AC15">IF('Obsv 1'!AC15="","",INDEX('Tests 1'!$C$2:$C$36,MATCH('Obsv 1'!AC15,'Tests 1'!$B$2:$B$36,0)))</f>
        <v/>
      </c>
      <c r="AD15" s="61" t="str">
        <f t="array" ref="AD15">IF('Obsv 1'!AD15="","",INDEX('Tests 1'!$C$2:$C$36,MATCH('Obsv 1'!AD15,'Tests 1'!$B$2:$B$36,0)))</f>
        <v/>
      </c>
      <c r="AE15" s="61" t="str">
        <f t="array" ref="AE15">IF('Obsv 1'!AE15="","",INDEX('Tests 1'!$C$2:$C$36,MATCH('Obsv 1'!AE15,'Tests 1'!$B$2:$B$36,0)))</f>
        <v/>
      </c>
      <c r="AF15" s="61" t="str">
        <f t="array" ref="AF15">IF('Obsv 1'!AF15="","",INDEX('Tests 1'!$C$2:$C$36,MATCH('Obsv 1'!AF15,'Tests 1'!$B$2:$B$36,0)))</f>
        <v/>
      </c>
      <c r="AG15" s="61" t="str">
        <f t="array" ref="AG15">IF('Obsv 1'!AG15="","",INDEX('Tests 1'!$C$2:$C$36,MATCH('Obsv 1'!AG15,'Tests 1'!$B$2:$B$36,0)))</f>
        <v/>
      </c>
      <c r="AH15" s="61" t="str">
        <f t="array" ref="AH15">IF('Obsv 1'!AH15="","",INDEX('Tests 1'!$C$2:$C$36,MATCH('Obsv 1'!AH15,'Tests 1'!$B$2:$B$36,0)))</f>
        <v/>
      </c>
      <c r="AI15" s="61" t="str">
        <f t="array" ref="AI15">IF('Obsv 1'!AI15="","",INDEX('Tests 1'!$C$2:$C$36,MATCH('Obsv 1'!AI15,'Tests 1'!$B$2:$B$36,0)))</f>
        <v/>
      </c>
      <c r="AJ15" s="61" t="str">
        <f t="array" ref="AJ15">IF('Obsv 1'!AJ15="","",INDEX('Tests 1'!$C$2:$C$36,MATCH('Obsv 1'!AJ15,'Tests 1'!$B$2:$B$36,0)))</f>
        <v/>
      </c>
      <c r="AK15" s="61" t="str">
        <f t="array" ref="AK15">IF('Obsv 1'!AK15="","",INDEX('Tests 1'!$C$2:$C$36,MATCH('Obsv 1'!AK15,'Tests 1'!$B$2:$B$36,0)))</f>
        <v/>
      </c>
      <c r="AL15" s="61" t="str">
        <f t="array" ref="AL15">IF('Obsv 1'!AL15="","",INDEX('Tests 1'!$C$2:$C$36,MATCH('Obsv 1'!AL15,'Tests 1'!$B$2:$B$36,0)))</f>
        <v/>
      </c>
      <c r="AM15" s="61" t="str">
        <f t="array" ref="AM15">IF('Obsv 1'!AM15="","",INDEX('Tests 1'!$C$2:$C$36,MATCH('Obsv 1'!AM15,'Tests 1'!$B$2:$B$36,0)))</f>
        <v/>
      </c>
      <c r="AN15" s="61" t="str">
        <f t="array" ref="AN15">IF('Obsv 1'!AN15="","",INDEX('Tests 1'!$C$2:$C$36,MATCH('Obsv 1'!AN15,'Tests 1'!$B$2:$B$36,0)))</f>
        <v/>
      </c>
      <c r="AO15" s="61" t="str">
        <f t="array" ref="AO15">IF('Obsv 1'!AO15="","",INDEX('Tests 1'!$C$2:$C$36,MATCH('Obsv 1'!AO15,'Tests 1'!$B$2:$B$36,0)))</f>
        <v/>
      </c>
      <c r="AP15" s="61" t="str">
        <f t="array" ref="AP15">IF('Obsv 1'!AP15="","",INDEX('Tests 1'!$C$2:$C$36,MATCH('Obsv 1'!AP15,'Tests 1'!$B$2:$B$36,0)))</f>
        <v/>
      </c>
      <c r="AQ15" s="61" t="str">
        <f t="array" ref="AQ15">IF('Obsv 1'!AQ15="","",INDEX('Tests 1'!$C$2:$C$36,MATCH('Obsv 1'!AQ15,'Tests 1'!$B$2:$B$36,0)))</f>
        <v/>
      </c>
      <c r="AR15" s="61" t="str">
        <f t="array" ref="AR15">IF('Obsv 1'!AR15="","",INDEX('Tests 1'!$C$2:$C$36,MATCH('Obsv 1'!AR15,'Tests 1'!$B$2:$B$36,0)))</f>
        <v/>
      </c>
      <c r="AS15" s="61" t="str">
        <f t="array" ref="AS15">IF('Obsv 1'!AS15="","",INDEX('Tests 1'!$C$2:$C$36,MATCH('Obsv 1'!AS15,'Tests 1'!$B$2:$B$36,0)))</f>
        <v/>
      </c>
      <c r="AT15" s="61" t="str">
        <f t="array" ref="AT15">IF('Obsv 1'!AT15="","",INDEX('Tests 1'!$C$2:$C$36,MATCH('Obsv 1'!AT15,'Tests 1'!$B$2:$B$36,0)))</f>
        <v/>
      </c>
      <c r="AU15" s="61" t="str">
        <f t="array" ref="AU15">IF('Obsv 1'!AU15="","",INDEX('Tests 1'!$C$2:$C$36,MATCH('Obsv 1'!AU15,'Tests 1'!$B$2:$B$36,0)))</f>
        <v/>
      </c>
      <c r="AV15" s="62" t="str">
        <f t="array" ref="AV15">IF('Obsv 1'!AV15="","",INDEX('Tests 1'!$C$2:$C$36,MATCH('Obsv 1'!AV15,'Tests 1'!$B$2:$B$36,0)))</f>
        <v/>
      </c>
    </row>
    <row r="16">
      <c r="A16" s="59">
        <v>14.0</v>
      </c>
      <c r="B16" s="60" t="s">
        <v>76</v>
      </c>
      <c r="C16" s="64"/>
      <c r="D16" s="62"/>
      <c r="E16" s="65"/>
      <c r="F16" s="61" t="str">
        <f t="array" ref="F16">IF('Obsv 1'!F16="","",INDEX('Tests 1'!$C$2:$C$36,MATCH('Obsv 1'!F16,'Tests 1'!$B$2:$B$36,0)))</f>
        <v>WN</v>
      </c>
      <c r="G16" s="61" t="str">
        <f t="array" ref="G16">IF('Obsv 1'!G16="","",INDEX('Tests 1'!$C$2:$C$36,MATCH('Obsv 1'!G16,'Tests 1'!$B$2:$B$36,0)))</f>
        <v/>
      </c>
      <c r="H16" s="61" t="str">
        <f t="array" ref="H16">IF('Obsv 1'!H16="","",INDEX('Tests 1'!$C$2:$C$36,MATCH('Obsv 1'!H16,'Tests 1'!$B$2:$B$36,0)))</f>
        <v/>
      </c>
      <c r="I16" s="61" t="str">
        <f t="array" ref="I16">IF('Obsv 1'!I16="","",INDEX('Tests 1'!$C$2:$C$36,MATCH('Obsv 1'!I16,'Tests 1'!$B$2:$B$36,0)))</f>
        <v/>
      </c>
      <c r="J16" s="61" t="str">
        <f t="array" ref="J16">IF('Obsv 1'!J16="","",INDEX('Tests 1'!$C$2:$C$36,MATCH('Obsv 1'!J16,'Tests 1'!$B$2:$B$36,0)))</f>
        <v/>
      </c>
      <c r="K16" s="61" t="str">
        <f t="array" ref="K16">IF('Obsv 1'!K16="","",INDEX('Tests 1'!$C$2:$C$36,MATCH('Obsv 1'!K16,'Tests 1'!$B$2:$B$36,0)))</f>
        <v/>
      </c>
      <c r="L16" s="61" t="str">
        <f t="array" ref="L16">IF('Obsv 1'!L16="","",INDEX('Tests 1'!$C$2:$C$36,MATCH('Obsv 1'!L16,'Tests 1'!$B$2:$B$36,0)))</f>
        <v/>
      </c>
      <c r="M16" s="61" t="str">
        <f t="array" ref="M16">IF('Obsv 1'!M16="","",INDEX('Tests 1'!$C$2:$C$36,MATCH('Obsv 1'!M16,'Tests 1'!$B$2:$B$36,0)))</f>
        <v/>
      </c>
      <c r="N16" s="61" t="str">
        <f t="array" ref="N16">IF('Obsv 1'!N16="","",INDEX('Tests 1'!$C$2:$C$36,MATCH('Obsv 1'!N16,'Tests 1'!$B$2:$B$36,0)))</f>
        <v/>
      </c>
      <c r="O16" s="61" t="str">
        <f t="array" ref="O16">IF('Obsv 1'!O16="","",INDEX('Tests 1'!$C$2:$C$36,MATCH('Obsv 1'!O16,'Tests 1'!$B$2:$B$36,0)))</f>
        <v/>
      </c>
      <c r="P16" s="61" t="str">
        <f t="array" ref="P16">IF('Obsv 1'!P16="","",INDEX('Tests 1'!$C$2:$C$36,MATCH('Obsv 1'!P16,'Tests 1'!$B$2:$B$36,0)))</f>
        <v/>
      </c>
      <c r="Q16" s="61" t="str">
        <f t="array" ref="Q16">IF('Obsv 1'!Q16="","",INDEX('Tests 1'!$C$2:$C$36,MATCH('Obsv 1'!Q16,'Tests 1'!$B$2:$B$36,0)))</f>
        <v/>
      </c>
      <c r="R16" s="61" t="str">
        <f t="array" ref="R16">IF('Obsv 1'!R16="","",INDEX('Tests 1'!$C$2:$C$36,MATCH('Obsv 1'!R16,'Tests 1'!$B$2:$B$36,0)))</f>
        <v/>
      </c>
      <c r="S16" s="61" t="str">
        <f t="array" ref="S16">IF('Obsv 1'!S16="","",INDEX('Tests 1'!$C$2:$C$36,MATCH('Obsv 1'!S16,'Tests 1'!$B$2:$B$36,0)))</f>
        <v/>
      </c>
      <c r="T16" s="61" t="str">
        <f t="array" ref="T16">IF('Obsv 1'!T16="","",INDEX('Tests 1'!$C$2:$C$36,MATCH('Obsv 1'!T16,'Tests 1'!$B$2:$B$36,0)))</f>
        <v/>
      </c>
      <c r="U16" s="61" t="str">
        <f t="array" ref="U16">IF('Obsv 1'!U16="","",INDEX('Tests 1'!$C$2:$C$36,MATCH('Obsv 1'!U16,'Tests 1'!$B$2:$B$36,0)))</f>
        <v/>
      </c>
      <c r="V16" s="61" t="str">
        <f t="array" ref="V16">IF('Obsv 1'!V16="","",INDEX('Tests 1'!$C$2:$C$36,MATCH('Obsv 1'!V16,'Tests 1'!$B$2:$B$36,0)))</f>
        <v/>
      </c>
      <c r="W16" s="61" t="str">
        <f t="array" ref="W16">IF('Obsv 1'!W16="","",INDEX('Tests 1'!$C$2:$C$36,MATCH('Obsv 1'!W16,'Tests 1'!$B$2:$B$36,0)))</f>
        <v/>
      </c>
      <c r="X16" s="61" t="str">
        <f t="array" ref="X16">IF('Obsv 1'!X16="","",INDEX('Tests 1'!$C$2:$C$36,MATCH('Obsv 1'!X16,'Tests 1'!$B$2:$B$36,0)))</f>
        <v/>
      </c>
      <c r="Y16" s="61" t="str">
        <f t="array" ref="Y16">IF('Obsv 1'!Y16="","",INDEX('Tests 1'!$C$2:$C$36,MATCH('Obsv 1'!Y16,'Tests 1'!$B$2:$B$36,0)))</f>
        <v/>
      </c>
      <c r="Z16" s="61" t="str">
        <f t="array" ref="Z16">IF('Obsv 1'!Z16="","",INDEX('Tests 1'!$C$2:$C$36,MATCH('Obsv 1'!Z16,'Tests 1'!$B$2:$B$36,0)))</f>
        <v/>
      </c>
      <c r="AA16" s="61" t="str">
        <f t="array" ref="AA16">IF('Obsv 1'!AA16="","",INDEX('Tests 1'!$C$2:$C$36,MATCH('Obsv 1'!AA16,'Tests 1'!$B$2:$B$36,0)))</f>
        <v/>
      </c>
      <c r="AB16" s="61" t="str">
        <f t="array" ref="AB16">IF('Obsv 1'!AB16="","",INDEX('Tests 1'!$C$2:$C$36,MATCH('Obsv 1'!AB16,'Tests 1'!$B$2:$B$36,0)))</f>
        <v/>
      </c>
      <c r="AC16" s="61" t="str">
        <f t="array" ref="AC16">IF('Obsv 1'!AC16="","",INDEX('Tests 1'!$C$2:$C$36,MATCH('Obsv 1'!AC16,'Tests 1'!$B$2:$B$36,0)))</f>
        <v/>
      </c>
      <c r="AD16" s="61" t="str">
        <f t="array" ref="AD16">IF('Obsv 1'!AD16="","",INDEX('Tests 1'!$C$2:$C$36,MATCH('Obsv 1'!AD16,'Tests 1'!$B$2:$B$36,0)))</f>
        <v/>
      </c>
      <c r="AE16" s="61" t="str">
        <f t="array" ref="AE16">IF('Obsv 1'!AE16="","",INDEX('Tests 1'!$C$2:$C$36,MATCH('Obsv 1'!AE16,'Tests 1'!$B$2:$B$36,0)))</f>
        <v/>
      </c>
      <c r="AF16" s="61" t="str">
        <f t="array" ref="AF16">IF('Obsv 1'!AF16="","",INDEX('Tests 1'!$C$2:$C$36,MATCH('Obsv 1'!AF16,'Tests 1'!$B$2:$B$36,0)))</f>
        <v/>
      </c>
      <c r="AG16" s="61" t="str">
        <f t="array" ref="AG16">IF('Obsv 1'!AG16="","",INDEX('Tests 1'!$C$2:$C$36,MATCH('Obsv 1'!AG16,'Tests 1'!$B$2:$B$36,0)))</f>
        <v/>
      </c>
      <c r="AH16" s="61" t="str">
        <f t="array" ref="AH16">IF('Obsv 1'!AH16="","",INDEX('Tests 1'!$C$2:$C$36,MATCH('Obsv 1'!AH16,'Tests 1'!$B$2:$B$36,0)))</f>
        <v/>
      </c>
      <c r="AI16" s="61" t="str">
        <f t="array" ref="AI16">IF('Obsv 1'!AI16="","",INDEX('Tests 1'!$C$2:$C$36,MATCH('Obsv 1'!AI16,'Tests 1'!$B$2:$B$36,0)))</f>
        <v/>
      </c>
      <c r="AJ16" s="61" t="str">
        <f t="array" ref="AJ16">IF('Obsv 1'!AJ16="","",INDEX('Tests 1'!$C$2:$C$36,MATCH('Obsv 1'!AJ16,'Tests 1'!$B$2:$B$36,0)))</f>
        <v/>
      </c>
      <c r="AK16" s="61" t="str">
        <f t="array" ref="AK16">IF('Obsv 1'!AK16="","",INDEX('Tests 1'!$C$2:$C$36,MATCH('Obsv 1'!AK16,'Tests 1'!$B$2:$B$36,0)))</f>
        <v/>
      </c>
      <c r="AL16" s="61" t="str">
        <f t="array" ref="AL16">IF('Obsv 1'!AL16="","",INDEX('Tests 1'!$C$2:$C$36,MATCH('Obsv 1'!AL16,'Tests 1'!$B$2:$B$36,0)))</f>
        <v/>
      </c>
      <c r="AM16" s="61" t="str">
        <f t="array" ref="AM16">IF('Obsv 1'!AM16="","",INDEX('Tests 1'!$C$2:$C$36,MATCH('Obsv 1'!AM16,'Tests 1'!$B$2:$B$36,0)))</f>
        <v/>
      </c>
      <c r="AN16" s="61" t="str">
        <f t="array" ref="AN16">IF('Obsv 1'!AN16="","",INDEX('Tests 1'!$C$2:$C$36,MATCH('Obsv 1'!AN16,'Tests 1'!$B$2:$B$36,0)))</f>
        <v/>
      </c>
      <c r="AO16" s="61" t="str">
        <f t="array" ref="AO16">IF('Obsv 1'!AO16="","",INDEX('Tests 1'!$C$2:$C$36,MATCH('Obsv 1'!AO16,'Tests 1'!$B$2:$B$36,0)))</f>
        <v/>
      </c>
      <c r="AP16" s="61" t="str">
        <f t="array" ref="AP16">IF('Obsv 1'!AP16="","",INDEX('Tests 1'!$C$2:$C$36,MATCH('Obsv 1'!AP16,'Tests 1'!$B$2:$B$36,0)))</f>
        <v/>
      </c>
      <c r="AQ16" s="61" t="str">
        <f t="array" ref="AQ16">IF('Obsv 1'!AQ16="","",INDEX('Tests 1'!$C$2:$C$36,MATCH('Obsv 1'!AQ16,'Tests 1'!$B$2:$B$36,0)))</f>
        <v/>
      </c>
      <c r="AR16" s="61" t="str">
        <f t="array" ref="AR16">IF('Obsv 1'!AR16="","",INDEX('Tests 1'!$C$2:$C$36,MATCH('Obsv 1'!AR16,'Tests 1'!$B$2:$B$36,0)))</f>
        <v/>
      </c>
      <c r="AS16" s="61" t="str">
        <f t="array" ref="AS16">IF('Obsv 1'!AS16="","",INDEX('Tests 1'!$C$2:$C$36,MATCH('Obsv 1'!AS16,'Tests 1'!$B$2:$B$36,0)))</f>
        <v/>
      </c>
      <c r="AT16" s="61" t="str">
        <f t="array" ref="AT16">IF('Obsv 1'!AT16="","",INDEX('Tests 1'!$C$2:$C$36,MATCH('Obsv 1'!AT16,'Tests 1'!$B$2:$B$36,0)))</f>
        <v/>
      </c>
      <c r="AU16" s="61" t="str">
        <f t="array" ref="AU16">IF('Obsv 1'!AU16="","",INDEX('Tests 1'!$C$2:$C$36,MATCH('Obsv 1'!AU16,'Tests 1'!$B$2:$B$36,0)))</f>
        <v/>
      </c>
      <c r="AV16" s="62" t="str">
        <f t="array" ref="AV16">IF('Obsv 1'!AV16="","",INDEX('Tests 1'!$C$2:$C$36,MATCH('Obsv 1'!AV16,'Tests 1'!$B$2:$B$36,0)))</f>
        <v/>
      </c>
    </row>
    <row r="17">
      <c r="A17" s="59">
        <v>15.0</v>
      </c>
      <c r="B17" s="60" t="s">
        <v>77</v>
      </c>
      <c r="C17" s="67"/>
      <c r="D17" s="62"/>
      <c r="E17" s="65"/>
      <c r="F17" s="61" t="str">
        <f t="array" ref="F17">IF('Obsv 1'!F17="","",INDEX('Tests 1'!$C$2:$C$36,MATCH('Obsv 1'!F17,'Tests 1'!$B$2:$B$36,0)))</f>
        <v>WP</v>
      </c>
      <c r="G17" s="61" t="str">
        <f t="array" ref="G17">IF('Obsv 1'!G17="","",INDEX('Tests 1'!$C$2:$C$36,MATCH('Obsv 1'!G17,'Tests 1'!$B$2:$B$36,0)))</f>
        <v/>
      </c>
      <c r="H17" s="61" t="str">
        <f t="array" ref="H17">IF('Obsv 1'!H17="","",INDEX('Tests 1'!$C$2:$C$36,MATCH('Obsv 1'!H17,'Tests 1'!$B$2:$B$36,0)))</f>
        <v/>
      </c>
      <c r="I17" s="61" t="str">
        <f t="array" ref="I17">IF('Obsv 1'!I17="","",INDEX('Tests 1'!$C$2:$C$36,MATCH('Obsv 1'!I17,'Tests 1'!$B$2:$B$36,0)))</f>
        <v/>
      </c>
      <c r="J17" s="61" t="str">
        <f t="array" ref="J17">IF('Obsv 1'!J17="","",INDEX('Tests 1'!$C$2:$C$36,MATCH('Obsv 1'!J17,'Tests 1'!$B$2:$B$36,0)))</f>
        <v/>
      </c>
      <c r="K17" s="61" t="str">
        <f t="array" ref="K17">IF('Obsv 1'!K17="","",INDEX('Tests 1'!$C$2:$C$36,MATCH('Obsv 1'!K17,'Tests 1'!$B$2:$B$36,0)))</f>
        <v/>
      </c>
      <c r="L17" s="61" t="str">
        <f t="array" ref="L17">IF('Obsv 1'!L17="","",INDEX('Tests 1'!$C$2:$C$36,MATCH('Obsv 1'!L17,'Tests 1'!$B$2:$B$36,0)))</f>
        <v/>
      </c>
      <c r="M17" s="61" t="str">
        <f t="array" ref="M17">IF('Obsv 1'!M17="","",INDEX('Tests 1'!$C$2:$C$36,MATCH('Obsv 1'!M17,'Tests 1'!$B$2:$B$36,0)))</f>
        <v/>
      </c>
      <c r="N17" s="61" t="str">
        <f t="array" ref="N17">IF('Obsv 1'!N17="","",INDEX('Tests 1'!$C$2:$C$36,MATCH('Obsv 1'!N17,'Tests 1'!$B$2:$B$36,0)))</f>
        <v/>
      </c>
      <c r="O17" s="61" t="str">
        <f t="array" ref="O17">IF('Obsv 1'!O17="","",INDEX('Tests 1'!$C$2:$C$36,MATCH('Obsv 1'!O17,'Tests 1'!$B$2:$B$36,0)))</f>
        <v/>
      </c>
      <c r="P17" s="61" t="str">
        <f t="array" ref="P17">IF('Obsv 1'!P17="","",INDEX('Tests 1'!$C$2:$C$36,MATCH('Obsv 1'!P17,'Tests 1'!$B$2:$B$36,0)))</f>
        <v/>
      </c>
      <c r="Q17" s="61" t="str">
        <f t="array" ref="Q17">IF('Obsv 1'!Q17="","",INDEX('Tests 1'!$C$2:$C$36,MATCH('Obsv 1'!Q17,'Tests 1'!$B$2:$B$36,0)))</f>
        <v/>
      </c>
      <c r="R17" s="61" t="str">
        <f t="array" ref="R17">IF('Obsv 1'!R17="","",INDEX('Tests 1'!$C$2:$C$36,MATCH('Obsv 1'!R17,'Tests 1'!$B$2:$B$36,0)))</f>
        <v/>
      </c>
      <c r="S17" s="61" t="str">
        <f t="array" ref="S17">IF('Obsv 1'!S17="","",INDEX('Tests 1'!$C$2:$C$36,MATCH('Obsv 1'!S17,'Tests 1'!$B$2:$B$36,0)))</f>
        <v/>
      </c>
      <c r="T17" s="61" t="str">
        <f t="array" ref="T17">IF('Obsv 1'!T17="","",INDEX('Tests 1'!$C$2:$C$36,MATCH('Obsv 1'!T17,'Tests 1'!$B$2:$B$36,0)))</f>
        <v/>
      </c>
      <c r="U17" s="61" t="str">
        <f t="array" ref="U17">IF('Obsv 1'!U17="","",INDEX('Tests 1'!$C$2:$C$36,MATCH('Obsv 1'!U17,'Tests 1'!$B$2:$B$36,0)))</f>
        <v/>
      </c>
      <c r="V17" s="61" t="str">
        <f t="array" ref="V17">IF('Obsv 1'!V17="","",INDEX('Tests 1'!$C$2:$C$36,MATCH('Obsv 1'!V17,'Tests 1'!$B$2:$B$36,0)))</f>
        <v/>
      </c>
      <c r="W17" s="61" t="str">
        <f t="array" ref="W17">IF('Obsv 1'!W17="","",INDEX('Tests 1'!$C$2:$C$36,MATCH('Obsv 1'!W17,'Tests 1'!$B$2:$B$36,0)))</f>
        <v/>
      </c>
      <c r="X17" s="61" t="str">
        <f t="array" ref="X17">IF('Obsv 1'!X17="","",INDEX('Tests 1'!$C$2:$C$36,MATCH('Obsv 1'!X17,'Tests 1'!$B$2:$B$36,0)))</f>
        <v/>
      </c>
      <c r="Y17" s="61" t="str">
        <f t="array" ref="Y17">IF('Obsv 1'!Y17="","",INDEX('Tests 1'!$C$2:$C$36,MATCH('Obsv 1'!Y17,'Tests 1'!$B$2:$B$36,0)))</f>
        <v/>
      </c>
      <c r="Z17" s="61" t="str">
        <f t="array" ref="Z17">IF('Obsv 1'!Z17="","",INDEX('Tests 1'!$C$2:$C$36,MATCH('Obsv 1'!Z17,'Tests 1'!$B$2:$B$36,0)))</f>
        <v/>
      </c>
      <c r="AA17" s="61" t="str">
        <f t="array" ref="AA17">IF('Obsv 1'!AA17="","",INDEX('Tests 1'!$C$2:$C$36,MATCH('Obsv 1'!AA17,'Tests 1'!$B$2:$B$36,0)))</f>
        <v/>
      </c>
      <c r="AB17" s="61" t="str">
        <f t="array" ref="AB17">IF('Obsv 1'!AB17="","",INDEX('Tests 1'!$C$2:$C$36,MATCH('Obsv 1'!AB17,'Tests 1'!$B$2:$B$36,0)))</f>
        <v/>
      </c>
      <c r="AC17" s="61" t="str">
        <f t="array" ref="AC17">IF('Obsv 1'!AC17="","",INDEX('Tests 1'!$C$2:$C$36,MATCH('Obsv 1'!AC17,'Tests 1'!$B$2:$B$36,0)))</f>
        <v/>
      </c>
      <c r="AD17" s="61" t="str">
        <f t="array" ref="AD17">IF('Obsv 1'!AD17="","",INDEX('Tests 1'!$C$2:$C$36,MATCH('Obsv 1'!AD17,'Tests 1'!$B$2:$B$36,0)))</f>
        <v/>
      </c>
      <c r="AE17" s="61" t="str">
        <f t="array" ref="AE17">IF('Obsv 1'!AE17="","",INDEX('Tests 1'!$C$2:$C$36,MATCH('Obsv 1'!AE17,'Tests 1'!$B$2:$B$36,0)))</f>
        <v/>
      </c>
      <c r="AF17" s="61" t="str">
        <f t="array" ref="AF17">IF('Obsv 1'!AF17="","",INDEX('Tests 1'!$C$2:$C$36,MATCH('Obsv 1'!AF17,'Tests 1'!$B$2:$B$36,0)))</f>
        <v/>
      </c>
      <c r="AG17" s="61" t="str">
        <f t="array" ref="AG17">IF('Obsv 1'!AG17="","",INDEX('Tests 1'!$C$2:$C$36,MATCH('Obsv 1'!AG17,'Tests 1'!$B$2:$B$36,0)))</f>
        <v/>
      </c>
      <c r="AH17" s="61" t="str">
        <f t="array" ref="AH17">IF('Obsv 1'!AH17="","",INDEX('Tests 1'!$C$2:$C$36,MATCH('Obsv 1'!AH17,'Tests 1'!$B$2:$B$36,0)))</f>
        <v/>
      </c>
      <c r="AI17" s="61" t="str">
        <f t="array" ref="AI17">IF('Obsv 1'!AI17="","",INDEX('Tests 1'!$C$2:$C$36,MATCH('Obsv 1'!AI17,'Tests 1'!$B$2:$B$36,0)))</f>
        <v/>
      </c>
      <c r="AJ17" s="61" t="str">
        <f t="array" ref="AJ17">IF('Obsv 1'!AJ17="","",INDEX('Tests 1'!$C$2:$C$36,MATCH('Obsv 1'!AJ17,'Tests 1'!$B$2:$B$36,0)))</f>
        <v/>
      </c>
      <c r="AK17" s="61" t="str">
        <f t="array" ref="AK17">IF('Obsv 1'!AK17="","",INDEX('Tests 1'!$C$2:$C$36,MATCH('Obsv 1'!AK17,'Tests 1'!$B$2:$B$36,0)))</f>
        <v/>
      </c>
      <c r="AL17" s="61" t="str">
        <f t="array" ref="AL17">IF('Obsv 1'!AL17="","",INDEX('Tests 1'!$C$2:$C$36,MATCH('Obsv 1'!AL17,'Tests 1'!$B$2:$B$36,0)))</f>
        <v/>
      </c>
      <c r="AM17" s="61" t="str">
        <f t="array" ref="AM17">IF('Obsv 1'!AM17="","",INDEX('Tests 1'!$C$2:$C$36,MATCH('Obsv 1'!AM17,'Tests 1'!$B$2:$B$36,0)))</f>
        <v/>
      </c>
      <c r="AN17" s="61" t="str">
        <f t="array" ref="AN17">IF('Obsv 1'!AN17="","",INDEX('Tests 1'!$C$2:$C$36,MATCH('Obsv 1'!AN17,'Tests 1'!$B$2:$B$36,0)))</f>
        <v/>
      </c>
      <c r="AO17" s="61" t="str">
        <f t="array" ref="AO17">IF('Obsv 1'!AO17="","",INDEX('Tests 1'!$C$2:$C$36,MATCH('Obsv 1'!AO17,'Tests 1'!$B$2:$B$36,0)))</f>
        <v/>
      </c>
      <c r="AP17" s="61" t="str">
        <f t="array" ref="AP17">IF('Obsv 1'!AP17="","",INDEX('Tests 1'!$C$2:$C$36,MATCH('Obsv 1'!AP17,'Tests 1'!$B$2:$B$36,0)))</f>
        <v/>
      </c>
      <c r="AQ17" s="61" t="str">
        <f t="array" ref="AQ17">IF('Obsv 1'!AQ17="","",INDEX('Tests 1'!$C$2:$C$36,MATCH('Obsv 1'!AQ17,'Tests 1'!$B$2:$B$36,0)))</f>
        <v/>
      </c>
      <c r="AR17" s="61" t="str">
        <f t="array" ref="AR17">IF('Obsv 1'!AR17="","",INDEX('Tests 1'!$C$2:$C$36,MATCH('Obsv 1'!AR17,'Tests 1'!$B$2:$B$36,0)))</f>
        <v/>
      </c>
      <c r="AS17" s="61" t="str">
        <f t="array" ref="AS17">IF('Obsv 1'!AS17="","",INDEX('Tests 1'!$C$2:$C$36,MATCH('Obsv 1'!AS17,'Tests 1'!$B$2:$B$36,0)))</f>
        <v/>
      </c>
      <c r="AT17" s="61" t="str">
        <f t="array" ref="AT17">IF('Obsv 1'!AT17="","",INDEX('Tests 1'!$C$2:$C$36,MATCH('Obsv 1'!AT17,'Tests 1'!$B$2:$B$36,0)))</f>
        <v/>
      </c>
      <c r="AU17" s="61" t="str">
        <f t="array" ref="AU17">IF('Obsv 1'!AU17="","",INDEX('Tests 1'!$C$2:$C$36,MATCH('Obsv 1'!AU17,'Tests 1'!$B$2:$B$36,0)))</f>
        <v/>
      </c>
      <c r="AV17" s="62" t="str">
        <f t="array" ref="AV17">IF('Obsv 1'!AV17="","",INDEX('Tests 1'!$C$2:$C$36,MATCH('Obsv 1'!AV17,'Tests 1'!$B$2:$B$36,0)))</f>
        <v/>
      </c>
    </row>
    <row r="18">
      <c r="A18" s="59">
        <v>16.0</v>
      </c>
      <c r="B18" s="60" t="s">
        <v>62</v>
      </c>
      <c r="C18" s="67"/>
      <c r="D18" s="62"/>
      <c r="E18" s="65"/>
      <c r="F18" s="61" t="str">
        <f t="array" ref="F18">IF('Obsv 1'!F18="","",INDEX('Tests 1'!$C$2:$C$36,MATCH('Obsv 1'!F18,'Tests 1'!$B$2:$B$36,0)))</f>
        <v>BH</v>
      </c>
      <c r="G18" s="61" t="str">
        <f t="array" ref="G18">IF('Obsv 1'!G18="","",INDEX('Tests 1'!$C$2:$C$36,MATCH('Obsv 1'!G18,'Tests 1'!$B$2:$B$36,0)))</f>
        <v/>
      </c>
      <c r="H18" s="61" t="str">
        <f t="array" ref="H18">IF('Obsv 1'!H18="","",INDEX('Tests 1'!$C$2:$C$36,MATCH('Obsv 1'!H18,'Tests 1'!$B$2:$B$36,0)))</f>
        <v/>
      </c>
      <c r="I18" s="61" t="str">
        <f t="array" ref="I18">IF('Obsv 1'!I18="","",INDEX('Tests 1'!$C$2:$C$36,MATCH('Obsv 1'!I18,'Tests 1'!$B$2:$B$36,0)))</f>
        <v/>
      </c>
      <c r="J18" s="61" t="str">
        <f t="array" ref="J18">IF('Obsv 1'!J18="","",INDEX('Tests 1'!$C$2:$C$36,MATCH('Obsv 1'!J18,'Tests 1'!$B$2:$B$36,0)))</f>
        <v/>
      </c>
      <c r="K18" s="61" t="str">
        <f t="array" ref="K18">IF('Obsv 1'!K18="","",INDEX('Tests 1'!$C$2:$C$36,MATCH('Obsv 1'!K18,'Tests 1'!$B$2:$B$36,0)))</f>
        <v/>
      </c>
      <c r="L18" s="61" t="str">
        <f t="array" ref="L18">IF('Obsv 1'!L18="","",INDEX('Tests 1'!$C$2:$C$36,MATCH('Obsv 1'!L18,'Tests 1'!$B$2:$B$36,0)))</f>
        <v/>
      </c>
      <c r="M18" s="61" t="str">
        <f t="array" ref="M18">IF('Obsv 1'!M18="","",INDEX('Tests 1'!$C$2:$C$36,MATCH('Obsv 1'!M18,'Tests 1'!$B$2:$B$36,0)))</f>
        <v/>
      </c>
      <c r="N18" s="61" t="str">
        <f t="array" ref="N18">IF('Obsv 1'!N18="","",INDEX('Tests 1'!$C$2:$C$36,MATCH('Obsv 1'!N18,'Tests 1'!$B$2:$B$36,0)))</f>
        <v/>
      </c>
      <c r="O18" s="61" t="str">
        <f t="array" ref="O18">IF('Obsv 1'!O18="","",INDEX('Tests 1'!$C$2:$C$36,MATCH('Obsv 1'!O18,'Tests 1'!$B$2:$B$36,0)))</f>
        <v/>
      </c>
      <c r="P18" s="61" t="str">
        <f t="array" ref="P18">IF('Obsv 1'!P18="","",INDEX('Tests 1'!$C$2:$C$36,MATCH('Obsv 1'!P18,'Tests 1'!$B$2:$B$36,0)))</f>
        <v/>
      </c>
      <c r="Q18" s="61" t="str">
        <f t="array" ref="Q18">IF('Obsv 1'!Q18="","",INDEX('Tests 1'!$C$2:$C$36,MATCH('Obsv 1'!Q18,'Tests 1'!$B$2:$B$36,0)))</f>
        <v/>
      </c>
      <c r="R18" s="61" t="str">
        <f t="array" ref="R18">IF('Obsv 1'!R18="","",INDEX('Tests 1'!$C$2:$C$36,MATCH('Obsv 1'!R18,'Tests 1'!$B$2:$B$36,0)))</f>
        <v/>
      </c>
      <c r="S18" s="61" t="str">
        <f t="array" ref="S18">IF('Obsv 1'!S18="","",INDEX('Tests 1'!$C$2:$C$36,MATCH('Obsv 1'!S18,'Tests 1'!$B$2:$B$36,0)))</f>
        <v/>
      </c>
      <c r="T18" s="61" t="str">
        <f t="array" ref="T18">IF('Obsv 1'!T18="","",INDEX('Tests 1'!$C$2:$C$36,MATCH('Obsv 1'!T18,'Tests 1'!$B$2:$B$36,0)))</f>
        <v/>
      </c>
      <c r="U18" s="61" t="str">
        <f t="array" ref="U18">IF('Obsv 1'!U18="","",INDEX('Tests 1'!$C$2:$C$36,MATCH('Obsv 1'!U18,'Tests 1'!$B$2:$B$36,0)))</f>
        <v/>
      </c>
      <c r="V18" s="61" t="str">
        <f t="array" ref="V18">IF('Obsv 1'!V18="","",INDEX('Tests 1'!$C$2:$C$36,MATCH('Obsv 1'!V18,'Tests 1'!$B$2:$B$36,0)))</f>
        <v/>
      </c>
      <c r="W18" s="61" t="str">
        <f t="array" ref="W18">IF('Obsv 1'!W18="","",INDEX('Tests 1'!$C$2:$C$36,MATCH('Obsv 1'!W18,'Tests 1'!$B$2:$B$36,0)))</f>
        <v/>
      </c>
      <c r="X18" s="61" t="str">
        <f t="array" ref="X18">IF('Obsv 1'!X18="","",INDEX('Tests 1'!$C$2:$C$36,MATCH('Obsv 1'!X18,'Tests 1'!$B$2:$B$36,0)))</f>
        <v/>
      </c>
      <c r="Y18" s="61" t="str">
        <f t="array" ref="Y18">IF('Obsv 1'!Y18="","",INDEX('Tests 1'!$C$2:$C$36,MATCH('Obsv 1'!Y18,'Tests 1'!$B$2:$B$36,0)))</f>
        <v/>
      </c>
      <c r="Z18" s="61" t="str">
        <f t="array" ref="Z18">IF('Obsv 1'!Z18="","",INDEX('Tests 1'!$C$2:$C$36,MATCH('Obsv 1'!Z18,'Tests 1'!$B$2:$B$36,0)))</f>
        <v/>
      </c>
      <c r="AA18" s="61" t="str">
        <f t="array" ref="AA18">IF('Obsv 1'!AA18="","",INDEX('Tests 1'!$C$2:$C$36,MATCH('Obsv 1'!AA18,'Tests 1'!$B$2:$B$36,0)))</f>
        <v/>
      </c>
      <c r="AB18" s="61" t="str">
        <f t="array" ref="AB18">IF('Obsv 1'!AB18="","",INDEX('Tests 1'!$C$2:$C$36,MATCH('Obsv 1'!AB18,'Tests 1'!$B$2:$B$36,0)))</f>
        <v/>
      </c>
      <c r="AC18" s="61" t="str">
        <f t="array" ref="AC18">IF('Obsv 1'!AC18="","",INDEX('Tests 1'!$C$2:$C$36,MATCH('Obsv 1'!AC18,'Tests 1'!$B$2:$B$36,0)))</f>
        <v/>
      </c>
      <c r="AD18" s="61" t="str">
        <f t="array" ref="AD18">IF('Obsv 1'!AD18="","",INDEX('Tests 1'!$C$2:$C$36,MATCH('Obsv 1'!AD18,'Tests 1'!$B$2:$B$36,0)))</f>
        <v/>
      </c>
      <c r="AE18" s="61" t="str">
        <f t="array" ref="AE18">IF('Obsv 1'!AE18="","",INDEX('Tests 1'!$C$2:$C$36,MATCH('Obsv 1'!AE18,'Tests 1'!$B$2:$B$36,0)))</f>
        <v/>
      </c>
      <c r="AF18" s="61" t="str">
        <f t="array" ref="AF18">IF('Obsv 1'!AF18="","",INDEX('Tests 1'!$C$2:$C$36,MATCH('Obsv 1'!AF18,'Tests 1'!$B$2:$B$36,0)))</f>
        <v/>
      </c>
      <c r="AG18" s="61" t="str">
        <f t="array" ref="AG18">IF('Obsv 1'!AG18="","",INDEX('Tests 1'!$C$2:$C$36,MATCH('Obsv 1'!AG18,'Tests 1'!$B$2:$B$36,0)))</f>
        <v/>
      </c>
      <c r="AH18" s="61" t="str">
        <f t="array" ref="AH18">IF('Obsv 1'!AH18="","",INDEX('Tests 1'!$C$2:$C$36,MATCH('Obsv 1'!AH18,'Tests 1'!$B$2:$B$36,0)))</f>
        <v/>
      </c>
      <c r="AI18" s="61" t="str">
        <f t="array" ref="AI18">IF('Obsv 1'!AI18="","",INDEX('Tests 1'!$C$2:$C$36,MATCH('Obsv 1'!AI18,'Tests 1'!$B$2:$B$36,0)))</f>
        <v/>
      </c>
      <c r="AJ18" s="61" t="str">
        <f t="array" ref="AJ18">IF('Obsv 1'!AJ18="","",INDEX('Tests 1'!$C$2:$C$36,MATCH('Obsv 1'!AJ18,'Tests 1'!$B$2:$B$36,0)))</f>
        <v/>
      </c>
      <c r="AK18" s="61" t="str">
        <f t="array" ref="AK18">IF('Obsv 1'!AK18="","",INDEX('Tests 1'!$C$2:$C$36,MATCH('Obsv 1'!AK18,'Tests 1'!$B$2:$B$36,0)))</f>
        <v/>
      </c>
      <c r="AL18" s="61" t="str">
        <f t="array" ref="AL18">IF('Obsv 1'!AL18="","",INDEX('Tests 1'!$C$2:$C$36,MATCH('Obsv 1'!AL18,'Tests 1'!$B$2:$B$36,0)))</f>
        <v/>
      </c>
      <c r="AM18" s="61" t="str">
        <f t="array" ref="AM18">IF('Obsv 1'!AM18="","",INDEX('Tests 1'!$C$2:$C$36,MATCH('Obsv 1'!AM18,'Tests 1'!$B$2:$B$36,0)))</f>
        <v/>
      </c>
      <c r="AN18" s="61" t="str">
        <f t="array" ref="AN18">IF('Obsv 1'!AN18="","",INDEX('Tests 1'!$C$2:$C$36,MATCH('Obsv 1'!AN18,'Tests 1'!$B$2:$B$36,0)))</f>
        <v/>
      </c>
      <c r="AO18" s="61" t="str">
        <f t="array" ref="AO18">IF('Obsv 1'!AO18="","",INDEX('Tests 1'!$C$2:$C$36,MATCH('Obsv 1'!AO18,'Tests 1'!$B$2:$B$36,0)))</f>
        <v/>
      </c>
      <c r="AP18" s="61" t="str">
        <f t="array" ref="AP18">IF('Obsv 1'!AP18="","",INDEX('Tests 1'!$C$2:$C$36,MATCH('Obsv 1'!AP18,'Tests 1'!$B$2:$B$36,0)))</f>
        <v/>
      </c>
      <c r="AQ18" s="61" t="str">
        <f t="array" ref="AQ18">IF('Obsv 1'!AQ18="","",INDEX('Tests 1'!$C$2:$C$36,MATCH('Obsv 1'!AQ18,'Tests 1'!$B$2:$B$36,0)))</f>
        <v/>
      </c>
      <c r="AR18" s="61" t="str">
        <f t="array" ref="AR18">IF('Obsv 1'!AR18="","",INDEX('Tests 1'!$C$2:$C$36,MATCH('Obsv 1'!AR18,'Tests 1'!$B$2:$B$36,0)))</f>
        <v/>
      </c>
      <c r="AS18" s="61" t="str">
        <f t="array" ref="AS18">IF('Obsv 1'!AS18="","",INDEX('Tests 1'!$C$2:$C$36,MATCH('Obsv 1'!AS18,'Tests 1'!$B$2:$B$36,0)))</f>
        <v/>
      </c>
      <c r="AT18" s="61" t="str">
        <f t="array" ref="AT18">IF('Obsv 1'!AT18="","",INDEX('Tests 1'!$C$2:$C$36,MATCH('Obsv 1'!AT18,'Tests 1'!$B$2:$B$36,0)))</f>
        <v/>
      </c>
      <c r="AU18" s="61" t="str">
        <f t="array" ref="AU18">IF('Obsv 1'!AU18="","",INDEX('Tests 1'!$C$2:$C$36,MATCH('Obsv 1'!AU18,'Tests 1'!$B$2:$B$36,0)))</f>
        <v/>
      </c>
      <c r="AV18" s="62" t="str">
        <f t="array" ref="AV18">IF('Obsv 1'!AV18="","",INDEX('Tests 1'!$C$2:$C$36,MATCH('Obsv 1'!AV18,'Tests 1'!$B$2:$B$36,0)))</f>
        <v/>
      </c>
    </row>
    <row r="19">
      <c r="A19" s="59">
        <v>17.0</v>
      </c>
      <c r="B19" s="60" t="s">
        <v>78</v>
      </c>
      <c r="C19" s="67"/>
      <c r="D19" s="62"/>
      <c r="E19" s="65"/>
      <c r="F19" s="61" t="str">
        <f t="array" ref="F19">IF('Obsv 1'!F19="","",INDEX('Tests 1'!$C$2:$C$36,MATCH('Obsv 1'!F19,'Tests 1'!$B$2:$B$36,0)))</f>
        <v>BL</v>
      </c>
      <c r="G19" s="61" t="str">
        <f t="array" ref="G19">IF('Obsv 1'!G19="","",INDEX('Tests 1'!$C$2:$C$36,MATCH('Obsv 1'!G19,'Tests 1'!$B$2:$B$36,0)))</f>
        <v/>
      </c>
      <c r="H19" s="61" t="str">
        <f t="array" ref="H19">IF('Obsv 1'!H19="","",INDEX('Tests 1'!$C$2:$C$36,MATCH('Obsv 1'!H19,'Tests 1'!$B$2:$B$36,0)))</f>
        <v/>
      </c>
      <c r="I19" s="61" t="str">
        <f t="array" ref="I19">IF('Obsv 1'!I19="","",INDEX('Tests 1'!$C$2:$C$36,MATCH('Obsv 1'!I19,'Tests 1'!$B$2:$B$36,0)))</f>
        <v/>
      </c>
      <c r="J19" s="61" t="str">
        <f t="array" ref="J19">IF('Obsv 1'!J19="","",INDEX('Tests 1'!$C$2:$C$36,MATCH('Obsv 1'!J19,'Tests 1'!$B$2:$B$36,0)))</f>
        <v/>
      </c>
      <c r="K19" s="61" t="str">
        <f t="array" ref="K19">IF('Obsv 1'!K19="","",INDEX('Tests 1'!$C$2:$C$36,MATCH('Obsv 1'!K19,'Tests 1'!$B$2:$B$36,0)))</f>
        <v/>
      </c>
      <c r="L19" s="61" t="str">
        <f t="array" ref="L19">IF('Obsv 1'!L19="","",INDEX('Tests 1'!$C$2:$C$36,MATCH('Obsv 1'!L19,'Tests 1'!$B$2:$B$36,0)))</f>
        <v/>
      </c>
      <c r="M19" s="61" t="str">
        <f t="array" ref="M19">IF('Obsv 1'!M19="","",INDEX('Tests 1'!$C$2:$C$36,MATCH('Obsv 1'!M19,'Tests 1'!$B$2:$B$36,0)))</f>
        <v/>
      </c>
      <c r="N19" s="61" t="str">
        <f t="array" ref="N19">IF('Obsv 1'!N19="","",INDEX('Tests 1'!$C$2:$C$36,MATCH('Obsv 1'!N19,'Tests 1'!$B$2:$B$36,0)))</f>
        <v/>
      </c>
      <c r="O19" s="61" t="str">
        <f t="array" ref="O19">IF('Obsv 1'!O19="","",INDEX('Tests 1'!$C$2:$C$36,MATCH('Obsv 1'!O19,'Tests 1'!$B$2:$B$36,0)))</f>
        <v/>
      </c>
      <c r="P19" s="61" t="str">
        <f t="array" ref="P19">IF('Obsv 1'!P19="","",INDEX('Tests 1'!$C$2:$C$36,MATCH('Obsv 1'!P19,'Tests 1'!$B$2:$B$36,0)))</f>
        <v/>
      </c>
      <c r="Q19" s="61" t="str">
        <f t="array" ref="Q19">IF('Obsv 1'!Q19="","",INDEX('Tests 1'!$C$2:$C$36,MATCH('Obsv 1'!Q19,'Tests 1'!$B$2:$B$36,0)))</f>
        <v/>
      </c>
      <c r="R19" s="61" t="str">
        <f t="array" ref="R19">IF('Obsv 1'!R19="","",INDEX('Tests 1'!$C$2:$C$36,MATCH('Obsv 1'!R19,'Tests 1'!$B$2:$B$36,0)))</f>
        <v/>
      </c>
      <c r="S19" s="61" t="str">
        <f t="array" ref="S19">IF('Obsv 1'!S19="","",INDEX('Tests 1'!$C$2:$C$36,MATCH('Obsv 1'!S19,'Tests 1'!$B$2:$B$36,0)))</f>
        <v/>
      </c>
      <c r="T19" s="61" t="str">
        <f t="array" ref="T19">IF('Obsv 1'!T19="","",INDEX('Tests 1'!$C$2:$C$36,MATCH('Obsv 1'!T19,'Tests 1'!$B$2:$B$36,0)))</f>
        <v/>
      </c>
      <c r="U19" s="61" t="str">
        <f t="array" ref="U19">IF('Obsv 1'!U19="","",INDEX('Tests 1'!$C$2:$C$36,MATCH('Obsv 1'!U19,'Tests 1'!$B$2:$B$36,0)))</f>
        <v/>
      </c>
      <c r="V19" s="61" t="str">
        <f t="array" ref="V19">IF('Obsv 1'!V19="","",INDEX('Tests 1'!$C$2:$C$36,MATCH('Obsv 1'!V19,'Tests 1'!$B$2:$B$36,0)))</f>
        <v/>
      </c>
      <c r="W19" s="61" t="str">
        <f t="array" ref="W19">IF('Obsv 1'!W19="","",INDEX('Tests 1'!$C$2:$C$36,MATCH('Obsv 1'!W19,'Tests 1'!$B$2:$B$36,0)))</f>
        <v/>
      </c>
      <c r="X19" s="61" t="str">
        <f t="array" ref="X19">IF('Obsv 1'!X19="","",INDEX('Tests 1'!$C$2:$C$36,MATCH('Obsv 1'!X19,'Tests 1'!$B$2:$B$36,0)))</f>
        <v/>
      </c>
      <c r="Y19" s="61" t="str">
        <f t="array" ref="Y19">IF('Obsv 1'!Y19="","",INDEX('Tests 1'!$C$2:$C$36,MATCH('Obsv 1'!Y19,'Tests 1'!$B$2:$B$36,0)))</f>
        <v/>
      </c>
      <c r="Z19" s="61" t="str">
        <f t="array" ref="Z19">IF('Obsv 1'!Z19="","",INDEX('Tests 1'!$C$2:$C$36,MATCH('Obsv 1'!Z19,'Tests 1'!$B$2:$B$36,0)))</f>
        <v/>
      </c>
      <c r="AA19" s="61" t="str">
        <f t="array" ref="AA19">IF('Obsv 1'!AA19="","",INDEX('Tests 1'!$C$2:$C$36,MATCH('Obsv 1'!AA19,'Tests 1'!$B$2:$B$36,0)))</f>
        <v/>
      </c>
      <c r="AB19" s="61" t="str">
        <f t="array" ref="AB19">IF('Obsv 1'!AB19="","",INDEX('Tests 1'!$C$2:$C$36,MATCH('Obsv 1'!AB19,'Tests 1'!$B$2:$B$36,0)))</f>
        <v/>
      </c>
      <c r="AC19" s="61" t="str">
        <f t="array" ref="AC19">IF('Obsv 1'!AC19="","",INDEX('Tests 1'!$C$2:$C$36,MATCH('Obsv 1'!AC19,'Tests 1'!$B$2:$B$36,0)))</f>
        <v/>
      </c>
      <c r="AD19" s="61" t="str">
        <f t="array" ref="AD19">IF('Obsv 1'!AD19="","",INDEX('Tests 1'!$C$2:$C$36,MATCH('Obsv 1'!AD19,'Tests 1'!$B$2:$B$36,0)))</f>
        <v/>
      </c>
      <c r="AE19" s="61" t="str">
        <f t="array" ref="AE19">IF('Obsv 1'!AE19="","",INDEX('Tests 1'!$C$2:$C$36,MATCH('Obsv 1'!AE19,'Tests 1'!$B$2:$B$36,0)))</f>
        <v/>
      </c>
      <c r="AF19" s="61" t="str">
        <f t="array" ref="AF19">IF('Obsv 1'!AF19="","",INDEX('Tests 1'!$C$2:$C$36,MATCH('Obsv 1'!AF19,'Tests 1'!$B$2:$B$36,0)))</f>
        <v/>
      </c>
      <c r="AG19" s="61" t="str">
        <f t="array" ref="AG19">IF('Obsv 1'!AG19="","",INDEX('Tests 1'!$C$2:$C$36,MATCH('Obsv 1'!AG19,'Tests 1'!$B$2:$B$36,0)))</f>
        <v/>
      </c>
      <c r="AH19" s="61" t="str">
        <f t="array" ref="AH19">IF('Obsv 1'!AH19="","",INDEX('Tests 1'!$C$2:$C$36,MATCH('Obsv 1'!AH19,'Tests 1'!$B$2:$B$36,0)))</f>
        <v/>
      </c>
      <c r="AI19" s="61" t="str">
        <f t="array" ref="AI19">IF('Obsv 1'!AI19="","",INDEX('Tests 1'!$C$2:$C$36,MATCH('Obsv 1'!AI19,'Tests 1'!$B$2:$B$36,0)))</f>
        <v/>
      </c>
      <c r="AJ19" s="61" t="str">
        <f t="array" ref="AJ19">IF('Obsv 1'!AJ19="","",INDEX('Tests 1'!$C$2:$C$36,MATCH('Obsv 1'!AJ19,'Tests 1'!$B$2:$B$36,0)))</f>
        <v/>
      </c>
      <c r="AK19" s="61" t="str">
        <f t="array" ref="AK19">IF('Obsv 1'!AK19="","",INDEX('Tests 1'!$C$2:$C$36,MATCH('Obsv 1'!AK19,'Tests 1'!$B$2:$B$36,0)))</f>
        <v/>
      </c>
      <c r="AL19" s="61" t="str">
        <f t="array" ref="AL19">IF('Obsv 1'!AL19="","",INDEX('Tests 1'!$C$2:$C$36,MATCH('Obsv 1'!AL19,'Tests 1'!$B$2:$B$36,0)))</f>
        <v/>
      </c>
      <c r="AM19" s="61" t="str">
        <f t="array" ref="AM19">IF('Obsv 1'!AM19="","",INDEX('Tests 1'!$C$2:$C$36,MATCH('Obsv 1'!AM19,'Tests 1'!$B$2:$B$36,0)))</f>
        <v/>
      </c>
      <c r="AN19" s="61" t="str">
        <f t="array" ref="AN19">IF('Obsv 1'!AN19="","",INDEX('Tests 1'!$C$2:$C$36,MATCH('Obsv 1'!AN19,'Tests 1'!$B$2:$B$36,0)))</f>
        <v/>
      </c>
      <c r="AO19" s="61" t="str">
        <f t="array" ref="AO19">IF('Obsv 1'!AO19="","",INDEX('Tests 1'!$C$2:$C$36,MATCH('Obsv 1'!AO19,'Tests 1'!$B$2:$B$36,0)))</f>
        <v/>
      </c>
      <c r="AP19" s="61" t="str">
        <f t="array" ref="AP19">IF('Obsv 1'!AP19="","",INDEX('Tests 1'!$C$2:$C$36,MATCH('Obsv 1'!AP19,'Tests 1'!$B$2:$B$36,0)))</f>
        <v/>
      </c>
      <c r="AQ19" s="61" t="str">
        <f t="array" ref="AQ19">IF('Obsv 1'!AQ19="","",INDEX('Tests 1'!$C$2:$C$36,MATCH('Obsv 1'!AQ19,'Tests 1'!$B$2:$B$36,0)))</f>
        <v/>
      </c>
      <c r="AR19" s="61" t="str">
        <f t="array" ref="AR19">IF('Obsv 1'!AR19="","",INDEX('Tests 1'!$C$2:$C$36,MATCH('Obsv 1'!AR19,'Tests 1'!$B$2:$B$36,0)))</f>
        <v/>
      </c>
      <c r="AS19" s="61" t="str">
        <f t="array" ref="AS19">IF('Obsv 1'!AS19="","",INDEX('Tests 1'!$C$2:$C$36,MATCH('Obsv 1'!AS19,'Tests 1'!$B$2:$B$36,0)))</f>
        <v/>
      </c>
      <c r="AT19" s="61" t="str">
        <f t="array" ref="AT19">IF('Obsv 1'!AT19="","",INDEX('Tests 1'!$C$2:$C$36,MATCH('Obsv 1'!AT19,'Tests 1'!$B$2:$B$36,0)))</f>
        <v/>
      </c>
      <c r="AU19" s="61" t="str">
        <f t="array" ref="AU19">IF('Obsv 1'!AU19="","",INDEX('Tests 1'!$C$2:$C$36,MATCH('Obsv 1'!AU19,'Tests 1'!$B$2:$B$36,0)))</f>
        <v/>
      </c>
      <c r="AV19" s="62" t="str">
        <f t="array" ref="AV19">IF('Obsv 1'!AV19="","",INDEX('Tests 1'!$C$2:$C$36,MATCH('Obsv 1'!AV19,'Tests 1'!$B$2:$B$36,0)))</f>
        <v/>
      </c>
    </row>
    <row r="20">
      <c r="A20" s="59">
        <v>18.0</v>
      </c>
      <c r="B20" s="60" t="s">
        <v>64</v>
      </c>
      <c r="C20" s="67"/>
      <c r="D20" s="62"/>
      <c r="E20" s="65"/>
      <c r="F20" s="61" t="str">
        <f t="array" ref="F20">IF('Obsv 1'!F20="","",INDEX('Tests 1'!$C$2:$C$36,MATCH('Obsv 1'!F20,'Tests 1'!$B$2:$B$36,0)))</f>
        <v>PF</v>
      </c>
      <c r="G20" s="61" t="str">
        <f t="array" ref="G20">IF('Obsv 1'!G20="","",INDEX('Tests 1'!$C$2:$C$36,MATCH('Obsv 1'!G20,'Tests 1'!$B$2:$B$36,0)))</f>
        <v/>
      </c>
      <c r="H20" s="61" t="str">
        <f t="array" ref="H20">IF('Obsv 1'!H20="","",INDEX('Tests 1'!$C$2:$C$36,MATCH('Obsv 1'!H20,'Tests 1'!$B$2:$B$36,0)))</f>
        <v/>
      </c>
      <c r="I20" s="61" t="str">
        <f t="array" ref="I20">IF('Obsv 1'!I20="","",INDEX('Tests 1'!$C$2:$C$36,MATCH('Obsv 1'!I20,'Tests 1'!$B$2:$B$36,0)))</f>
        <v/>
      </c>
      <c r="J20" s="61" t="str">
        <f t="array" ref="J20">IF('Obsv 1'!J20="","",INDEX('Tests 1'!$C$2:$C$36,MATCH('Obsv 1'!J20,'Tests 1'!$B$2:$B$36,0)))</f>
        <v/>
      </c>
      <c r="K20" s="61" t="str">
        <f t="array" ref="K20">IF('Obsv 1'!K20="","",INDEX('Tests 1'!$C$2:$C$36,MATCH('Obsv 1'!K20,'Tests 1'!$B$2:$B$36,0)))</f>
        <v/>
      </c>
      <c r="L20" s="61" t="str">
        <f t="array" ref="L20">IF('Obsv 1'!L20="","",INDEX('Tests 1'!$C$2:$C$36,MATCH('Obsv 1'!L20,'Tests 1'!$B$2:$B$36,0)))</f>
        <v/>
      </c>
      <c r="M20" s="61" t="str">
        <f t="array" ref="M20">IF('Obsv 1'!M20="","",INDEX('Tests 1'!$C$2:$C$36,MATCH('Obsv 1'!M20,'Tests 1'!$B$2:$B$36,0)))</f>
        <v/>
      </c>
      <c r="N20" s="61" t="str">
        <f t="array" ref="N20">IF('Obsv 1'!N20="","",INDEX('Tests 1'!$C$2:$C$36,MATCH('Obsv 1'!N20,'Tests 1'!$B$2:$B$36,0)))</f>
        <v/>
      </c>
      <c r="O20" s="61" t="str">
        <f t="array" ref="O20">IF('Obsv 1'!O20="","",INDEX('Tests 1'!$C$2:$C$36,MATCH('Obsv 1'!O20,'Tests 1'!$B$2:$B$36,0)))</f>
        <v/>
      </c>
      <c r="P20" s="61" t="str">
        <f t="array" ref="P20">IF('Obsv 1'!P20="","",INDEX('Tests 1'!$C$2:$C$36,MATCH('Obsv 1'!P20,'Tests 1'!$B$2:$B$36,0)))</f>
        <v/>
      </c>
      <c r="Q20" s="61" t="str">
        <f t="array" ref="Q20">IF('Obsv 1'!Q20="","",INDEX('Tests 1'!$C$2:$C$36,MATCH('Obsv 1'!Q20,'Tests 1'!$B$2:$B$36,0)))</f>
        <v/>
      </c>
      <c r="R20" s="61" t="str">
        <f t="array" ref="R20">IF('Obsv 1'!R20="","",INDEX('Tests 1'!$C$2:$C$36,MATCH('Obsv 1'!R20,'Tests 1'!$B$2:$B$36,0)))</f>
        <v/>
      </c>
      <c r="S20" s="61" t="str">
        <f t="array" ref="S20">IF('Obsv 1'!S20="","",INDEX('Tests 1'!$C$2:$C$36,MATCH('Obsv 1'!S20,'Tests 1'!$B$2:$B$36,0)))</f>
        <v/>
      </c>
      <c r="T20" s="61" t="str">
        <f t="array" ref="T20">IF('Obsv 1'!T20="","",INDEX('Tests 1'!$C$2:$C$36,MATCH('Obsv 1'!T20,'Tests 1'!$B$2:$B$36,0)))</f>
        <v/>
      </c>
      <c r="U20" s="61" t="str">
        <f t="array" ref="U20">IF('Obsv 1'!U20="","",INDEX('Tests 1'!$C$2:$C$36,MATCH('Obsv 1'!U20,'Tests 1'!$B$2:$B$36,0)))</f>
        <v/>
      </c>
      <c r="V20" s="61" t="str">
        <f t="array" ref="V20">IF('Obsv 1'!V20="","",INDEX('Tests 1'!$C$2:$C$36,MATCH('Obsv 1'!V20,'Tests 1'!$B$2:$B$36,0)))</f>
        <v/>
      </c>
      <c r="W20" s="61" t="str">
        <f t="array" ref="W20">IF('Obsv 1'!W20="","",INDEX('Tests 1'!$C$2:$C$36,MATCH('Obsv 1'!W20,'Tests 1'!$B$2:$B$36,0)))</f>
        <v/>
      </c>
      <c r="X20" s="61" t="str">
        <f t="array" ref="X20">IF('Obsv 1'!X20="","",INDEX('Tests 1'!$C$2:$C$36,MATCH('Obsv 1'!X20,'Tests 1'!$B$2:$B$36,0)))</f>
        <v/>
      </c>
      <c r="Y20" s="61" t="str">
        <f t="array" ref="Y20">IF('Obsv 1'!Y20="","",INDEX('Tests 1'!$C$2:$C$36,MATCH('Obsv 1'!Y20,'Tests 1'!$B$2:$B$36,0)))</f>
        <v/>
      </c>
      <c r="Z20" s="61" t="str">
        <f t="array" ref="Z20">IF('Obsv 1'!Z20="","",INDEX('Tests 1'!$C$2:$C$36,MATCH('Obsv 1'!Z20,'Tests 1'!$B$2:$B$36,0)))</f>
        <v/>
      </c>
      <c r="AA20" s="61" t="str">
        <f t="array" ref="AA20">IF('Obsv 1'!AA20="","",INDEX('Tests 1'!$C$2:$C$36,MATCH('Obsv 1'!AA20,'Tests 1'!$B$2:$B$36,0)))</f>
        <v/>
      </c>
      <c r="AB20" s="61" t="str">
        <f t="array" ref="AB20">IF('Obsv 1'!AB20="","",INDEX('Tests 1'!$C$2:$C$36,MATCH('Obsv 1'!AB20,'Tests 1'!$B$2:$B$36,0)))</f>
        <v/>
      </c>
      <c r="AC20" s="61" t="str">
        <f t="array" ref="AC20">IF('Obsv 1'!AC20="","",INDEX('Tests 1'!$C$2:$C$36,MATCH('Obsv 1'!AC20,'Tests 1'!$B$2:$B$36,0)))</f>
        <v/>
      </c>
      <c r="AD20" s="61" t="str">
        <f t="array" ref="AD20">IF('Obsv 1'!AD20="","",INDEX('Tests 1'!$C$2:$C$36,MATCH('Obsv 1'!AD20,'Tests 1'!$B$2:$B$36,0)))</f>
        <v/>
      </c>
      <c r="AE20" s="61" t="str">
        <f t="array" ref="AE20">IF('Obsv 1'!AE20="","",INDEX('Tests 1'!$C$2:$C$36,MATCH('Obsv 1'!AE20,'Tests 1'!$B$2:$B$36,0)))</f>
        <v/>
      </c>
      <c r="AF20" s="61" t="str">
        <f t="array" ref="AF20">IF('Obsv 1'!AF20="","",INDEX('Tests 1'!$C$2:$C$36,MATCH('Obsv 1'!AF20,'Tests 1'!$B$2:$B$36,0)))</f>
        <v/>
      </c>
      <c r="AG20" s="61" t="str">
        <f t="array" ref="AG20">IF('Obsv 1'!AG20="","",INDEX('Tests 1'!$C$2:$C$36,MATCH('Obsv 1'!AG20,'Tests 1'!$B$2:$B$36,0)))</f>
        <v/>
      </c>
      <c r="AH20" s="61" t="str">
        <f t="array" ref="AH20">IF('Obsv 1'!AH20="","",INDEX('Tests 1'!$C$2:$C$36,MATCH('Obsv 1'!AH20,'Tests 1'!$B$2:$B$36,0)))</f>
        <v/>
      </c>
      <c r="AI20" s="61" t="str">
        <f t="array" ref="AI20">IF('Obsv 1'!AI20="","",INDEX('Tests 1'!$C$2:$C$36,MATCH('Obsv 1'!AI20,'Tests 1'!$B$2:$B$36,0)))</f>
        <v/>
      </c>
      <c r="AJ20" s="61" t="str">
        <f t="array" ref="AJ20">IF('Obsv 1'!AJ20="","",INDEX('Tests 1'!$C$2:$C$36,MATCH('Obsv 1'!AJ20,'Tests 1'!$B$2:$B$36,0)))</f>
        <v/>
      </c>
      <c r="AK20" s="61" t="str">
        <f t="array" ref="AK20">IF('Obsv 1'!AK20="","",INDEX('Tests 1'!$C$2:$C$36,MATCH('Obsv 1'!AK20,'Tests 1'!$B$2:$B$36,0)))</f>
        <v/>
      </c>
      <c r="AL20" s="61" t="str">
        <f t="array" ref="AL20">IF('Obsv 1'!AL20="","",INDEX('Tests 1'!$C$2:$C$36,MATCH('Obsv 1'!AL20,'Tests 1'!$B$2:$B$36,0)))</f>
        <v/>
      </c>
      <c r="AM20" s="61" t="str">
        <f t="array" ref="AM20">IF('Obsv 1'!AM20="","",INDEX('Tests 1'!$C$2:$C$36,MATCH('Obsv 1'!AM20,'Tests 1'!$B$2:$B$36,0)))</f>
        <v/>
      </c>
      <c r="AN20" s="61" t="str">
        <f t="array" ref="AN20">IF('Obsv 1'!AN20="","",INDEX('Tests 1'!$C$2:$C$36,MATCH('Obsv 1'!AN20,'Tests 1'!$B$2:$B$36,0)))</f>
        <v/>
      </c>
      <c r="AO20" s="61" t="str">
        <f t="array" ref="AO20">IF('Obsv 1'!AO20="","",INDEX('Tests 1'!$C$2:$C$36,MATCH('Obsv 1'!AO20,'Tests 1'!$B$2:$B$36,0)))</f>
        <v/>
      </c>
      <c r="AP20" s="61" t="str">
        <f t="array" ref="AP20">IF('Obsv 1'!AP20="","",INDEX('Tests 1'!$C$2:$C$36,MATCH('Obsv 1'!AP20,'Tests 1'!$B$2:$B$36,0)))</f>
        <v/>
      </c>
      <c r="AQ20" s="61" t="str">
        <f t="array" ref="AQ20">IF('Obsv 1'!AQ20="","",INDEX('Tests 1'!$C$2:$C$36,MATCH('Obsv 1'!AQ20,'Tests 1'!$B$2:$B$36,0)))</f>
        <v/>
      </c>
      <c r="AR20" s="61" t="str">
        <f t="array" ref="AR20">IF('Obsv 1'!AR20="","",INDEX('Tests 1'!$C$2:$C$36,MATCH('Obsv 1'!AR20,'Tests 1'!$B$2:$B$36,0)))</f>
        <v/>
      </c>
      <c r="AS20" s="61" t="str">
        <f t="array" ref="AS20">IF('Obsv 1'!AS20="","",INDEX('Tests 1'!$C$2:$C$36,MATCH('Obsv 1'!AS20,'Tests 1'!$B$2:$B$36,0)))</f>
        <v/>
      </c>
      <c r="AT20" s="61" t="str">
        <f t="array" ref="AT20">IF('Obsv 1'!AT20="","",INDEX('Tests 1'!$C$2:$C$36,MATCH('Obsv 1'!AT20,'Tests 1'!$B$2:$B$36,0)))</f>
        <v/>
      </c>
      <c r="AU20" s="61" t="str">
        <f t="array" ref="AU20">IF('Obsv 1'!AU20="","",INDEX('Tests 1'!$C$2:$C$36,MATCH('Obsv 1'!AU20,'Tests 1'!$B$2:$B$36,0)))</f>
        <v/>
      </c>
      <c r="AV20" s="62" t="str">
        <f t="array" ref="AV20">IF('Obsv 1'!AV20="","",INDEX('Tests 1'!$C$2:$C$36,MATCH('Obsv 1'!AV20,'Tests 1'!$B$2:$B$36,0)))</f>
        <v/>
      </c>
    </row>
    <row r="21">
      <c r="A21" s="59">
        <v>19.0</v>
      </c>
      <c r="B21" s="60" t="s">
        <v>51</v>
      </c>
      <c r="C21" s="44"/>
      <c r="D21" s="62"/>
      <c r="E21" s="65"/>
      <c r="F21" s="61" t="str">
        <f t="array" ref="F21">IF('Obsv 1'!F21="","",INDEX('Tests 1'!$C$2:$C$36,MATCH('Obsv 1'!F21,'Tests 1'!$B$2:$B$36,0)))</f>
        <v>FM</v>
      </c>
      <c r="G21" s="61" t="str">
        <f t="array" ref="G21">IF('Obsv 1'!G21="","",INDEX('Tests 1'!$C$2:$C$36,MATCH('Obsv 1'!G21,'Tests 1'!$B$2:$B$36,0)))</f>
        <v>SA</v>
      </c>
      <c r="H21" s="61" t="str">
        <f t="array" ref="H21">IF('Obsv 1'!H21="","",INDEX('Tests 1'!$C$2:$C$36,MATCH('Obsv 1'!H21,'Tests 1'!$B$2:$B$36,0)))</f>
        <v>DN</v>
      </c>
      <c r="I21" s="61" t="str">
        <f t="array" ref="I21">IF('Obsv 1'!I21="","",INDEX('Tests 1'!$C$2:$C$36,MATCH('Obsv 1'!I21,'Tests 1'!$B$2:$B$36,0)))</f>
        <v>OG</v>
      </c>
      <c r="J21" s="61" t="str">
        <f t="array" ref="J21">IF('Obsv 1'!J21="","",INDEX('Tests 1'!$C$2:$C$36,MATCH('Obsv 1'!J21,'Tests 1'!$B$2:$B$36,0)))</f>
        <v>SW</v>
      </c>
      <c r="K21" s="61" t="str">
        <f t="array" ref="K21">IF('Obsv 1'!K21="","",INDEX('Tests 1'!$C$2:$C$36,MATCH('Obsv 1'!K21,'Tests 1'!$B$2:$B$36,0)))</f>
        <v/>
      </c>
      <c r="L21" s="61" t="str">
        <f t="array" ref="L21">IF('Obsv 1'!L21="","",INDEX('Tests 1'!$C$2:$C$36,MATCH('Obsv 1'!L21,'Tests 1'!$B$2:$B$36,0)))</f>
        <v/>
      </c>
      <c r="M21" s="61" t="str">
        <f t="array" ref="M21">IF('Obsv 1'!M21="","",INDEX('Tests 1'!$C$2:$C$36,MATCH('Obsv 1'!M21,'Tests 1'!$B$2:$B$36,0)))</f>
        <v/>
      </c>
      <c r="N21" s="61" t="str">
        <f t="array" ref="N21">IF('Obsv 1'!N21="","",INDEX('Tests 1'!$C$2:$C$36,MATCH('Obsv 1'!N21,'Tests 1'!$B$2:$B$36,0)))</f>
        <v/>
      </c>
      <c r="O21" s="61" t="str">
        <f t="array" ref="O21">IF('Obsv 1'!O21="","",INDEX('Tests 1'!$C$2:$C$36,MATCH('Obsv 1'!O21,'Tests 1'!$B$2:$B$36,0)))</f>
        <v/>
      </c>
      <c r="P21" s="61" t="str">
        <f t="array" ref="P21">IF('Obsv 1'!P21="","",INDEX('Tests 1'!$C$2:$C$36,MATCH('Obsv 1'!P21,'Tests 1'!$B$2:$B$36,0)))</f>
        <v/>
      </c>
      <c r="Q21" s="61" t="str">
        <f t="array" ref="Q21">IF('Obsv 1'!Q21="","",INDEX('Tests 1'!$C$2:$C$36,MATCH('Obsv 1'!Q21,'Tests 1'!$B$2:$B$36,0)))</f>
        <v/>
      </c>
      <c r="R21" s="61" t="str">
        <f t="array" ref="R21">IF('Obsv 1'!R21="","",INDEX('Tests 1'!$C$2:$C$36,MATCH('Obsv 1'!R21,'Tests 1'!$B$2:$B$36,0)))</f>
        <v/>
      </c>
      <c r="S21" s="61" t="str">
        <f t="array" ref="S21">IF('Obsv 1'!S21="","",INDEX('Tests 1'!$C$2:$C$36,MATCH('Obsv 1'!S21,'Tests 1'!$B$2:$B$36,0)))</f>
        <v/>
      </c>
      <c r="T21" s="61" t="str">
        <f t="array" ref="T21">IF('Obsv 1'!T21="","",INDEX('Tests 1'!$C$2:$C$36,MATCH('Obsv 1'!T21,'Tests 1'!$B$2:$B$36,0)))</f>
        <v/>
      </c>
      <c r="U21" s="61" t="str">
        <f t="array" ref="U21">IF('Obsv 1'!U21="","",INDEX('Tests 1'!$C$2:$C$36,MATCH('Obsv 1'!U21,'Tests 1'!$B$2:$B$36,0)))</f>
        <v/>
      </c>
      <c r="V21" s="61" t="str">
        <f t="array" ref="V21">IF('Obsv 1'!V21="","",INDEX('Tests 1'!$C$2:$C$36,MATCH('Obsv 1'!V21,'Tests 1'!$B$2:$B$36,0)))</f>
        <v/>
      </c>
      <c r="W21" s="61" t="str">
        <f t="array" ref="W21">IF('Obsv 1'!W21="","",INDEX('Tests 1'!$C$2:$C$36,MATCH('Obsv 1'!W21,'Tests 1'!$B$2:$B$36,0)))</f>
        <v/>
      </c>
      <c r="X21" s="61" t="str">
        <f t="array" ref="X21">IF('Obsv 1'!X21="","",INDEX('Tests 1'!$C$2:$C$36,MATCH('Obsv 1'!X21,'Tests 1'!$B$2:$B$36,0)))</f>
        <v/>
      </c>
      <c r="Y21" s="61" t="str">
        <f t="array" ref="Y21">IF('Obsv 1'!Y21="","",INDEX('Tests 1'!$C$2:$C$36,MATCH('Obsv 1'!Y21,'Tests 1'!$B$2:$B$36,0)))</f>
        <v/>
      </c>
      <c r="Z21" s="61" t="str">
        <f t="array" ref="Z21">IF('Obsv 1'!Z21="","",INDEX('Tests 1'!$C$2:$C$36,MATCH('Obsv 1'!Z21,'Tests 1'!$B$2:$B$36,0)))</f>
        <v/>
      </c>
      <c r="AA21" s="61" t="str">
        <f t="array" ref="AA21">IF('Obsv 1'!AA21="","",INDEX('Tests 1'!$C$2:$C$36,MATCH('Obsv 1'!AA21,'Tests 1'!$B$2:$B$36,0)))</f>
        <v/>
      </c>
      <c r="AB21" s="61" t="str">
        <f t="array" ref="AB21">IF('Obsv 1'!AB21="","",INDEX('Tests 1'!$C$2:$C$36,MATCH('Obsv 1'!AB21,'Tests 1'!$B$2:$B$36,0)))</f>
        <v/>
      </c>
      <c r="AC21" s="61" t="str">
        <f t="array" ref="AC21">IF('Obsv 1'!AC21="","",INDEX('Tests 1'!$C$2:$C$36,MATCH('Obsv 1'!AC21,'Tests 1'!$B$2:$B$36,0)))</f>
        <v/>
      </c>
      <c r="AD21" s="61" t="str">
        <f t="array" ref="AD21">IF('Obsv 1'!AD21="","",INDEX('Tests 1'!$C$2:$C$36,MATCH('Obsv 1'!AD21,'Tests 1'!$B$2:$B$36,0)))</f>
        <v/>
      </c>
      <c r="AE21" s="61" t="str">
        <f t="array" ref="AE21">IF('Obsv 1'!AE21="","",INDEX('Tests 1'!$C$2:$C$36,MATCH('Obsv 1'!AE21,'Tests 1'!$B$2:$B$36,0)))</f>
        <v/>
      </c>
      <c r="AF21" s="61" t="str">
        <f t="array" ref="AF21">IF('Obsv 1'!AF21="","",INDEX('Tests 1'!$C$2:$C$36,MATCH('Obsv 1'!AF21,'Tests 1'!$B$2:$B$36,0)))</f>
        <v/>
      </c>
      <c r="AG21" s="61" t="str">
        <f t="array" ref="AG21">IF('Obsv 1'!AG21="","",INDEX('Tests 1'!$C$2:$C$36,MATCH('Obsv 1'!AG21,'Tests 1'!$B$2:$B$36,0)))</f>
        <v/>
      </c>
      <c r="AH21" s="61" t="str">
        <f t="array" ref="AH21">IF('Obsv 1'!AH21="","",INDEX('Tests 1'!$C$2:$C$36,MATCH('Obsv 1'!AH21,'Tests 1'!$B$2:$B$36,0)))</f>
        <v/>
      </c>
      <c r="AI21" s="61" t="str">
        <f t="array" ref="AI21">IF('Obsv 1'!AI21="","",INDEX('Tests 1'!$C$2:$C$36,MATCH('Obsv 1'!AI21,'Tests 1'!$B$2:$B$36,0)))</f>
        <v/>
      </c>
      <c r="AJ21" s="61" t="str">
        <f t="array" ref="AJ21">IF('Obsv 1'!AJ21="","",INDEX('Tests 1'!$C$2:$C$36,MATCH('Obsv 1'!AJ21,'Tests 1'!$B$2:$B$36,0)))</f>
        <v/>
      </c>
      <c r="AK21" s="61" t="str">
        <f t="array" ref="AK21">IF('Obsv 1'!AK21="","",INDEX('Tests 1'!$C$2:$C$36,MATCH('Obsv 1'!AK21,'Tests 1'!$B$2:$B$36,0)))</f>
        <v/>
      </c>
      <c r="AL21" s="61" t="str">
        <f t="array" ref="AL21">IF('Obsv 1'!AL21="","",INDEX('Tests 1'!$C$2:$C$36,MATCH('Obsv 1'!AL21,'Tests 1'!$B$2:$B$36,0)))</f>
        <v/>
      </c>
      <c r="AM21" s="61" t="str">
        <f t="array" ref="AM21">IF('Obsv 1'!AM21="","",INDEX('Tests 1'!$C$2:$C$36,MATCH('Obsv 1'!AM21,'Tests 1'!$B$2:$B$36,0)))</f>
        <v/>
      </c>
      <c r="AN21" s="61" t="str">
        <f t="array" ref="AN21">IF('Obsv 1'!AN21="","",INDEX('Tests 1'!$C$2:$C$36,MATCH('Obsv 1'!AN21,'Tests 1'!$B$2:$B$36,0)))</f>
        <v/>
      </c>
      <c r="AO21" s="61" t="str">
        <f t="array" ref="AO21">IF('Obsv 1'!AO21="","",INDEX('Tests 1'!$C$2:$C$36,MATCH('Obsv 1'!AO21,'Tests 1'!$B$2:$B$36,0)))</f>
        <v/>
      </c>
      <c r="AP21" s="61" t="str">
        <f t="array" ref="AP21">IF('Obsv 1'!AP21="","",INDEX('Tests 1'!$C$2:$C$36,MATCH('Obsv 1'!AP21,'Tests 1'!$B$2:$B$36,0)))</f>
        <v/>
      </c>
      <c r="AQ21" s="61" t="str">
        <f t="array" ref="AQ21">IF('Obsv 1'!AQ21="","",INDEX('Tests 1'!$C$2:$C$36,MATCH('Obsv 1'!AQ21,'Tests 1'!$B$2:$B$36,0)))</f>
        <v/>
      </c>
      <c r="AR21" s="61" t="str">
        <f t="array" ref="AR21">IF('Obsv 1'!AR21="","",INDEX('Tests 1'!$C$2:$C$36,MATCH('Obsv 1'!AR21,'Tests 1'!$B$2:$B$36,0)))</f>
        <v/>
      </c>
      <c r="AS21" s="61" t="str">
        <f t="array" ref="AS21">IF('Obsv 1'!AS21="","",INDEX('Tests 1'!$C$2:$C$36,MATCH('Obsv 1'!AS21,'Tests 1'!$B$2:$B$36,0)))</f>
        <v/>
      </c>
      <c r="AT21" s="61" t="str">
        <f t="array" ref="AT21">IF('Obsv 1'!AT21="","",INDEX('Tests 1'!$C$2:$C$36,MATCH('Obsv 1'!AT21,'Tests 1'!$B$2:$B$36,0)))</f>
        <v/>
      </c>
      <c r="AU21" s="61" t="str">
        <f t="array" ref="AU21">IF('Obsv 1'!AU21="","",INDEX('Tests 1'!$C$2:$C$36,MATCH('Obsv 1'!AU21,'Tests 1'!$B$2:$B$36,0)))</f>
        <v/>
      </c>
      <c r="AV21" s="62" t="str">
        <f t="array" ref="AV21">IF('Obsv 1'!AV21="","",INDEX('Tests 1'!$C$2:$C$36,MATCH('Obsv 1'!AV21,'Tests 1'!$B$2:$B$36,0)))</f>
        <v/>
      </c>
    </row>
    <row r="22">
      <c r="A22" s="59">
        <v>20.0</v>
      </c>
      <c r="B22" s="60" t="s">
        <v>65</v>
      </c>
      <c r="C22" s="44"/>
      <c r="D22" s="62"/>
      <c r="E22" s="65"/>
      <c r="F22" s="61" t="str">
        <f t="array" ref="F22">IF('Obsv 1'!F22="","",INDEX('Tests 1'!$C$2:$C$36,MATCH('Obsv 1'!F22,'Tests 1'!$B$2:$B$36,0)))</f>
        <v>SF</v>
      </c>
      <c r="G22" s="61" t="str">
        <f t="array" ref="G22">IF('Obsv 1'!G22="","",INDEX('Tests 1'!$C$2:$C$36,MATCH('Obsv 1'!G22,'Tests 1'!$B$2:$B$36,0)))</f>
        <v/>
      </c>
      <c r="H22" s="61" t="str">
        <f t="array" ref="H22">IF('Obsv 1'!H22="","",INDEX('Tests 1'!$C$2:$C$36,MATCH('Obsv 1'!H22,'Tests 1'!$B$2:$B$36,0)))</f>
        <v/>
      </c>
      <c r="I22" s="61" t="str">
        <f t="array" ref="I22">IF('Obsv 1'!I22="","",INDEX('Tests 1'!$C$2:$C$36,MATCH('Obsv 1'!I22,'Tests 1'!$B$2:$B$36,0)))</f>
        <v/>
      </c>
      <c r="J22" s="61" t="str">
        <f t="array" ref="J22">IF('Obsv 1'!J22="","",INDEX('Tests 1'!$C$2:$C$36,MATCH('Obsv 1'!J22,'Tests 1'!$B$2:$B$36,0)))</f>
        <v/>
      </c>
      <c r="K22" s="61" t="str">
        <f t="array" ref="K22">IF('Obsv 1'!K22="","",INDEX('Tests 1'!$C$2:$C$36,MATCH('Obsv 1'!K22,'Tests 1'!$B$2:$B$36,0)))</f>
        <v/>
      </c>
      <c r="L22" s="61" t="str">
        <f t="array" ref="L22">IF('Obsv 1'!L22="","",INDEX('Tests 1'!$C$2:$C$36,MATCH('Obsv 1'!L22,'Tests 1'!$B$2:$B$36,0)))</f>
        <v/>
      </c>
      <c r="M22" s="61" t="str">
        <f t="array" ref="M22">IF('Obsv 1'!M22="","",INDEX('Tests 1'!$C$2:$C$36,MATCH('Obsv 1'!M22,'Tests 1'!$B$2:$B$36,0)))</f>
        <v/>
      </c>
      <c r="N22" s="61" t="str">
        <f t="array" ref="N22">IF('Obsv 1'!N22="","",INDEX('Tests 1'!$C$2:$C$36,MATCH('Obsv 1'!N22,'Tests 1'!$B$2:$B$36,0)))</f>
        <v/>
      </c>
      <c r="O22" s="61" t="str">
        <f t="array" ref="O22">IF('Obsv 1'!O22="","",INDEX('Tests 1'!$C$2:$C$36,MATCH('Obsv 1'!O22,'Tests 1'!$B$2:$B$36,0)))</f>
        <v/>
      </c>
      <c r="P22" s="61" t="str">
        <f t="array" ref="P22">IF('Obsv 1'!P22="","",INDEX('Tests 1'!$C$2:$C$36,MATCH('Obsv 1'!P22,'Tests 1'!$B$2:$B$36,0)))</f>
        <v/>
      </c>
      <c r="Q22" s="61" t="str">
        <f t="array" ref="Q22">IF('Obsv 1'!Q22="","",INDEX('Tests 1'!$C$2:$C$36,MATCH('Obsv 1'!Q22,'Tests 1'!$B$2:$B$36,0)))</f>
        <v/>
      </c>
      <c r="R22" s="61" t="str">
        <f t="array" ref="R22">IF('Obsv 1'!R22="","",INDEX('Tests 1'!$C$2:$C$36,MATCH('Obsv 1'!R22,'Tests 1'!$B$2:$B$36,0)))</f>
        <v/>
      </c>
      <c r="S22" s="61" t="str">
        <f t="array" ref="S22">IF('Obsv 1'!S22="","",INDEX('Tests 1'!$C$2:$C$36,MATCH('Obsv 1'!S22,'Tests 1'!$B$2:$B$36,0)))</f>
        <v/>
      </c>
      <c r="T22" s="61" t="str">
        <f t="array" ref="T22">IF('Obsv 1'!T22="","",INDEX('Tests 1'!$C$2:$C$36,MATCH('Obsv 1'!T22,'Tests 1'!$B$2:$B$36,0)))</f>
        <v/>
      </c>
      <c r="U22" s="61" t="str">
        <f t="array" ref="U22">IF('Obsv 1'!U22="","",INDEX('Tests 1'!$C$2:$C$36,MATCH('Obsv 1'!U22,'Tests 1'!$B$2:$B$36,0)))</f>
        <v/>
      </c>
      <c r="V22" s="61" t="str">
        <f t="array" ref="V22">IF('Obsv 1'!V22="","",INDEX('Tests 1'!$C$2:$C$36,MATCH('Obsv 1'!V22,'Tests 1'!$B$2:$B$36,0)))</f>
        <v/>
      </c>
      <c r="W22" s="61" t="str">
        <f t="array" ref="W22">IF('Obsv 1'!W22="","",INDEX('Tests 1'!$C$2:$C$36,MATCH('Obsv 1'!W22,'Tests 1'!$B$2:$B$36,0)))</f>
        <v/>
      </c>
      <c r="X22" s="61" t="str">
        <f t="array" ref="X22">IF('Obsv 1'!X22="","",INDEX('Tests 1'!$C$2:$C$36,MATCH('Obsv 1'!X22,'Tests 1'!$B$2:$B$36,0)))</f>
        <v/>
      </c>
      <c r="Y22" s="61" t="str">
        <f t="array" ref="Y22">IF('Obsv 1'!Y22="","",INDEX('Tests 1'!$C$2:$C$36,MATCH('Obsv 1'!Y22,'Tests 1'!$B$2:$B$36,0)))</f>
        <v/>
      </c>
      <c r="Z22" s="61" t="str">
        <f t="array" ref="Z22">IF('Obsv 1'!Z22="","",INDEX('Tests 1'!$C$2:$C$36,MATCH('Obsv 1'!Z22,'Tests 1'!$B$2:$B$36,0)))</f>
        <v/>
      </c>
      <c r="AA22" s="61" t="str">
        <f t="array" ref="AA22">IF('Obsv 1'!AA22="","",INDEX('Tests 1'!$C$2:$C$36,MATCH('Obsv 1'!AA22,'Tests 1'!$B$2:$B$36,0)))</f>
        <v/>
      </c>
      <c r="AB22" s="61" t="str">
        <f t="array" ref="AB22">IF('Obsv 1'!AB22="","",INDEX('Tests 1'!$C$2:$C$36,MATCH('Obsv 1'!AB22,'Tests 1'!$B$2:$B$36,0)))</f>
        <v/>
      </c>
      <c r="AC22" s="61" t="str">
        <f t="array" ref="AC22">IF('Obsv 1'!AC22="","",INDEX('Tests 1'!$C$2:$C$36,MATCH('Obsv 1'!AC22,'Tests 1'!$B$2:$B$36,0)))</f>
        <v/>
      </c>
      <c r="AD22" s="61" t="str">
        <f t="array" ref="AD22">IF('Obsv 1'!AD22="","",INDEX('Tests 1'!$C$2:$C$36,MATCH('Obsv 1'!AD22,'Tests 1'!$B$2:$B$36,0)))</f>
        <v/>
      </c>
      <c r="AE22" s="61" t="str">
        <f t="array" ref="AE22">IF('Obsv 1'!AE22="","",INDEX('Tests 1'!$C$2:$C$36,MATCH('Obsv 1'!AE22,'Tests 1'!$B$2:$B$36,0)))</f>
        <v/>
      </c>
      <c r="AF22" s="61" t="str">
        <f t="array" ref="AF22">IF('Obsv 1'!AF22="","",INDEX('Tests 1'!$C$2:$C$36,MATCH('Obsv 1'!AF22,'Tests 1'!$B$2:$B$36,0)))</f>
        <v/>
      </c>
      <c r="AG22" s="61" t="str">
        <f t="array" ref="AG22">IF('Obsv 1'!AG22="","",INDEX('Tests 1'!$C$2:$C$36,MATCH('Obsv 1'!AG22,'Tests 1'!$B$2:$B$36,0)))</f>
        <v/>
      </c>
      <c r="AH22" s="61" t="str">
        <f t="array" ref="AH22">IF('Obsv 1'!AH22="","",INDEX('Tests 1'!$C$2:$C$36,MATCH('Obsv 1'!AH22,'Tests 1'!$B$2:$B$36,0)))</f>
        <v/>
      </c>
      <c r="AI22" s="61" t="str">
        <f t="array" ref="AI22">IF('Obsv 1'!AI22="","",INDEX('Tests 1'!$C$2:$C$36,MATCH('Obsv 1'!AI22,'Tests 1'!$B$2:$B$36,0)))</f>
        <v/>
      </c>
      <c r="AJ22" s="61" t="str">
        <f t="array" ref="AJ22">IF('Obsv 1'!AJ22="","",INDEX('Tests 1'!$C$2:$C$36,MATCH('Obsv 1'!AJ22,'Tests 1'!$B$2:$B$36,0)))</f>
        <v/>
      </c>
      <c r="AK22" s="61" t="str">
        <f t="array" ref="AK22">IF('Obsv 1'!AK22="","",INDEX('Tests 1'!$C$2:$C$36,MATCH('Obsv 1'!AK22,'Tests 1'!$B$2:$B$36,0)))</f>
        <v/>
      </c>
      <c r="AL22" s="61" t="str">
        <f t="array" ref="AL22">IF('Obsv 1'!AL22="","",INDEX('Tests 1'!$C$2:$C$36,MATCH('Obsv 1'!AL22,'Tests 1'!$B$2:$B$36,0)))</f>
        <v/>
      </c>
      <c r="AM22" s="61" t="str">
        <f t="array" ref="AM22">IF('Obsv 1'!AM22="","",INDEX('Tests 1'!$C$2:$C$36,MATCH('Obsv 1'!AM22,'Tests 1'!$B$2:$B$36,0)))</f>
        <v/>
      </c>
      <c r="AN22" s="61" t="str">
        <f t="array" ref="AN22">IF('Obsv 1'!AN22="","",INDEX('Tests 1'!$C$2:$C$36,MATCH('Obsv 1'!AN22,'Tests 1'!$B$2:$B$36,0)))</f>
        <v/>
      </c>
      <c r="AO22" s="61" t="str">
        <f t="array" ref="AO22">IF('Obsv 1'!AO22="","",INDEX('Tests 1'!$C$2:$C$36,MATCH('Obsv 1'!AO22,'Tests 1'!$B$2:$B$36,0)))</f>
        <v/>
      </c>
      <c r="AP22" s="61" t="str">
        <f t="array" ref="AP22">IF('Obsv 1'!AP22="","",INDEX('Tests 1'!$C$2:$C$36,MATCH('Obsv 1'!AP22,'Tests 1'!$B$2:$B$36,0)))</f>
        <v/>
      </c>
      <c r="AQ22" s="61" t="str">
        <f t="array" ref="AQ22">IF('Obsv 1'!AQ22="","",INDEX('Tests 1'!$C$2:$C$36,MATCH('Obsv 1'!AQ22,'Tests 1'!$B$2:$B$36,0)))</f>
        <v/>
      </c>
      <c r="AR22" s="61" t="str">
        <f t="array" ref="AR22">IF('Obsv 1'!AR22="","",INDEX('Tests 1'!$C$2:$C$36,MATCH('Obsv 1'!AR22,'Tests 1'!$B$2:$B$36,0)))</f>
        <v/>
      </c>
      <c r="AS22" s="61" t="str">
        <f t="array" ref="AS22">IF('Obsv 1'!AS22="","",INDEX('Tests 1'!$C$2:$C$36,MATCH('Obsv 1'!AS22,'Tests 1'!$B$2:$B$36,0)))</f>
        <v/>
      </c>
      <c r="AT22" s="61" t="str">
        <f t="array" ref="AT22">IF('Obsv 1'!AT22="","",INDEX('Tests 1'!$C$2:$C$36,MATCH('Obsv 1'!AT22,'Tests 1'!$B$2:$B$36,0)))</f>
        <v/>
      </c>
      <c r="AU22" s="61" t="str">
        <f t="array" ref="AU22">IF('Obsv 1'!AU22="","",INDEX('Tests 1'!$C$2:$C$36,MATCH('Obsv 1'!AU22,'Tests 1'!$B$2:$B$36,0)))</f>
        <v/>
      </c>
      <c r="AV22" s="62" t="str">
        <f t="array" ref="AV22">IF('Obsv 1'!AV22="","",INDEX('Tests 1'!$C$2:$C$36,MATCH('Obsv 1'!AV22,'Tests 1'!$B$2:$B$36,0)))</f>
        <v/>
      </c>
    </row>
    <row r="23">
      <c r="A23" s="59">
        <v>21.0</v>
      </c>
      <c r="B23" s="60" t="s">
        <v>66</v>
      </c>
      <c r="C23" s="48"/>
      <c r="D23" s="62"/>
      <c r="E23" s="63"/>
      <c r="F23" s="61" t="str">
        <f t="array" ref="F23">IF('Obsv 1'!F23="","",INDEX('Tests 1'!$C$2:$C$36,MATCH('Obsv 1'!F23,'Tests 1'!$B$2:$B$36,0)))</f>
        <v>DP</v>
      </c>
      <c r="G23" s="61" t="str">
        <f t="array" ref="G23">IF('Obsv 1'!G23="","",INDEX('Tests 1'!$C$2:$C$36,MATCH('Obsv 1'!G23,'Tests 1'!$B$2:$B$36,0)))</f>
        <v/>
      </c>
      <c r="H23" s="61" t="str">
        <f t="array" ref="H23">IF('Obsv 1'!H23="","",INDEX('Tests 1'!$C$2:$C$36,MATCH('Obsv 1'!H23,'Tests 1'!$B$2:$B$36,0)))</f>
        <v/>
      </c>
      <c r="I23" s="61" t="str">
        <f t="array" ref="I23">IF('Obsv 1'!I23="","",INDEX('Tests 1'!$C$2:$C$36,MATCH('Obsv 1'!I23,'Tests 1'!$B$2:$B$36,0)))</f>
        <v/>
      </c>
      <c r="J23" s="61" t="str">
        <f t="array" ref="J23">IF('Obsv 1'!J23="","",INDEX('Tests 1'!$C$2:$C$36,MATCH('Obsv 1'!J23,'Tests 1'!$B$2:$B$36,0)))</f>
        <v/>
      </c>
      <c r="K23" s="61" t="str">
        <f t="array" ref="K23">IF('Obsv 1'!K23="","",INDEX('Tests 1'!$C$2:$C$36,MATCH('Obsv 1'!K23,'Tests 1'!$B$2:$B$36,0)))</f>
        <v/>
      </c>
      <c r="L23" s="61" t="str">
        <f t="array" ref="L23">IF('Obsv 1'!L23="","",INDEX('Tests 1'!$C$2:$C$36,MATCH('Obsv 1'!L23,'Tests 1'!$B$2:$B$36,0)))</f>
        <v/>
      </c>
      <c r="M23" s="61" t="str">
        <f t="array" ref="M23">IF('Obsv 1'!M23="","",INDEX('Tests 1'!$C$2:$C$36,MATCH('Obsv 1'!M23,'Tests 1'!$B$2:$B$36,0)))</f>
        <v/>
      </c>
      <c r="N23" s="61" t="str">
        <f t="array" ref="N23">IF('Obsv 1'!N23="","",INDEX('Tests 1'!$C$2:$C$36,MATCH('Obsv 1'!N23,'Tests 1'!$B$2:$B$36,0)))</f>
        <v/>
      </c>
      <c r="O23" s="61" t="str">
        <f t="array" ref="O23">IF('Obsv 1'!O23="","",INDEX('Tests 1'!$C$2:$C$36,MATCH('Obsv 1'!O23,'Tests 1'!$B$2:$B$36,0)))</f>
        <v/>
      </c>
      <c r="P23" s="61" t="str">
        <f t="array" ref="P23">IF('Obsv 1'!P23="","",INDEX('Tests 1'!$C$2:$C$36,MATCH('Obsv 1'!P23,'Tests 1'!$B$2:$B$36,0)))</f>
        <v/>
      </c>
      <c r="Q23" s="61" t="str">
        <f t="array" ref="Q23">IF('Obsv 1'!Q23="","",INDEX('Tests 1'!$C$2:$C$36,MATCH('Obsv 1'!Q23,'Tests 1'!$B$2:$B$36,0)))</f>
        <v/>
      </c>
      <c r="R23" s="61" t="str">
        <f t="array" ref="R23">IF('Obsv 1'!R23="","",INDEX('Tests 1'!$C$2:$C$36,MATCH('Obsv 1'!R23,'Tests 1'!$B$2:$B$36,0)))</f>
        <v/>
      </c>
      <c r="S23" s="61" t="str">
        <f t="array" ref="S23">IF('Obsv 1'!S23="","",INDEX('Tests 1'!$C$2:$C$36,MATCH('Obsv 1'!S23,'Tests 1'!$B$2:$B$36,0)))</f>
        <v/>
      </c>
      <c r="T23" s="61" t="str">
        <f t="array" ref="T23">IF('Obsv 1'!T23="","",INDEX('Tests 1'!$C$2:$C$36,MATCH('Obsv 1'!T23,'Tests 1'!$B$2:$B$36,0)))</f>
        <v/>
      </c>
      <c r="U23" s="61" t="str">
        <f t="array" ref="U23">IF('Obsv 1'!U23="","",INDEX('Tests 1'!$C$2:$C$36,MATCH('Obsv 1'!U23,'Tests 1'!$B$2:$B$36,0)))</f>
        <v/>
      </c>
      <c r="V23" s="61" t="str">
        <f t="array" ref="V23">IF('Obsv 1'!V23="","",INDEX('Tests 1'!$C$2:$C$36,MATCH('Obsv 1'!V23,'Tests 1'!$B$2:$B$36,0)))</f>
        <v/>
      </c>
      <c r="W23" s="61" t="str">
        <f t="array" ref="W23">IF('Obsv 1'!W23="","",INDEX('Tests 1'!$C$2:$C$36,MATCH('Obsv 1'!W23,'Tests 1'!$B$2:$B$36,0)))</f>
        <v/>
      </c>
      <c r="X23" s="61" t="str">
        <f t="array" ref="X23">IF('Obsv 1'!X23="","",INDEX('Tests 1'!$C$2:$C$36,MATCH('Obsv 1'!X23,'Tests 1'!$B$2:$B$36,0)))</f>
        <v/>
      </c>
      <c r="Y23" s="61" t="str">
        <f t="array" ref="Y23">IF('Obsv 1'!Y23="","",INDEX('Tests 1'!$C$2:$C$36,MATCH('Obsv 1'!Y23,'Tests 1'!$B$2:$B$36,0)))</f>
        <v/>
      </c>
      <c r="Z23" s="61" t="str">
        <f t="array" ref="Z23">IF('Obsv 1'!Z23="","",INDEX('Tests 1'!$C$2:$C$36,MATCH('Obsv 1'!Z23,'Tests 1'!$B$2:$B$36,0)))</f>
        <v/>
      </c>
      <c r="AA23" s="61" t="str">
        <f t="array" ref="AA23">IF('Obsv 1'!AA23="","",INDEX('Tests 1'!$C$2:$C$36,MATCH('Obsv 1'!AA23,'Tests 1'!$B$2:$B$36,0)))</f>
        <v/>
      </c>
      <c r="AB23" s="61" t="str">
        <f t="array" ref="AB23">IF('Obsv 1'!AB23="","",INDEX('Tests 1'!$C$2:$C$36,MATCH('Obsv 1'!AB23,'Tests 1'!$B$2:$B$36,0)))</f>
        <v/>
      </c>
      <c r="AC23" s="61" t="str">
        <f t="array" ref="AC23">IF('Obsv 1'!AC23="","",INDEX('Tests 1'!$C$2:$C$36,MATCH('Obsv 1'!AC23,'Tests 1'!$B$2:$B$36,0)))</f>
        <v/>
      </c>
      <c r="AD23" s="61" t="str">
        <f t="array" ref="AD23">IF('Obsv 1'!AD23="","",INDEX('Tests 1'!$C$2:$C$36,MATCH('Obsv 1'!AD23,'Tests 1'!$B$2:$B$36,0)))</f>
        <v/>
      </c>
      <c r="AE23" s="61" t="str">
        <f t="array" ref="AE23">IF('Obsv 1'!AE23="","",INDEX('Tests 1'!$C$2:$C$36,MATCH('Obsv 1'!AE23,'Tests 1'!$B$2:$B$36,0)))</f>
        <v/>
      </c>
      <c r="AF23" s="61" t="str">
        <f t="array" ref="AF23">IF('Obsv 1'!AF23="","",INDEX('Tests 1'!$C$2:$C$36,MATCH('Obsv 1'!AF23,'Tests 1'!$B$2:$B$36,0)))</f>
        <v/>
      </c>
      <c r="AG23" s="61" t="str">
        <f t="array" ref="AG23">IF('Obsv 1'!AG23="","",INDEX('Tests 1'!$C$2:$C$36,MATCH('Obsv 1'!AG23,'Tests 1'!$B$2:$B$36,0)))</f>
        <v/>
      </c>
      <c r="AH23" s="61" t="str">
        <f t="array" ref="AH23">IF('Obsv 1'!AH23="","",INDEX('Tests 1'!$C$2:$C$36,MATCH('Obsv 1'!AH23,'Tests 1'!$B$2:$B$36,0)))</f>
        <v/>
      </c>
      <c r="AI23" s="61" t="str">
        <f t="array" ref="AI23">IF('Obsv 1'!AI23="","",INDEX('Tests 1'!$C$2:$C$36,MATCH('Obsv 1'!AI23,'Tests 1'!$B$2:$B$36,0)))</f>
        <v/>
      </c>
      <c r="AJ23" s="61" t="str">
        <f t="array" ref="AJ23">IF('Obsv 1'!AJ23="","",INDEX('Tests 1'!$C$2:$C$36,MATCH('Obsv 1'!AJ23,'Tests 1'!$B$2:$B$36,0)))</f>
        <v/>
      </c>
      <c r="AK23" s="61" t="str">
        <f t="array" ref="AK23">IF('Obsv 1'!AK23="","",INDEX('Tests 1'!$C$2:$C$36,MATCH('Obsv 1'!AK23,'Tests 1'!$B$2:$B$36,0)))</f>
        <v/>
      </c>
      <c r="AL23" s="61" t="str">
        <f t="array" ref="AL23">IF('Obsv 1'!AL23="","",INDEX('Tests 1'!$C$2:$C$36,MATCH('Obsv 1'!AL23,'Tests 1'!$B$2:$B$36,0)))</f>
        <v/>
      </c>
      <c r="AM23" s="61" t="str">
        <f t="array" ref="AM23">IF('Obsv 1'!AM23="","",INDEX('Tests 1'!$C$2:$C$36,MATCH('Obsv 1'!AM23,'Tests 1'!$B$2:$B$36,0)))</f>
        <v/>
      </c>
      <c r="AN23" s="61" t="str">
        <f t="array" ref="AN23">IF('Obsv 1'!AN23="","",INDEX('Tests 1'!$C$2:$C$36,MATCH('Obsv 1'!AN23,'Tests 1'!$B$2:$B$36,0)))</f>
        <v/>
      </c>
      <c r="AO23" s="61" t="str">
        <f t="array" ref="AO23">IF('Obsv 1'!AO23="","",INDEX('Tests 1'!$C$2:$C$36,MATCH('Obsv 1'!AO23,'Tests 1'!$B$2:$B$36,0)))</f>
        <v/>
      </c>
      <c r="AP23" s="61" t="str">
        <f t="array" ref="AP23">IF('Obsv 1'!AP23="","",INDEX('Tests 1'!$C$2:$C$36,MATCH('Obsv 1'!AP23,'Tests 1'!$B$2:$B$36,0)))</f>
        <v/>
      </c>
      <c r="AQ23" s="61" t="str">
        <f t="array" ref="AQ23">IF('Obsv 1'!AQ23="","",INDEX('Tests 1'!$C$2:$C$36,MATCH('Obsv 1'!AQ23,'Tests 1'!$B$2:$B$36,0)))</f>
        <v/>
      </c>
      <c r="AR23" s="61" t="str">
        <f t="array" ref="AR23">IF('Obsv 1'!AR23="","",INDEX('Tests 1'!$C$2:$C$36,MATCH('Obsv 1'!AR23,'Tests 1'!$B$2:$B$36,0)))</f>
        <v/>
      </c>
      <c r="AS23" s="61" t="str">
        <f t="array" ref="AS23">IF('Obsv 1'!AS23="","",INDEX('Tests 1'!$C$2:$C$36,MATCH('Obsv 1'!AS23,'Tests 1'!$B$2:$B$36,0)))</f>
        <v/>
      </c>
      <c r="AT23" s="61" t="str">
        <f t="array" ref="AT23">IF('Obsv 1'!AT23="","",INDEX('Tests 1'!$C$2:$C$36,MATCH('Obsv 1'!AT23,'Tests 1'!$B$2:$B$36,0)))</f>
        <v/>
      </c>
      <c r="AU23" s="61" t="str">
        <f t="array" ref="AU23">IF('Obsv 1'!AU23="","",INDEX('Tests 1'!$C$2:$C$36,MATCH('Obsv 1'!AU23,'Tests 1'!$B$2:$B$36,0)))</f>
        <v/>
      </c>
      <c r="AV23" s="62" t="str">
        <f t="array" ref="AV23">IF('Obsv 1'!AV23="","",INDEX('Tests 1'!$C$2:$C$36,MATCH('Obsv 1'!AV23,'Tests 1'!$B$2:$B$36,0)))</f>
        <v/>
      </c>
    </row>
    <row r="24">
      <c r="A24" s="59">
        <v>22.0</v>
      </c>
      <c r="B24" s="60" t="s">
        <v>67</v>
      </c>
      <c r="C24" s="64"/>
      <c r="D24" s="62"/>
      <c r="E24" s="63"/>
      <c r="F24" s="61" t="str">
        <f t="array" ref="F24">IF('Obsv 1'!F24="","",INDEX('Tests 1'!$C$2:$C$36,MATCH('Obsv 1'!F24,'Tests 1'!$B$2:$B$36,0)))</f>
        <v>EQ</v>
      </c>
      <c r="G24" s="61" t="str">
        <f t="array" ref="G24">IF('Obsv 1'!G24="","",INDEX('Tests 1'!$C$2:$C$36,MATCH('Obsv 1'!G24,'Tests 1'!$B$2:$B$36,0)))</f>
        <v/>
      </c>
      <c r="H24" s="61" t="str">
        <f t="array" ref="H24">IF('Obsv 1'!H24="","",INDEX('Tests 1'!$C$2:$C$36,MATCH('Obsv 1'!H24,'Tests 1'!$B$2:$B$36,0)))</f>
        <v/>
      </c>
      <c r="I24" s="61" t="str">
        <f t="array" ref="I24">IF('Obsv 1'!I24="","",INDEX('Tests 1'!$C$2:$C$36,MATCH('Obsv 1'!I24,'Tests 1'!$B$2:$B$36,0)))</f>
        <v/>
      </c>
      <c r="J24" s="61" t="str">
        <f t="array" ref="J24">IF('Obsv 1'!J24="","",INDEX('Tests 1'!$C$2:$C$36,MATCH('Obsv 1'!J24,'Tests 1'!$B$2:$B$36,0)))</f>
        <v/>
      </c>
      <c r="K24" s="61" t="str">
        <f t="array" ref="K24">IF('Obsv 1'!K24="","",INDEX('Tests 1'!$C$2:$C$36,MATCH('Obsv 1'!K24,'Tests 1'!$B$2:$B$36,0)))</f>
        <v/>
      </c>
      <c r="L24" s="61" t="str">
        <f t="array" ref="L24">IF('Obsv 1'!L24="","",INDEX('Tests 1'!$C$2:$C$36,MATCH('Obsv 1'!L24,'Tests 1'!$B$2:$B$36,0)))</f>
        <v/>
      </c>
      <c r="M24" s="61" t="str">
        <f t="array" ref="M24">IF('Obsv 1'!M24="","",INDEX('Tests 1'!$C$2:$C$36,MATCH('Obsv 1'!M24,'Tests 1'!$B$2:$B$36,0)))</f>
        <v/>
      </c>
      <c r="N24" s="61" t="str">
        <f t="array" ref="N24">IF('Obsv 1'!N24="","",INDEX('Tests 1'!$C$2:$C$36,MATCH('Obsv 1'!N24,'Tests 1'!$B$2:$B$36,0)))</f>
        <v/>
      </c>
      <c r="O24" s="61" t="str">
        <f t="array" ref="O24">IF('Obsv 1'!O24="","",INDEX('Tests 1'!$C$2:$C$36,MATCH('Obsv 1'!O24,'Tests 1'!$B$2:$B$36,0)))</f>
        <v/>
      </c>
      <c r="P24" s="61" t="str">
        <f t="array" ref="P24">IF('Obsv 1'!P24="","",INDEX('Tests 1'!$C$2:$C$36,MATCH('Obsv 1'!P24,'Tests 1'!$B$2:$B$36,0)))</f>
        <v/>
      </c>
      <c r="Q24" s="61" t="str">
        <f t="array" ref="Q24">IF('Obsv 1'!Q24="","",INDEX('Tests 1'!$C$2:$C$36,MATCH('Obsv 1'!Q24,'Tests 1'!$B$2:$B$36,0)))</f>
        <v/>
      </c>
      <c r="R24" s="61" t="str">
        <f t="array" ref="R24">IF('Obsv 1'!R24="","",INDEX('Tests 1'!$C$2:$C$36,MATCH('Obsv 1'!R24,'Tests 1'!$B$2:$B$36,0)))</f>
        <v/>
      </c>
      <c r="S24" s="61" t="str">
        <f t="array" ref="S24">IF('Obsv 1'!S24="","",INDEX('Tests 1'!$C$2:$C$36,MATCH('Obsv 1'!S24,'Tests 1'!$B$2:$B$36,0)))</f>
        <v/>
      </c>
      <c r="T24" s="61" t="str">
        <f t="array" ref="T24">IF('Obsv 1'!T24="","",INDEX('Tests 1'!$C$2:$C$36,MATCH('Obsv 1'!T24,'Tests 1'!$B$2:$B$36,0)))</f>
        <v/>
      </c>
      <c r="U24" s="61" t="str">
        <f t="array" ref="U24">IF('Obsv 1'!U24="","",INDEX('Tests 1'!$C$2:$C$36,MATCH('Obsv 1'!U24,'Tests 1'!$B$2:$B$36,0)))</f>
        <v/>
      </c>
      <c r="V24" s="61" t="str">
        <f t="array" ref="V24">IF('Obsv 1'!V24="","",INDEX('Tests 1'!$C$2:$C$36,MATCH('Obsv 1'!V24,'Tests 1'!$B$2:$B$36,0)))</f>
        <v/>
      </c>
      <c r="W24" s="61" t="str">
        <f t="array" ref="W24">IF('Obsv 1'!W24="","",INDEX('Tests 1'!$C$2:$C$36,MATCH('Obsv 1'!W24,'Tests 1'!$B$2:$B$36,0)))</f>
        <v/>
      </c>
      <c r="X24" s="61" t="str">
        <f t="array" ref="X24">IF('Obsv 1'!X24="","",INDEX('Tests 1'!$C$2:$C$36,MATCH('Obsv 1'!X24,'Tests 1'!$B$2:$B$36,0)))</f>
        <v/>
      </c>
      <c r="Y24" s="61" t="str">
        <f t="array" ref="Y24">IF('Obsv 1'!Y24="","",INDEX('Tests 1'!$C$2:$C$36,MATCH('Obsv 1'!Y24,'Tests 1'!$B$2:$B$36,0)))</f>
        <v/>
      </c>
      <c r="Z24" s="61" t="str">
        <f t="array" ref="Z24">IF('Obsv 1'!Z24="","",INDEX('Tests 1'!$C$2:$C$36,MATCH('Obsv 1'!Z24,'Tests 1'!$B$2:$B$36,0)))</f>
        <v/>
      </c>
      <c r="AA24" s="61" t="str">
        <f t="array" ref="AA24">IF('Obsv 1'!AA24="","",INDEX('Tests 1'!$C$2:$C$36,MATCH('Obsv 1'!AA24,'Tests 1'!$B$2:$B$36,0)))</f>
        <v/>
      </c>
      <c r="AB24" s="61" t="str">
        <f t="array" ref="AB24">IF('Obsv 1'!AB24="","",INDEX('Tests 1'!$C$2:$C$36,MATCH('Obsv 1'!AB24,'Tests 1'!$B$2:$B$36,0)))</f>
        <v/>
      </c>
      <c r="AC24" s="61" t="str">
        <f t="array" ref="AC24">IF('Obsv 1'!AC24="","",INDEX('Tests 1'!$C$2:$C$36,MATCH('Obsv 1'!AC24,'Tests 1'!$B$2:$B$36,0)))</f>
        <v/>
      </c>
      <c r="AD24" s="61" t="str">
        <f t="array" ref="AD24">IF('Obsv 1'!AD24="","",INDEX('Tests 1'!$C$2:$C$36,MATCH('Obsv 1'!AD24,'Tests 1'!$B$2:$B$36,0)))</f>
        <v/>
      </c>
      <c r="AE24" s="61" t="str">
        <f t="array" ref="AE24">IF('Obsv 1'!AE24="","",INDEX('Tests 1'!$C$2:$C$36,MATCH('Obsv 1'!AE24,'Tests 1'!$B$2:$B$36,0)))</f>
        <v/>
      </c>
      <c r="AF24" s="61" t="str">
        <f t="array" ref="AF24">IF('Obsv 1'!AF24="","",INDEX('Tests 1'!$C$2:$C$36,MATCH('Obsv 1'!AF24,'Tests 1'!$B$2:$B$36,0)))</f>
        <v/>
      </c>
      <c r="AG24" s="61" t="str">
        <f t="array" ref="AG24">IF('Obsv 1'!AG24="","",INDEX('Tests 1'!$C$2:$C$36,MATCH('Obsv 1'!AG24,'Tests 1'!$B$2:$B$36,0)))</f>
        <v/>
      </c>
      <c r="AH24" s="61" t="str">
        <f t="array" ref="AH24">IF('Obsv 1'!AH24="","",INDEX('Tests 1'!$C$2:$C$36,MATCH('Obsv 1'!AH24,'Tests 1'!$B$2:$B$36,0)))</f>
        <v/>
      </c>
      <c r="AI24" s="61" t="str">
        <f t="array" ref="AI24">IF('Obsv 1'!AI24="","",INDEX('Tests 1'!$C$2:$C$36,MATCH('Obsv 1'!AI24,'Tests 1'!$B$2:$B$36,0)))</f>
        <v/>
      </c>
      <c r="AJ24" s="61" t="str">
        <f t="array" ref="AJ24">IF('Obsv 1'!AJ24="","",INDEX('Tests 1'!$C$2:$C$36,MATCH('Obsv 1'!AJ24,'Tests 1'!$B$2:$B$36,0)))</f>
        <v/>
      </c>
      <c r="AK24" s="61" t="str">
        <f t="array" ref="AK24">IF('Obsv 1'!AK24="","",INDEX('Tests 1'!$C$2:$C$36,MATCH('Obsv 1'!AK24,'Tests 1'!$B$2:$B$36,0)))</f>
        <v/>
      </c>
      <c r="AL24" s="61" t="str">
        <f t="array" ref="AL24">IF('Obsv 1'!AL24="","",INDEX('Tests 1'!$C$2:$C$36,MATCH('Obsv 1'!AL24,'Tests 1'!$B$2:$B$36,0)))</f>
        <v/>
      </c>
      <c r="AM24" s="61" t="str">
        <f t="array" ref="AM24">IF('Obsv 1'!AM24="","",INDEX('Tests 1'!$C$2:$C$36,MATCH('Obsv 1'!AM24,'Tests 1'!$B$2:$B$36,0)))</f>
        <v/>
      </c>
      <c r="AN24" s="61" t="str">
        <f t="array" ref="AN24">IF('Obsv 1'!AN24="","",INDEX('Tests 1'!$C$2:$C$36,MATCH('Obsv 1'!AN24,'Tests 1'!$B$2:$B$36,0)))</f>
        <v/>
      </c>
      <c r="AO24" s="61" t="str">
        <f t="array" ref="AO24">IF('Obsv 1'!AO24="","",INDEX('Tests 1'!$C$2:$C$36,MATCH('Obsv 1'!AO24,'Tests 1'!$B$2:$B$36,0)))</f>
        <v/>
      </c>
      <c r="AP24" s="61" t="str">
        <f t="array" ref="AP24">IF('Obsv 1'!AP24="","",INDEX('Tests 1'!$C$2:$C$36,MATCH('Obsv 1'!AP24,'Tests 1'!$B$2:$B$36,0)))</f>
        <v/>
      </c>
      <c r="AQ24" s="61" t="str">
        <f t="array" ref="AQ24">IF('Obsv 1'!AQ24="","",INDEX('Tests 1'!$C$2:$C$36,MATCH('Obsv 1'!AQ24,'Tests 1'!$B$2:$B$36,0)))</f>
        <v/>
      </c>
      <c r="AR24" s="61" t="str">
        <f t="array" ref="AR24">IF('Obsv 1'!AR24="","",INDEX('Tests 1'!$C$2:$C$36,MATCH('Obsv 1'!AR24,'Tests 1'!$B$2:$B$36,0)))</f>
        <v/>
      </c>
      <c r="AS24" s="61" t="str">
        <f t="array" ref="AS24">IF('Obsv 1'!AS24="","",INDEX('Tests 1'!$C$2:$C$36,MATCH('Obsv 1'!AS24,'Tests 1'!$B$2:$B$36,0)))</f>
        <v/>
      </c>
      <c r="AT24" s="61" t="str">
        <f t="array" ref="AT24">IF('Obsv 1'!AT24="","",INDEX('Tests 1'!$C$2:$C$36,MATCH('Obsv 1'!AT24,'Tests 1'!$B$2:$B$36,0)))</f>
        <v/>
      </c>
      <c r="AU24" s="61" t="str">
        <f t="array" ref="AU24">IF('Obsv 1'!AU24="","",INDEX('Tests 1'!$C$2:$C$36,MATCH('Obsv 1'!AU24,'Tests 1'!$B$2:$B$36,0)))</f>
        <v/>
      </c>
      <c r="AV24" s="62" t="str">
        <f t="array" ref="AV24">IF('Obsv 1'!AV24="","",INDEX('Tests 1'!$C$2:$C$36,MATCH('Obsv 1'!AV24,'Tests 1'!$B$2:$B$36,0)))</f>
        <v/>
      </c>
    </row>
    <row r="25">
      <c r="A25" s="59">
        <v>23.0</v>
      </c>
      <c r="B25" s="60" t="s">
        <v>68</v>
      </c>
      <c r="C25" s="64"/>
      <c r="D25" s="62"/>
      <c r="E25" s="63"/>
      <c r="F25" s="61" t="str">
        <f t="array" ref="F25">IF('Obsv 1'!F25="","",INDEX('Tests 1'!$C$2:$C$36,MATCH('Obsv 1'!F25,'Tests 1'!$B$2:$B$36,0)))</f>
        <v>EQ</v>
      </c>
      <c r="G25" s="61" t="str">
        <f t="array" ref="G25">IF('Obsv 1'!G25="","",INDEX('Tests 1'!$C$2:$C$36,MATCH('Obsv 1'!G25,'Tests 1'!$B$2:$B$36,0)))</f>
        <v>HO</v>
      </c>
      <c r="H25" s="61" t="str">
        <f t="array" ref="H25">IF('Obsv 1'!H25="","",INDEX('Tests 1'!$C$2:$C$36,MATCH('Obsv 1'!H25,'Tests 1'!$B$2:$B$36,0)))</f>
        <v>SC</v>
      </c>
      <c r="I25" s="61" t="str">
        <f t="array" ref="I25">IF('Obsv 1'!I25="","",INDEX('Tests 1'!$C$2:$C$36,MATCH('Obsv 1'!I25,'Tests 1'!$B$2:$B$36,0)))</f>
        <v/>
      </c>
      <c r="J25" s="61" t="str">
        <f t="array" ref="J25">IF('Obsv 1'!J25="","",INDEX('Tests 1'!$C$2:$C$36,MATCH('Obsv 1'!J25,'Tests 1'!$B$2:$B$36,0)))</f>
        <v/>
      </c>
      <c r="K25" s="61" t="str">
        <f t="array" ref="K25">IF('Obsv 1'!K25="","",INDEX('Tests 1'!$C$2:$C$36,MATCH('Obsv 1'!K25,'Tests 1'!$B$2:$B$36,0)))</f>
        <v/>
      </c>
      <c r="L25" s="61" t="str">
        <f t="array" ref="L25">IF('Obsv 1'!L25="","",INDEX('Tests 1'!$C$2:$C$36,MATCH('Obsv 1'!L25,'Tests 1'!$B$2:$B$36,0)))</f>
        <v/>
      </c>
      <c r="M25" s="61" t="str">
        <f t="array" ref="M25">IF('Obsv 1'!M25="","",INDEX('Tests 1'!$C$2:$C$36,MATCH('Obsv 1'!M25,'Tests 1'!$B$2:$B$36,0)))</f>
        <v/>
      </c>
      <c r="N25" s="61" t="str">
        <f t="array" ref="N25">IF('Obsv 1'!N25="","",INDEX('Tests 1'!$C$2:$C$36,MATCH('Obsv 1'!N25,'Tests 1'!$B$2:$B$36,0)))</f>
        <v/>
      </c>
      <c r="O25" s="61" t="str">
        <f t="array" ref="O25">IF('Obsv 1'!O25="","",INDEX('Tests 1'!$C$2:$C$36,MATCH('Obsv 1'!O25,'Tests 1'!$B$2:$B$36,0)))</f>
        <v/>
      </c>
      <c r="P25" s="61" t="str">
        <f t="array" ref="P25">IF('Obsv 1'!P25="","",INDEX('Tests 1'!$C$2:$C$36,MATCH('Obsv 1'!P25,'Tests 1'!$B$2:$B$36,0)))</f>
        <v/>
      </c>
      <c r="Q25" s="61" t="str">
        <f t="array" ref="Q25">IF('Obsv 1'!Q25="","",INDEX('Tests 1'!$C$2:$C$36,MATCH('Obsv 1'!Q25,'Tests 1'!$B$2:$B$36,0)))</f>
        <v/>
      </c>
      <c r="R25" s="61" t="str">
        <f t="array" ref="R25">IF('Obsv 1'!R25="","",INDEX('Tests 1'!$C$2:$C$36,MATCH('Obsv 1'!R25,'Tests 1'!$B$2:$B$36,0)))</f>
        <v/>
      </c>
      <c r="S25" s="61" t="str">
        <f t="array" ref="S25">IF('Obsv 1'!S25="","",INDEX('Tests 1'!$C$2:$C$36,MATCH('Obsv 1'!S25,'Tests 1'!$B$2:$B$36,0)))</f>
        <v/>
      </c>
      <c r="T25" s="61" t="str">
        <f t="array" ref="T25">IF('Obsv 1'!T25="","",INDEX('Tests 1'!$C$2:$C$36,MATCH('Obsv 1'!T25,'Tests 1'!$B$2:$B$36,0)))</f>
        <v/>
      </c>
      <c r="U25" s="61" t="str">
        <f t="array" ref="U25">IF('Obsv 1'!U25="","",INDEX('Tests 1'!$C$2:$C$36,MATCH('Obsv 1'!U25,'Tests 1'!$B$2:$B$36,0)))</f>
        <v/>
      </c>
      <c r="V25" s="61" t="str">
        <f t="array" ref="V25">IF('Obsv 1'!V25="","",INDEX('Tests 1'!$C$2:$C$36,MATCH('Obsv 1'!V25,'Tests 1'!$B$2:$B$36,0)))</f>
        <v/>
      </c>
      <c r="W25" s="61" t="str">
        <f t="array" ref="W25">IF('Obsv 1'!W25="","",INDEX('Tests 1'!$C$2:$C$36,MATCH('Obsv 1'!W25,'Tests 1'!$B$2:$B$36,0)))</f>
        <v/>
      </c>
      <c r="X25" s="61" t="str">
        <f t="array" ref="X25">IF('Obsv 1'!X25="","",INDEX('Tests 1'!$C$2:$C$36,MATCH('Obsv 1'!X25,'Tests 1'!$B$2:$B$36,0)))</f>
        <v/>
      </c>
      <c r="Y25" s="61" t="str">
        <f t="array" ref="Y25">IF('Obsv 1'!Y25="","",INDEX('Tests 1'!$C$2:$C$36,MATCH('Obsv 1'!Y25,'Tests 1'!$B$2:$B$36,0)))</f>
        <v/>
      </c>
      <c r="Z25" s="61" t="str">
        <f t="array" ref="Z25">IF('Obsv 1'!Z25="","",INDEX('Tests 1'!$C$2:$C$36,MATCH('Obsv 1'!Z25,'Tests 1'!$B$2:$B$36,0)))</f>
        <v/>
      </c>
      <c r="AA25" s="61" t="str">
        <f t="array" ref="AA25">IF('Obsv 1'!AA25="","",INDEX('Tests 1'!$C$2:$C$36,MATCH('Obsv 1'!AA25,'Tests 1'!$B$2:$B$36,0)))</f>
        <v/>
      </c>
      <c r="AB25" s="61" t="str">
        <f t="array" ref="AB25">IF('Obsv 1'!AB25="","",INDEX('Tests 1'!$C$2:$C$36,MATCH('Obsv 1'!AB25,'Tests 1'!$B$2:$B$36,0)))</f>
        <v/>
      </c>
      <c r="AC25" s="61" t="str">
        <f t="array" ref="AC25">IF('Obsv 1'!AC25="","",INDEX('Tests 1'!$C$2:$C$36,MATCH('Obsv 1'!AC25,'Tests 1'!$B$2:$B$36,0)))</f>
        <v/>
      </c>
      <c r="AD25" s="61" t="str">
        <f t="array" ref="AD25">IF('Obsv 1'!AD25="","",INDEX('Tests 1'!$C$2:$C$36,MATCH('Obsv 1'!AD25,'Tests 1'!$B$2:$B$36,0)))</f>
        <v/>
      </c>
      <c r="AE25" s="61" t="str">
        <f t="array" ref="AE25">IF('Obsv 1'!AE25="","",INDEX('Tests 1'!$C$2:$C$36,MATCH('Obsv 1'!AE25,'Tests 1'!$B$2:$B$36,0)))</f>
        <v/>
      </c>
      <c r="AF25" s="61" t="str">
        <f t="array" ref="AF25">IF('Obsv 1'!AF25="","",INDEX('Tests 1'!$C$2:$C$36,MATCH('Obsv 1'!AF25,'Tests 1'!$B$2:$B$36,0)))</f>
        <v/>
      </c>
      <c r="AG25" s="61" t="str">
        <f t="array" ref="AG25">IF('Obsv 1'!AG25="","",INDEX('Tests 1'!$C$2:$C$36,MATCH('Obsv 1'!AG25,'Tests 1'!$B$2:$B$36,0)))</f>
        <v/>
      </c>
      <c r="AH25" s="61" t="str">
        <f t="array" ref="AH25">IF('Obsv 1'!AH25="","",INDEX('Tests 1'!$C$2:$C$36,MATCH('Obsv 1'!AH25,'Tests 1'!$B$2:$B$36,0)))</f>
        <v/>
      </c>
      <c r="AI25" s="61" t="str">
        <f t="array" ref="AI25">IF('Obsv 1'!AI25="","",INDEX('Tests 1'!$C$2:$C$36,MATCH('Obsv 1'!AI25,'Tests 1'!$B$2:$B$36,0)))</f>
        <v/>
      </c>
      <c r="AJ25" s="61" t="str">
        <f t="array" ref="AJ25">IF('Obsv 1'!AJ25="","",INDEX('Tests 1'!$C$2:$C$36,MATCH('Obsv 1'!AJ25,'Tests 1'!$B$2:$B$36,0)))</f>
        <v/>
      </c>
      <c r="AK25" s="61" t="str">
        <f t="array" ref="AK25">IF('Obsv 1'!AK25="","",INDEX('Tests 1'!$C$2:$C$36,MATCH('Obsv 1'!AK25,'Tests 1'!$B$2:$B$36,0)))</f>
        <v/>
      </c>
      <c r="AL25" s="61" t="str">
        <f t="array" ref="AL25">IF('Obsv 1'!AL25="","",INDEX('Tests 1'!$C$2:$C$36,MATCH('Obsv 1'!AL25,'Tests 1'!$B$2:$B$36,0)))</f>
        <v/>
      </c>
      <c r="AM25" s="61" t="str">
        <f t="array" ref="AM25">IF('Obsv 1'!AM25="","",INDEX('Tests 1'!$C$2:$C$36,MATCH('Obsv 1'!AM25,'Tests 1'!$B$2:$B$36,0)))</f>
        <v/>
      </c>
      <c r="AN25" s="61" t="str">
        <f t="array" ref="AN25">IF('Obsv 1'!AN25="","",INDEX('Tests 1'!$C$2:$C$36,MATCH('Obsv 1'!AN25,'Tests 1'!$B$2:$B$36,0)))</f>
        <v/>
      </c>
      <c r="AO25" s="61" t="str">
        <f t="array" ref="AO25">IF('Obsv 1'!AO25="","",INDEX('Tests 1'!$C$2:$C$36,MATCH('Obsv 1'!AO25,'Tests 1'!$B$2:$B$36,0)))</f>
        <v/>
      </c>
      <c r="AP25" s="61" t="str">
        <f t="array" ref="AP25">IF('Obsv 1'!AP25="","",INDEX('Tests 1'!$C$2:$C$36,MATCH('Obsv 1'!AP25,'Tests 1'!$B$2:$B$36,0)))</f>
        <v/>
      </c>
      <c r="AQ25" s="61" t="str">
        <f t="array" ref="AQ25">IF('Obsv 1'!AQ25="","",INDEX('Tests 1'!$C$2:$C$36,MATCH('Obsv 1'!AQ25,'Tests 1'!$B$2:$B$36,0)))</f>
        <v/>
      </c>
      <c r="AR25" s="61" t="str">
        <f t="array" ref="AR25">IF('Obsv 1'!AR25="","",INDEX('Tests 1'!$C$2:$C$36,MATCH('Obsv 1'!AR25,'Tests 1'!$B$2:$B$36,0)))</f>
        <v/>
      </c>
      <c r="AS25" s="61" t="str">
        <f t="array" ref="AS25">IF('Obsv 1'!AS25="","",INDEX('Tests 1'!$C$2:$C$36,MATCH('Obsv 1'!AS25,'Tests 1'!$B$2:$B$36,0)))</f>
        <v/>
      </c>
      <c r="AT25" s="61" t="str">
        <f t="array" ref="AT25">IF('Obsv 1'!AT25="","",INDEX('Tests 1'!$C$2:$C$36,MATCH('Obsv 1'!AT25,'Tests 1'!$B$2:$B$36,0)))</f>
        <v/>
      </c>
      <c r="AU25" s="61" t="str">
        <f t="array" ref="AU25">IF('Obsv 1'!AU25="","",INDEX('Tests 1'!$C$2:$C$36,MATCH('Obsv 1'!AU25,'Tests 1'!$B$2:$B$36,0)))</f>
        <v/>
      </c>
      <c r="AV25" s="62" t="str">
        <f t="array" ref="AV25">IF('Obsv 1'!AV25="","",INDEX('Tests 1'!$C$2:$C$36,MATCH('Obsv 1'!AV25,'Tests 1'!$B$2:$B$36,0)))</f>
        <v/>
      </c>
    </row>
    <row r="26">
      <c r="A26" s="59">
        <v>24.0</v>
      </c>
      <c r="B26" s="60" t="s">
        <v>69</v>
      </c>
      <c r="C26" s="64"/>
      <c r="D26" s="62"/>
      <c r="E26" s="63"/>
      <c r="F26" s="61" t="str">
        <f t="array" ref="F26">IF('Obsv 1'!F26="","",INDEX('Tests 1'!$C$2:$C$36,MATCH('Obsv 1'!F26,'Tests 1'!$B$2:$B$36,0)))</f>
        <v>RN</v>
      </c>
      <c r="G26" s="61" t="str">
        <f t="array" ref="G26">IF('Obsv 1'!G26="","",INDEX('Tests 1'!$C$2:$C$36,MATCH('Obsv 1'!G26,'Tests 1'!$B$2:$B$36,0)))</f>
        <v/>
      </c>
      <c r="H26" s="61" t="str">
        <f t="array" ref="H26">IF('Obsv 1'!H26="","",INDEX('Tests 1'!$C$2:$C$36,MATCH('Obsv 1'!H26,'Tests 1'!$B$2:$B$36,0)))</f>
        <v/>
      </c>
      <c r="I26" s="61" t="str">
        <f t="array" ref="I26">IF('Obsv 1'!I26="","",INDEX('Tests 1'!$C$2:$C$36,MATCH('Obsv 1'!I26,'Tests 1'!$B$2:$B$36,0)))</f>
        <v/>
      </c>
      <c r="J26" s="61" t="str">
        <f t="array" ref="J26">IF('Obsv 1'!J26="","",INDEX('Tests 1'!$C$2:$C$36,MATCH('Obsv 1'!J26,'Tests 1'!$B$2:$B$36,0)))</f>
        <v/>
      </c>
      <c r="K26" s="61" t="str">
        <f t="array" ref="K26">IF('Obsv 1'!K26="","",INDEX('Tests 1'!$C$2:$C$36,MATCH('Obsv 1'!K26,'Tests 1'!$B$2:$B$36,0)))</f>
        <v/>
      </c>
      <c r="L26" s="61" t="str">
        <f t="array" ref="L26">IF('Obsv 1'!L26="","",INDEX('Tests 1'!$C$2:$C$36,MATCH('Obsv 1'!L26,'Tests 1'!$B$2:$B$36,0)))</f>
        <v/>
      </c>
      <c r="M26" s="61" t="str">
        <f t="array" ref="M26">IF('Obsv 1'!M26="","",INDEX('Tests 1'!$C$2:$C$36,MATCH('Obsv 1'!M26,'Tests 1'!$B$2:$B$36,0)))</f>
        <v/>
      </c>
      <c r="N26" s="61" t="str">
        <f t="array" ref="N26">IF('Obsv 1'!N26="","",INDEX('Tests 1'!$C$2:$C$36,MATCH('Obsv 1'!N26,'Tests 1'!$B$2:$B$36,0)))</f>
        <v/>
      </c>
      <c r="O26" s="61" t="str">
        <f t="array" ref="O26">IF('Obsv 1'!O26="","",INDEX('Tests 1'!$C$2:$C$36,MATCH('Obsv 1'!O26,'Tests 1'!$B$2:$B$36,0)))</f>
        <v/>
      </c>
      <c r="P26" s="61" t="str">
        <f t="array" ref="P26">IF('Obsv 1'!P26="","",INDEX('Tests 1'!$C$2:$C$36,MATCH('Obsv 1'!P26,'Tests 1'!$B$2:$B$36,0)))</f>
        <v/>
      </c>
      <c r="Q26" s="61" t="str">
        <f t="array" ref="Q26">IF('Obsv 1'!Q26="","",INDEX('Tests 1'!$C$2:$C$36,MATCH('Obsv 1'!Q26,'Tests 1'!$B$2:$B$36,0)))</f>
        <v/>
      </c>
      <c r="R26" s="61" t="str">
        <f t="array" ref="R26">IF('Obsv 1'!R26="","",INDEX('Tests 1'!$C$2:$C$36,MATCH('Obsv 1'!R26,'Tests 1'!$B$2:$B$36,0)))</f>
        <v/>
      </c>
      <c r="S26" s="61" t="str">
        <f t="array" ref="S26">IF('Obsv 1'!S26="","",INDEX('Tests 1'!$C$2:$C$36,MATCH('Obsv 1'!S26,'Tests 1'!$B$2:$B$36,0)))</f>
        <v/>
      </c>
      <c r="T26" s="61" t="str">
        <f t="array" ref="T26">IF('Obsv 1'!T26="","",INDEX('Tests 1'!$C$2:$C$36,MATCH('Obsv 1'!T26,'Tests 1'!$B$2:$B$36,0)))</f>
        <v/>
      </c>
      <c r="U26" s="61" t="str">
        <f t="array" ref="U26">IF('Obsv 1'!U26="","",INDEX('Tests 1'!$C$2:$C$36,MATCH('Obsv 1'!U26,'Tests 1'!$B$2:$B$36,0)))</f>
        <v/>
      </c>
      <c r="V26" s="61" t="str">
        <f t="array" ref="V26">IF('Obsv 1'!V26="","",INDEX('Tests 1'!$C$2:$C$36,MATCH('Obsv 1'!V26,'Tests 1'!$B$2:$B$36,0)))</f>
        <v/>
      </c>
      <c r="W26" s="61" t="str">
        <f t="array" ref="W26">IF('Obsv 1'!W26="","",INDEX('Tests 1'!$C$2:$C$36,MATCH('Obsv 1'!W26,'Tests 1'!$B$2:$B$36,0)))</f>
        <v/>
      </c>
      <c r="X26" s="61" t="str">
        <f t="array" ref="X26">IF('Obsv 1'!X26="","",INDEX('Tests 1'!$C$2:$C$36,MATCH('Obsv 1'!X26,'Tests 1'!$B$2:$B$36,0)))</f>
        <v/>
      </c>
      <c r="Y26" s="61" t="str">
        <f t="array" ref="Y26">IF('Obsv 1'!Y26="","",INDEX('Tests 1'!$C$2:$C$36,MATCH('Obsv 1'!Y26,'Tests 1'!$B$2:$B$36,0)))</f>
        <v/>
      </c>
      <c r="Z26" s="61" t="str">
        <f t="array" ref="Z26">IF('Obsv 1'!Z26="","",INDEX('Tests 1'!$C$2:$C$36,MATCH('Obsv 1'!Z26,'Tests 1'!$B$2:$B$36,0)))</f>
        <v/>
      </c>
      <c r="AA26" s="61" t="str">
        <f t="array" ref="AA26">IF('Obsv 1'!AA26="","",INDEX('Tests 1'!$C$2:$C$36,MATCH('Obsv 1'!AA26,'Tests 1'!$B$2:$B$36,0)))</f>
        <v/>
      </c>
      <c r="AB26" s="61" t="str">
        <f t="array" ref="AB26">IF('Obsv 1'!AB26="","",INDEX('Tests 1'!$C$2:$C$36,MATCH('Obsv 1'!AB26,'Tests 1'!$B$2:$B$36,0)))</f>
        <v/>
      </c>
      <c r="AC26" s="61" t="str">
        <f t="array" ref="AC26">IF('Obsv 1'!AC26="","",INDEX('Tests 1'!$C$2:$C$36,MATCH('Obsv 1'!AC26,'Tests 1'!$B$2:$B$36,0)))</f>
        <v/>
      </c>
      <c r="AD26" s="61" t="str">
        <f t="array" ref="AD26">IF('Obsv 1'!AD26="","",INDEX('Tests 1'!$C$2:$C$36,MATCH('Obsv 1'!AD26,'Tests 1'!$B$2:$B$36,0)))</f>
        <v/>
      </c>
      <c r="AE26" s="61" t="str">
        <f t="array" ref="AE26">IF('Obsv 1'!AE26="","",INDEX('Tests 1'!$C$2:$C$36,MATCH('Obsv 1'!AE26,'Tests 1'!$B$2:$B$36,0)))</f>
        <v/>
      </c>
      <c r="AF26" s="61" t="str">
        <f t="array" ref="AF26">IF('Obsv 1'!AF26="","",INDEX('Tests 1'!$C$2:$C$36,MATCH('Obsv 1'!AF26,'Tests 1'!$B$2:$B$36,0)))</f>
        <v/>
      </c>
      <c r="AG26" s="61" t="str">
        <f t="array" ref="AG26">IF('Obsv 1'!AG26="","",INDEX('Tests 1'!$C$2:$C$36,MATCH('Obsv 1'!AG26,'Tests 1'!$B$2:$B$36,0)))</f>
        <v/>
      </c>
      <c r="AH26" s="61" t="str">
        <f t="array" ref="AH26">IF('Obsv 1'!AH26="","",INDEX('Tests 1'!$C$2:$C$36,MATCH('Obsv 1'!AH26,'Tests 1'!$B$2:$B$36,0)))</f>
        <v/>
      </c>
      <c r="AI26" s="61" t="str">
        <f t="array" ref="AI26">IF('Obsv 1'!AI26="","",INDEX('Tests 1'!$C$2:$C$36,MATCH('Obsv 1'!AI26,'Tests 1'!$B$2:$B$36,0)))</f>
        <v/>
      </c>
      <c r="AJ26" s="61" t="str">
        <f t="array" ref="AJ26">IF('Obsv 1'!AJ26="","",INDEX('Tests 1'!$C$2:$C$36,MATCH('Obsv 1'!AJ26,'Tests 1'!$B$2:$B$36,0)))</f>
        <v/>
      </c>
      <c r="AK26" s="61" t="str">
        <f t="array" ref="AK26">IF('Obsv 1'!AK26="","",INDEX('Tests 1'!$C$2:$C$36,MATCH('Obsv 1'!AK26,'Tests 1'!$B$2:$B$36,0)))</f>
        <v/>
      </c>
      <c r="AL26" s="61" t="str">
        <f t="array" ref="AL26">IF('Obsv 1'!AL26="","",INDEX('Tests 1'!$C$2:$C$36,MATCH('Obsv 1'!AL26,'Tests 1'!$B$2:$B$36,0)))</f>
        <v/>
      </c>
      <c r="AM26" s="61" t="str">
        <f t="array" ref="AM26">IF('Obsv 1'!AM26="","",INDEX('Tests 1'!$C$2:$C$36,MATCH('Obsv 1'!AM26,'Tests 1'!$B$2:$B$36,0)))</f>
        <v/>
      </c>
      <c r="AN26" s="61" t="str">
        <f t="array" ref="AN26">IF('Obsv 1'!AN26="","",INDEX('Tests 1'!$C$2:$C$36,MATCH('Obsv 1'!AN26,'Tests 1'!$B$2:$B$36,0)))</f>
        <v/>
      </c>
      <c r="AO26" s="61" t="str">
        <f t="array" ref="AO26">IF('Obsv 1'!AO26="","",INDEX('Tests 1'!$C$2:$C$36,MATCH('Obsv 1'!AO26,'Tests 1'!$B$2:$B$36,0)))</f>
        <v/>
      </c>
      <c r="AP26" s="61" t="str">
        <f t="array" ref="AP26">IF('Obsv 1'!AP26="","",INDEX('Tests 1'!$C$2:$C$36,MATCH('Obsv 1'!AP26,'Tests 1'!$B$2:$B$36,0)))</f>
        <v/>
      </c>
      <c r="AQ26" s="61" t="str">
        <f t="array" ref="AQ26">IF('Obsv 1'!AQ26="","",INDEX('Tests 1'!$C$2:$C$36,MATCH('Obsv 1'!AQ26,'Tests 1'!$B$2:$B$36,0)))</f>
        <v/>
      </c>
      <c r="AR26" s="61" t="str">
        <f t="array" ref="AR26">IF('Obsv 1'!AR26="","",INDEX('Tests 1'!$C$2:$C$36,MATCH('Obsv 1'!AR26,'Tests 1'!$B$2:$B$36,0)))</f>
        <v/>
      </c>
      <c r="AS26" s="61" t="str">
        <f t="array" ref="AS26">IF('Obsv 1'!AS26="","",INDEX('Tests 1'!$C$2:$C$36,MATCH('Obsv 1'!AS26,'Tests 1'!$B$2:$B$36,0)))</f>
        <v/>
      </c>
      <c r="AT26" s="61" t="str">
        <f t="array" ref="AT26">IF('Obsv 1'!AT26="","",INDEX('Tests 1'!$C$2:$C$36,MATCH('Obsv 1'!AT26,'Tests 1'!$B$2:$B$36,0)))</f>
        <v/>
      </c>
      <c r="AU26" s="61" t="str">
        <f t="array" ref="AU26">IF('Obsv 1'!AU26="","",INDEX('Tests 1'!$C$2:$C$36,MATCH('Obsv 1'!AU26,'Tests 1'!$B$2:$B$36,0)))</f>
        <v/>
      </c>
      <c r="AV26" s="62" t="str">
        <f t="array" ref="AV26">IF('Obsv 1'!AV26="","",INDEX('Tests 1'!$C$2:$C$36,MATCH('Obsv 1'!AV26,'Tests 1'!$B$2:$B$36,0)))</f>
        <v/>
      </c>
    </row>
    <row r="27">
      <c r="A27" s="59">
        <v>25.0</v>
      </c>
      <c r="B27" s="60" t="s">
        <v>70</v>
      </c>
      <c r="C27" s="64"/>
      <c r="D27" s="62"/>
      <c r="E27" s="63"/>
      <c r="F27" s="61" t="str">
        <f t="array" ref="F27">IF('Obsv 1'!F27="","",INDEX('Tests 1'!$C$2:$C$36,MATCH('Obsv 1'!F27,'Tests 1'!$B$2:$B$36,0)))</f>
        <v>WD</v>
      </c>
      <c r="G27" s="61" t="str">
        <f t="array" ref="G27">IF('Obsv 1'!G27="","",INDEX('Tests 1'!$C$2:$C$36,MATCH('Obsv 1'!G27,'Tests 1'!$B$2:$B$36,0)))</f>
        <v/>
      </c>
      <c r="H27" s="61" t="str">
        <f t="array" ref="H27">IF('Obsv 1'!H27="","",INDEX('Tests 1'!$C$2:$C$36,MATCH('Obsv 1'!H27,'Tests 1'!$B$2:$B$36,0)))</f>
        <v/>
      </c>
      <c r="I27" s="61" t="str">
        <f t="array" ref="I27">IF('Obsv 1'!I27="","",INDEX('Tests 1'!$C$2:$C$36,MATCH('Obsv 1'!I27,'Tests 1'!$B$2:$B$36,0)))</f>
        <v/>
      </c>
      <c r="J27" s="61" t="str">
        <f t="array" ref="J27">IF('Obsv 1'!J27="","",INDEX('Tests 1'!$C$2:$C$36,MATCH('Obsv 1'!J27,'Tests 1'!$B$2:$B$36,0)))</f>
        <v/>
      </c>
      <c r="K27" s="61" t="str">
        <f t="array" ref="K27">IF('Obsv 1'!K27="","",INDEX('Tests 1'!$C$2:$C$36,MATCH('Obsv 1'!K27,'Tests 1'!$B$2:$B$36,0)))</f>
        <v/>
      </c>
      <c r="L27" s="61" t="str">
        <f t="array" ref="L27">IF('Obsv 1'!L27="","",INDEX('Tests 1'!$C$2:$C$36,MATCH('Obsv 1'!L27,'Tests 1'!$B$2:$B$36,0)))</f>
        <v/>
      </c>
      <c r="M27" s="61" t="str">
        <f t="array" ref="M27">IF('Obsv 1'!M27="","",INDEX('Tests 1'!$C$2:$C$36,MATCH('Obsv 1'!M27,'Tests 1'!$B$2:$B$36,0)))</f>
        <v/>
      </c>
      <c r="N27" s="61" t="str">
        <f t="array" ref="N27">IF('Obsv 1'!N27="","",INDEX('Tests 1'!$C$2:$C$36,MATCH('Obsv 1'!N27,'Tests 1'!$B$2:$B$36,0)))</f>
        <v/>
      </c>
      <c r="O27" s="61" t="str">
        <f t="array" ref="O27">IF('Obsv 1'!O27="","",INDEX('Tests 1'!$C$2:$C$36,MATCH('Obsv 1'!O27,'Tests 1'!$B$2:$B$36,0)))</f>
        <v/>
      </c>
      <c r="P27" s="61" t="str">
        <f t="array" ref="P27">IF('Obsv 1'!P27="","",INDEX('Tests 1'!$C$2:$C$36,MATCH('Obsv 1'!P27,'Tests 1'!$B$2:$B$36,0)))</f>
        <v/>
      </c>
      <c r="Q27" s="61" t="str">
        <f t="array" ref="Q27">IF('Obsv 1'!Q27="","",INDEX('Tests 1'!$C$2:$C$36,MATCH('Obsv 1'!Q27,'Tests 1'!$B$2:$B$36,0)))</f>
        <v/>
      </c>
      <c r="R27" s="61" t="str">
        <f t="array" ref="R27">IF('Obsv 1'!R27="","",INDEX('Tests 1'!$C$2:$C$36,MATCH('Obsv 1'!R27,'Tests 1'!$B$2:$B$36,0)))</f>
        <v/>
      </c>
      <c r="S27" s="61" t="str">
        <f t="array" ref="S27">IF('Obsv 1'!S27="","",INDEX('Tests 1'!$C$2:$C$36,MATCH('Obsv 1'!S27,'Tests 1'!$B$2:$B$36,0)))</f>
        <v/>
      </c>
      <c r="T27" s="61" t="str">
        <f t="array" ref="T27">IF('Obsv 1'!T27="","",INDEX('Tests 1'!$C$2:$C$36,MATCH('Obsv 1'!T27,'Tests 1'!$B$2:$B$36,0)))</f>
        <v/>
      </c>
      <c r="U27" s="61" t="str">
        <f t="array" ref="U27">IF('Obsv 1'!U27="","",INDEX('Tests 1'!$C$2:$C$36,MATCH('Obsv 1'!U27,'Tests 1'!$B$2:$B$36,0)))</f>
        <v/>
      </c>
      <c r="V27" s="61" t="str">
        <f t="array" ref="V27">IF('Obsv 1'!V27="","",INDEX('Tests 1'!$C$2:$C$36,MATCH('Obsv 1'!V27,'Tests 1'!$B$2:$B$36,0)))</f>
        <v/>
      </c>
      <c r="W27" s="61" t="str">
        <f t="array" ref="W27">IF('Obsv 1'!W27="","",INDEX('Tests 1'!$C$2:$C$36,MATCH('Obsv 1'!W27,'Tests 1'!$B$2:$B$36,0)))</f>
        <v/>
      </c>
      <c r="X27" s="61" t="str">
        <f t="array" ref="X27">IF('Obsv 1'!X27="","",INDEX('Tests 1'!$C$2:$C$36,MATCH('Obsv 1'!X27,'Tests 1'!$B$2:$B$36,0)))</f>
        <v/>
      </c>
      <c r="Y27" s="61" t="str">
        <f t="array" ref="Y27">IF('Obsv 1'!Y27="","",INDEX('Tests 1'!$C$2:$C$36,MATCH('Obsv 1'!Y27,'Tests 1'!$B$2:$B$36,0)))</f>
        <v/>
      </c>
      <c r="Z27" s="61" t="str">
        <f t="array" ref="Z27">IF('Obsv 1'!Z27="","",INDEX('Tests 1'!$C$2:$C$36,MATCH('Obsv 1'!Z27,'Tests 1'!$B$2:$B$36,0)))</f>
        <v/>
      </c>
      <c r="AA27" s="61" t="str">
        <f t="array" ref="AA27">IF('Obsv 1'!AA27="","",INDEX('Tests 1'!$C$2:$C$36,MATCH('Obsv 1'!AA27,'Tests 1'!$B$2:$B$36,0)))</f>
        <v/>
      </c>
      <c r="AB27" s="61" t="str">
        <f t="array" ref="AB27">IF('Obsv 1'!AB27="","",INDEX('Tests 1'!$C$2:$C$36,MATCH('Obsv 1'!AB27,'Tests 1'!$B$2:$B$36,0)))</f>
        <v/>
      </c>
      <c r="AC27" s="61" t="str">
        <f t="array" ref="AC27">IF('Obsv 1'!AC27="","",INDEX('Tests 1'!$C$2:$C$36,MATCH('Obsv 1'!AC27,'Tests 1'!$B$2:$B$36,0)))</f>
        <v/>
      </c>
      <c r="AD27" s="61" t="str">
        <f t="array" ref="AD27">IF('Obsv 1'!AD27="","",INDEX('Tests 1'!$C$2:$C$36,MATCH('Obsv 1'!AD27,'Tests 1'!$B$2:$B$36,0)))</f>
        <v/>
      </c>
      <c r="AE27" s="61" t="str">
        <f t="array" ref="AE27">IF('Obsv 1'!AE27="","",INDEX('Tests 1'!$C$2:$C$36,MATCH('Obsv 1'!AE27,'Tests 1'!$B$2:$B$36,0)))</f>
        <v/>
      </c>
      <c r="AF27" s="61" t="str">
        <f t="array" ref="AF27">IF('Obsv 1'!AF27="","",INDEX('Tests 1'!$C$2:$C$36,MATCH('Obsv 1'!AF27,'Tests 1'!$B$2:$B$36,0)))</f>
        <v/>
      </c>
      <c r="AG27" s="61" t="str">
        <f t="array" ref="AG27">IF('Obsv 1'!AG27="","",INDEX('Tests 1'!$C$2:$C$36,MATCH('Obsv 1'!AG27,'Tests 1'!$B$2:$B$36,0)))</f>
        <v/>
      </c>
      <c r="AH27" s="61" t="str">
        <f t="array" ref="AH27">IF('Obsv 1'!AH27="","",INDEX('Tests 1'!$C$2:$C$36,MATCH('Obsv 1'!AH27,'Tests 1'!$B$2:$B$36,0)))</f>
        <v/>
      </c>
      <c r="AI27" s="61" t="str">
        <f t="array" ref="AI27">IF('Obsv 1'!AI27="","",INDEX('Tests 1'!$C$2:$C$36,MATCH('Obsv 1'!AI27,'Tests 1'!$B$2:$B$36,0)))</f>
        <v/>
      </c>
      <c r="AJ27" s="61" t="str">
        <f t="array" ref="AJ27">IF('Obsv 1'!AJ27="","",INDEX('Tests 1'!$C$2:$C$36,MATCH('Obsv 1'!AJ27,'Tests 1'!$B$2:$B$36,0)))</f>
        <v/>
      </c>
      <c r="AK27" s="61" t="str">
        <f t="array" ref="AK27">IF('Obsv 1'!AK27="","",INDEX('Tests 1'!$C$2:$C$36,MATCH('Obsv 1'!AK27,'Tests 1'!$B$2:$B$36,0)))</f>
        <v/>
      </c>
      <c r="AL27" s="61" t="str">
        <f t="array" ref="AL27">IF('Obsv 1'!AL27="","",INDEX('Tests 1'!$C$2:$C$36,MATCH('Obsv 1'!AL27,'Tests 1'!$B$2:$B$36,0)))</f>
        <v/>
      </c>
      <c r="AM27" s="61" t="str">
        <f t="array" ref="AM27">IF('Obsv 1'!AM27="","",INDEX('Tests 1'!$C$2:$C$36,MATCH('Obsv 1'!AM27,'Tests 1'!$B$2:$B$36,0)))</f>
        <v/>
      </c>
      <c r="AN27" s="61" t="str">
        <f t="array" ref="AN27">IF('Obsv 1'!AN27="","",INDEX('Tests 1'!$C$2:$C$36,MATCH('Obsv 1'!AN27,'Tests 1'!$B$2:$B$36,0)))</f>
        <v/>
      </c>
      <c r="AO27" s="61" t="str">
        <f t="array" ref="AO27">IF('Obsv 1'!AO27="","",INDEX('Tests 1'!$C$2:$C$36,MATCH('Obsv 1'!AO27,'Tests 1'!$B$2:$B$36,0)))</f>
        <v/>
      </c>
      <c r="AP27" s="61" t="str">
        <f t="array" ref="AP27">IF('Obsv 1'!AP27="","",INDEX('Tests 1'!$C$2:$C$36,MATCH('Obsv 1'!AP27,'Tests 1'!$B$2:$B$36,0)))</f>
        <v/>
      </c>
      <c r="AQ27" s="61" t="str">
        <f t="array" ref="AQ27">IF('Obsv 1'!AQ27="","",INDEX('Tests 1'!$C$2:$C$36,MATCH('Obsv 1'!AQ27,'Tests 1'!$B$2:$B$36,0)))</f>
        <v/>
      </c>
      <c r="AR27" s="61" t="str">
        <f t="array" ref="AR27">IF('Obsv 1'!AR27="","",INDEX('Tests 1'!$C$2:$C$36,MATCH('Obsv 1'!AR27,'Tests 1'!$B$2:$B$36,0)))</f>
        <v/>
      </c>
      <c r="AS27" s="61" t="str">
        <f t="array" ref="AS27">IF('Obsv 1'!AS27="","",INDEX('Tests 1'!$C$2:$C$36,MATCH('Obsv 1'!AS27,'Tests 1'!$B$2:$B$36,0)))</f>
        <v/>
      </c>
      <c r="AT27" s="61" t="str">
        <f t="array" ref="AT27">IF('Obsv 1'!AT27="","",INDEX('Tests 1'!$C$2:$C$36,MATCH('Obsv 1'!AT27,'Tests 1'!$B$2:$B$36,0)))</f>
        <v/>
      </c>
      <c r="AU27" s="61" t="str">
        <f t="array" ref="AU27">IF('Obsv 1'!AU27="","",INDEX('Tests 1'!$C$2:$C$36,MATCH('Obsv 1'!AU27,'Tests 1'!$B$2:$B$36,0)))</f>
        <v/>
      </c>
      <c r="AV27" s="62" t="str">
        <f t="array" ref="AV27">IF('Obsv 1'!AV27="","",INDEX('Tests 1'!$C$2:$C$36,MATCH('Obsv 1'!AV27,'Tests 1'!$B$2:$B$36,0)))</f>
        <v/>
      </c>
    </row>
    <row r="28">
      <c r="A28" s="30"/>
      <c r="C28" s="31"/>
      <c r="D28" s="32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5"/>
    </row>
    <row r="29">
      <c r="A29" s="36"/>
      <c r="B29" s="37" t="s">
        <v>71</v>
      </c>
      <c r="C29" s="38" t="s">
        <v>72</v>
      </c>
      <c r="D29" s="39"/>
      <c r="E29" s="40"/>
      <c r="F29" s="41" t="str">
        <f>IFERROR(__xludf.DUMMYFUNCTION("IF(COUNTBLANK(F3:AV27)&lt;&gt;1075,
TRANSPOSE(FILTER(UNIQUE({
TRANSPOSE(F3:AV3);TRANSPOSE(F4:AV4);TRANSPOSE(F5:AV5);TRANSPOSE(F6:AV6);TRANSPOSE(F7:AV7);TRANSPOSE(F8:AV8);TRANSPOSE(F9:AV9);TRANSPOSE(F10:AV10);TRANSPOSE(F11:AV11);TRANSPOSE(F12:AV12);TRANSPOSE(F13"&amp;":AV13);TRANSPOSE(F14:AV14);TRANSPOSE(F15:AV15);TRANSPOSE(F16:AV16);TRANSPOSE(F17:AV17);TRANSPOSE(F18:AV18);TRANSPOSE(F19:AV19);TRANSPOSE(F20:AV20);TRANSPOSE(F21:AV21);TRANSPOSE(F22:AV22);TRANSPOSE(F23:AV23);TRANSPOSE(F24:AV24);TRANSPOSE(F25:AV25);TRANSPOS"&amp;"E(F26:AV26);TRANSPOSE(F27:AV27)
}),
NOT(ISBLANK(UNIQUE({
TRANSPOSE(F3:AV3);TRANSPOSE(F4:AV4);TRANSPOSE(F5:AV5);TRANSPOSE(F6:AV6);TRANSPOSE(F7:AV7);TRANSPOSE(F8:AV8);TRANSPOSE(F9:AV9);TRANSPOSE(F10:AV10);TRANSPOSE(F11:AV11);TRANSPOSE(F12:AV12);TRANSPOSE(F1"&amp;"3:AV13);TRANSPOSE(F14:AV14);TRANSPOSE(F15:AV15);TRANSPOSE(F16:AV16);TRANSPOSE(F17:AV17);TRANSPOSE(F18:AV18);TRANSPOSE(F19:AV19);TRANSPOSE(F20:AV20);TRANSPOSE(F21:AV21);TRANSPOSE(F22:AV22);TRANSPOSE(F23:AV23);TRANSPOSE(F24:AV24);TRANSPOSE(F25:AV25);TRANSPO"&amp;"SE(F26:AV26);TRANSPOSE(F27:AV27)
}))))),
"""")"),"HO")</f>
        <v>HO</v>
      </c>
      <c r="G29" s="41" t="str">
        <f>IFERROR(__xludf.DUMMYFUNCTION("""COMPUTED_VALUE"""),"OO")</f>
        <v>OO</v>
      </c>
      <c r="H29" s="41" t="str">
        <f>IFERROR(__xludf.DUMMYFUNCTION("""COMPUTED_VALUE"""),"EQ")</f>
        <v>EQ</v>
      </c>
      <c r="I29" s="41" t="str">
        <f>IFERROR(__xludf.DUMMYFUNCTION("""COMPUTED_VALUE"""),"RS")</f>
        <v>RS</v>
      </c>
      <c r="J29" s="41" t="str">
        <f>IFERROR(__xludf.DUMMYFUNCTION("""COMPUTED_VALUE"""),"OG")</f>
        <v>OG</v>
      </c>
      <c r="K29" s="41" t="str">
        <f>IFERROR(__xludf.DUMMYFUNCTION("""COMPUTED_VALUE"""),"DN")</f>
        <v>DN</v>
      </c>
      <c r="L29" s="41" t="str">
        <f>IFERROR(__xludf.DUMMYFUNCTION("""COMPUTED_VALUE"""),"SP")</f>
        <v>SP</v>
      </c>
      <c r="M29" s="41" t="str">
        <f>IFERROR(__xludf.DUMMYFUNCTION("""COMPUTED_VALUE"""),"FB")</f>
        <v>FB</v>
      </c>
      <c r="N29" s="41" t="str">
        <f>IFERROR(__xludf.DUMMYFUNCTION("""COMPUTED_VALUE"""),"SB")</f>
        <v>SB</v>
      </c>
      <c r="O29" s="41" t="str">
        <f>IFERROR(__xludf.DUMMYFUNCTION("""COMPUTED_VALUE"""),"DP")</f>
        <v>DP</v>
      </c>
      <c r="P29" s="41" t="str">
        <f>IFERROR(__xludf.DUMMYFUNCTION("""COMPUTED_VALUE"""),"SC")</f>
        <v>SC</v>
      </c>
      <c r="Q29" s="41" t="str">
        <f>IFERROR(__xludf.DUMMYFUNCTION("""COMPUTED_VALUE"""),"OA")</f>
        <v>OA</v>
      </c>
      <c r="R29" s="41" t="str">
        <f>IFERROR(__xludf.DUMMYFUNCTION("""COMPUTED_VALUE"""),"DO")</f>
        <v>DO</v>
      </c>
      <c r="S29" s="41" t="str">
        <f>IFERROR(__xludf.DUMMYFUNCTION("""COMPUTED_VALUE"""),"TX")</f>
        <v>TX</v>
      </c>
      <c r="T29" s="41" t="str">
        <f>IFERROR(__xludf.DUMMYFUNCTION("""COMPUTED_VALUE"""),"OD")</f>
        <v>OD</v>
      </c>
      <c r="U29" s="41" t="str">
        <f>IFERROR(__xludf.DUMMYFUNCTION("""COMPUTED_VALUE"""),"PS")</f>
        <v>PS</v>
      </c>
      <c r="V29" s="41" t="str">
        <f>IFERROR(__xludf.DUMMYFUNCTION("""COMPUTED_VALUE"""),"PH")</f>
        <v>PH</v>
      </c>
      <c r="W29" s="41" t="str">
        <f>IFERROR(__xludf.DUMMYFUNCTION("""COMPUTED_VALUE"""),"TM")</f>
        <v>TM</v>
      </c>
      <c r="X29" s="41" t="str">
        <f>IFERROR(__xludf.DUMMYFUNCTION("""COMPUTED_VALUE"""),"CG")</f>
        <v>CG</v>
      </c>
      <c r="Y29" s="41" t="str">
        <f>IFERROR(__xludf.DUMMYFUNCTION("""COMPUTED_VALUE"""),"PD")</f>
        <v>PD</v>
      </c>
      <c r="Z29" s="41" t="str">
        <f>IFERROR(__xludf.DUMMYFUNCTION("""COMPUTED_VALUE"""),"HD")</f>
        <v>HD</v>
      </c>
      <c r="AA29" s="41" t="str">
        <f>IFERROR(__xludf.DUMMYFUNCTION("""COMPUTED_VALUE"""),"CD")</f>
        <v>CD</v>
      </c>
      <c r="AB29" s="41" t="str">
        <f>IFERROR(__xludf.DUMMYFUNCTION("""COMPUTED_VALUE"""),"IF")</f>
        <v>IF</v>
      </c>
      <c r="AC29" s="41" t="str">
        <f>IFERROR(__xludf.DUMMYFUNCTION("""COMPUTED_VALUE"""),"")</f>
        <v/>
      </c>
      <c r="AD29" s="41" t="str">
        <f>IFERROR(__xludf.DUMMYFUNCTION("""COMPUTED_VALUE"""),"FM")</f>
        <v>FM</v>
      </c>
      <c r="AE29" s="41" t="str">
        <f>IFERROR(__xludf.DUMMYFUNCTION("""COMPUTED_VALUE"""),"SA")</f>
        <v>SA</v>
      </c>
      <c r="AF29" s="41" t="str">
        <f>IFERROR(__xludf.DUMMYFUNCTION("""COMPUTED_VALUE"""),"SW")</f>
        <v>SW</v>
      </c>
      <c r="AG29" s="41" t="str">
        <f>IFERROR(__xludf.DUMMYFUNCTION("""COMPUTED_VALUE"""),"WH")</f>
        <v>WH</v>
      </c>
      <c r="AH29" s="41" t="str">
        <f>IFERROR(__xludf.DUMMYFUNCTION("""COMPUTED_VALUE"""),"WN")</f>
        <v>WN</v>
      </c>
      <c r="AI29" s="41" t="str">
        <f>IFERROR(__xludf.DUMMYFUNCTION("""COMPUTED_VALUE"""),"WP")</f>
        <v>WP</v>
      </c>
      <c r="AJ29" s="41" t="str">
        <f>IFERROR(__xludf.DUMMYFUNCTION("""COMPUTED_VALUE"""),"BH")</f>
        <v>BH</v>
      </c>
      <c r="AK29" s="41" t="str">
        <f>IFERROR(__xludf.DUMMYFUNCTION("""COMPUTED_VALUE"""),"BL")</f>
        <v>BL</v>
      </c>
      <c r="AL29" s="41" t="str">
        <f>IFERROR(__xludf.DUMMYFUNCTION("""COMPUTED_VALUE"""),"PF")</f>
        <v>PF</v>
      </c>
      <c r="AM29" s="41" t="str">
        <f>IFERROR(__xludf.DUMMYFUNCTION("""COMPUTED_VALUE"""),"SF")</f>
        <v>SF</v>
      </c>
      <c r="AN29" s="41" t="str">
        <f>IFERROR(__xludf.DUMMYFUNCTION("""COMPUTED_VALUE"""),"RN")</f>
        <v>RN</v>
      </c>
      <c r="AO29" s="41" t="str">
        <f>IFERROR(__xludf.DUMMYFUNCTION("""COMPUTED_VALUE"""),"WD")</f>
        <v>WD</v>
      </c>
      <c r="AP29" s="41"/>
      <c r="AQ29" s="41"/>
      <c r="AR29" s="41"/>
      <c r="AS29" s="41"/>
      <c r="AT29" s="41"/>
      <c r="AU29" s="41"/>
      <c r="AV29" s="42"/>
    </row>
    <row r="30">
      <c r="A30" s="36"/>
      <c r="B30" s="37" t="s">
        <v>73</v>
      </c>
      <c r="C30" s="43"/>
      <c r="D30" s="44"/>
      <c r="E30" s="45"/>
      <c r="F30" s="46">
        <f t="shared" ref="F30:AV30" si="1">IF(F29&lt;&gt;"",
IF(COUNTBLANK(E3:E27)&lt;&gt;25,COUNTIF($F$3:$AV$27,F29),1),"")</f>
        <v>1</v>
      </c>
      <c r="G30" s="46">
        <f t="shared" si="1"/>
        <v>2</v>
      </c>
      <c r="H30" s="46">
        <f t="shared" si="1"/>
        <v>4</v>
      </c>
      <c r="I30" s="46">
        <f t="shared" si="1"/>
        <v>2</v>
      </c>
      <c r="J30" s="46">
        <f t="shared" si="1"/>
        <v>4</v>
      </c>
      <c r="K30" s="46">
        <f t="shared" si="1"/>
        <v>9</v>
      </c>
      <c r="L30" s="46">
        <f t="shared" si="1"/>
        <v>6</v>
      </c>
      <c r="M30" s="46">
        <f t="shared" si="1"/>
        <v>3</v>
      </c>
      <c r="N30" s="46">
        <f t="shared" si="1"/>
        <v>3</v>
      </c>
      <c r="O30" s="46">
        <f t="shared" si="1"/>
        <v>4</v>
      </c>
      <c r="P30" s="46">
        <f t="shared" si="1"/>
        <v>3</v>
      </c>
      <c r="Q30" s="46">
        <f t="shared" si="1"/>
        <v>2</v>
      </c>
      <c r="R30" s="46">
        <f t="shared" si="1"/>
        <v>1</v>
      </c>
      <c r="S30" s="46">
        <f t="shared" si="1"/>
        <v>1</v>
      </c>
      <c r="T30" s="46">
        <f t="shared" si="1"/>
        <v>1</v>
      </c>
      <c r="U30" s="46">
        <f t="shared" si="1"/>
        <v>1</v>
      </c>
      <c r="V30" s="46">
        <f t="shared" si="1"/>
        <v>1</v>
      </c>
      <c r="W30" s="46">
        <f t="shared" si="1"/>
        <v>1</v>
      </c>
      <c r="X30" s="46">
        <f t="shared" si="1"/>
        <v>1</v>
      </c>
      <c r="Y30" s="46">
        <f t="shared" si="1"/>
        <v>2</v>
      </c>
      <c r="Z30" s="46">
        <f t="shared" si="1"/>
        <v>1</v>
      </c>
      <c r="AA30" s="46">
        <f t="shared" si="1"/>
        <v>2</v>
      </c>
      <c r="AB30" s="46">
        <f t="shared" si="1"/>
        <v>4</v>
      </c>
      <c r="AC30" s="46" t="str">
        <f t="shared" si="1"/>
        <v/>
      </c>
      <c r="AD30" s="46">
        <f t="shared" si="1"/>
        <v>1</v>
      </c>
      <c r="AE30" s="46">
        <f t="shared" si="1"/>
        <v>1</v>
      </c>
      <c r="AF30" s="46">
        <f t="shared" si="1"/>
        <v>1</v>
      </c>
      <c r="AG30" s="46">
        <f t="shared" si="1"/>
        <v>1</v>
      </c>
      <c r="AH30" s="46">
        <f t="shared" si="1"/>
        <v>1</v>
      </c>
      <c r="AI30" s="46">
        <f t="shared" si="1"/>
        <v>1</v>
      </c>
      <c r="AJ30" s="46">
        <f t="shared" si="1"/>
        <v>1</v>
      </c>
      <c r="AK30" s="46">
        <f t="shared" si="1"/>
        <v>1</v>
      </c>
      <c r="AL30" s="46">
        <f t="shared" si="1"/>
        <v>1</v>
      </c>
      <c r="AM30" s="46">
        <f t="shared" si="1"/>
        <v>1</v>
      </c>
      <c r="AN30" s="46">
        <f t="shared" si="1"/>
        <v>1</v>
      </c>
      <c r="AO30" s="46">
        <f t="shared" si="1"/>
        <v>1</v>
      </c>
      <c r="AP30" s="46" t="str">
        <f t="shared" si="1"/>
        <v/>
      </c>
      <c r="AQ30" s="46" t="str">
        <f t="shared" si="1"/>
        <v/>
      </c>
      <c r="AR30" s="46" t="str">
        <f t="shared" si="1"/>
        <v/>
      </c>
      <c r="AS30" s="46" t="str">
        <f t="shared" si="1"/>
        <v/>
      </c>
      <c r="AT30" s="46" t="str">
        <f t="shared" si="1"/>
        <v/>
      </c>
      <c r="AU30" s="46" t="str">
        <f t="shared" si="1"/>
        <v/>
      </c>
      <c r="AV30" s="47" t="str">
        <f t="shared" si="1"/>
        <v/>
      </c>
    </row>
    <row r="31">
      <c r="A31" s="36"/>
      <c r="B31" s="68" t="s">
        <v>79</v>
      </c>
      <c r="C31" s="69" t="s">
        <v>74</v>
      </c>
      <c r="D31" s="70"/>
      <c r="E31" s="71"/>
      <c r="F31" s="72" t="str">
        <f>IFERROR(__xludf.DUMMYFUNCTION("TRANSPOSE(SORT(FILTER(TRANSPOSE(F29:AV30),TRANSPOSE(F30:AV30)&lt;&gt;""""),2,FALSE))"),"DN")</f>
        <v>DN</v>
      </c>
      <c r="G31" s="72" t="str">
        <f>IFERROR(__xludf.DUMMYFUNCTION("""COMPUTED_VALUE"""),"SP")</f>
        <v>SP</v>
      </c>
      <c r="H31" s="72" t="str">
        <f>IFERROR(__xludf.DUMMYFUNCTION("""COMPUTED_VALUE"""),"EQ")</f>
        <v>EQ</v>
      </c>
      <c r="I31" s="72" t="str">
        <f>IFERROR(__xludf.DUMMYFUNCTION("""COMPUTED_VALUE"""),"OG")</f>
        <v>OG</v>
      </c>
      <c r="J31" s="72" t="str">
        <f>IFERROR(__xludf.DUMMYFUNCTION("""COMPUTED_VALUE"""),"DP")</f>
        <v>DP</v>
      </c>
      <c r="K31" s="72" t="str">
        <f>IFERROR(__xludf.DUMMYFUNCTION("""COMPUTED_VALUE"""),"IF")</f>
        <v>IF</v>
      </c>
      <c r="L31" s="72" t="str">
        <f>IFERROR(__xludf.DUMMYFUNCTION("""COMPUTED_VALUE"""),"FB")</f>
        <v>FB</v>
      </c>
      <c r="M31" s="72" t="str">
        <f>IFERROR(__xludf.DUMMYFUNCTION("""COMPUTED_VALUE"""),"SB")</f>
        <v>SB</v>
      </c>
      <c r="N31" s="72" t="str">
        <f>IFERROR(__xludf.DUMMYFUNCTION("""COMPUTED_VALUE"""),"SC")</f>
        <v>SC</v>
      </c>
      <c r="O31" s="72" t="str">
        <f>IFERROR(__xludf.DUMMYFUNCTION("""COMPUTED_VALUE"""),"OO")</f>
        <v>OO</v>
      </c>
      <c r="P31" s="72" t="str">
        <f>IFERROR(__xludf.DUMMYFUNCTION("""COMPUTED_VALUE"""),"RS")</f>
        <v>RS</v>
      </c>
      <c r="Q31" s="72" t="str">
        <f>IFERROR(__xludf.DUMMYFUNCTION("""COMPUTED_VALUE"""),"OA")</f>
        <v>OA</v>
      </c>
      <c r="R31" s="72" t="str">
        <f>IFERROR(__xludf.DUMMYFUNCTION("""COMPUTED_VALUE"""),"PD")</f>
        <v>PD</v>
      </c>
      <c r="S31" s="72" t="str">
        <f>IFERROR(__xludf.DUMMYFUNCTION("""COMPUTED_VALUE"""),"CD")</f>
        <v>CD</v>
      </c>
      <c r="T31" s="72" t="str">
        <f>IFERROR(__xludf.DUMMYFUNCTION("""COMPUTED_VALUE"""),"HO")</f>
        <v>HO</v>
      </c>
      <c r="U31" s="72" t="str">
        <f>IFERROR(__xludf.DUMMYFUNCTION("""COMPUTED_VALUE"""),"DO")</f>
        <v>DO</v>
      </c>
      <c r="V31" s="72" t="str">
        <f>IFERROR(__xludf.DUMMYFUNCTION("""COMPUTED_VALUE"""),"TX")</f>
        <v>TX</v>
      </c>
      <c r="W31" s="72" t="str">
        <f>IFERROR(__xludf.DUMMYFUNCTION("""COMPUTED_VALUE"""),"OD")</f>
        <v>OD</v>
      </c>
      <c r="X31" s="72" t="str">
        <f>IFERROR(__xludf.DUMMYFUNCTION("""COMPUTED_VALUE"""),"PS")</f>
        <v>PS</v>
      </c>
      <c r="Y31" s="72" t="str">
        <f>IFERROR(__xludf.DUMMYFUNCTION("""COMPUTED_VALUE"""),"PH")</f>
        <v>PH</v>
      </c>
      <c r="Z31" s="72" t="str">
        <f>IFERROR(__xludf.DUMMYFUNCTION("""COMPUTED_VALUE"""),"TM")</f>
        <v>TM</v>
      </c>
      <c r="AA31" s="72" t="str">
        <f>IFERROR(__xludf.DUMMYFUNCTION("""COMPUTED_VALUE"""),"CG")</f>
        <v>CG</v>
      </c>
      <c r="AB31" s="72" t="str">
        <f>IFERROR(__xludf.DUMMYFUNCTION("""COMPUTED_VALUE"""),"HD")</f>
        <v>HD</v>
      </c>
      <c r="AC31" s="72" t="str">
        <f>IFERROR(__xludf.DUMMYFUNCTION("""COMPUTED_VALUE"""),"FM")</f>
        <v>FM</v>
      </c>
      <c r="AD31" s="72" t="str">
        <f>IFERROR(__xludf.DUMMYFUNCTION("""COMPUTED_VALUE"""),"SA")</f>
        <v>SA</v>
      </c>
      <c r="AE31" s="72" t="str">
        <f>IFERROR(__xludf.DUMMYFUNCTION("""COMPUTED_VALUE"""),"SW")</f>
        <v>SW</v>
      </c>
      <c r="AF31" s="72" t="str">
        <f>IFERROR(__xludf.DUMMYFUNCTION("""COMPUTED_VALUE"""),"WH")</f>
        <v>WH</v>
      </c>
      <c r="AG31" s="72" t="str">
        <f>IFERROR(__xludf.DUMMYFUNCTION("""COMPUTED_VALUE"""),"WN")</f>
        <v>WN</v>
      </c>
      <c r="AH31" s="72" t="str">
        <f>IFERROR(__xludf.DUMMYFUNCTION("""COMPUTED_VALUE"""),"WP")</f>
        <v>WP</v>
      </c>
      <c r="AI31" s="72" t="str">
        <f>IFERROR(__xludf.DUMMYFUNCTION("""COMPUTED_VALUE"""),"BH")</f>
        <v>BH</v>
      </c>
      <c r="AJ31" s="72" t="str">
        <f>IFERROR(__xludf.DUMMYFUNCTION("""COMPUTED_VALUE"""),"BL")</f>
        <v>BL</v>
      </c>
      <c r="AK31" s="72" t="str">
        <f>IFERROR(__xludf.DUMMYFUNCTION("""COMPUTED_VALUE"""),"PF")</f>
        <v>PF</v>
      </c>
      <c r="AL31" s="72" t="str">
        <f>IFERROR(__xludf.DUMMYFUNCTION("""COMPUTED_VALUE"""),"SF")</f>
        <v>SF</v>
      </c>
      <c r="AM31" s="72" t="str">
        <f>IFERROR(__xludf.DUMMYFUNCTION("""COMPUTED_VALUE"""),"RN")</f>
        <v>RN</v>
      </c>
      <c r="AN31" s="72" t="str">
        <f>IFERROR(__xludf.DUMMYFUNCTION("""COMPUTED_VALUE"""),"WD")</f>
        <v>WD</v>
      </c>
      <c r="AO31" s="72"/>
      <c r="AP31" s="72"/>
      <c r="AQ31" s="72"/>
      <c r="AR31" s="72"/>
      <c r="AS31" s="72"/>
      <c r="AT31" s="72"/>
      <c r="AU31" s="72"/>
      <c r="AV31" s="73"/>
    </row>
    <row r="32">
      <c r="A32" s="36"/>
      <c r="B32" s="74" t="str">
        <f>TEXTJOIN("|",TRUE,F31:AV31)</f>
        <v>DN|SP|EQ|OG|DP|IF|FB|SB|SC|OO|RS|OA|PD|CD|HO|DO|TX|OD|PS|PH|TM|CG|HD|FM|SA|SW|WH|WN|WP|BH|BL|PF|SF|RN|WD</v>
      </c>
      <c r="C32" s="75"/>
      <c r="D32" s="76"/>
      <c r="E32" s="77"/>
      <c r="F32" s="78">
        <f>IFERROR(__xludf.DUMMYFUNCTION("""COMPUTED_VALUE"""),9.0)</f>
        <v>9</v>
      </c>
      <c r="G32" s="78">
        <f>IFERROR(__xludf.DUMMYFUNCTION("""COMPUTED_VALUE"""),6.0)</f>
        <v>6</v>
      </c>
      <c r="H32" s="78">
        <f>IFERROR(__xludf.DUMMYFUNCTION("""COMPUTED_VALUE"""),4.0)</f>
        <v>4</v>
      </c>
      <c r="I32" s="78">
        <f>IFERROR(__xludf.DUMMYFUNCTION("""COMPUTED_VALUE"""),4.0)</f>
        <v>4</v>
      </c>
      <c r="J32" s="78">
        <f>IFERROR(__xludf.DUMMYFUNCTION("""COMPUTED_VALUE"""),4.0)</f>
        <v>4</v>
      </c>
      <c r="K32" s="78">
        <f>IFERROR(__xludf.DUMMYFUNCTION("""COMPUTED_VALUE"""),4.0)</f>
        <v>4</v>
      </c>
      <c r="L32" s="78">
        <f>IFERROR(__xludf.DUMMYFUNCTION("""COMPUTED_VALUE"""),3.0)</f>
        <v>3</v>
      </c>
      <c r="M32" s="78">
        <f>IFERROR(__xludf.DUMMYFUNCTION("""COMPUTED_VALUE"""),3.0)</f>
        <v>3</v>
      </c>
      <c r="N32" s="78">
        <f>IFERROR(__xludf.DUMMYFUNCTION("""COMPUTED_VALUE"""),3.0)</f>
        <v>3</v>
      </c>
      <c r="O32" s="78">
        <f>IFERROR(__xludf.DUMMYFUNCTION("""COMPUTED_VALUE"""),2.0)</f>
        <v>2</v>
      </c>
      <c r="P32" s="78">
        <f>IFERROR(__xludf.DUMMYFUNCTION("""COMPUTED_VALUE"""),2.0)</f>
        <v>2</v>
      </c>
      <c r="Q32" s="78">
        <f>IFERROR(__xludf.DUMMYFUNCTION("""COMPUTED_VALUE"""),2.0)</f>
        <v>2</v>
      </c>
      <c r="R32" s="78">
        <f>IFERROR(__xludf.DUMMYFUNCTION("""COMPUTED_VALUE"""),2.0)</f>
        <v>2</v>
      </c>
      <c r="S32" s="78">
        <f>IFERROR(__xludf.DUMMYFUNCTION("""COMPUTED_VALUE"""),2.0)</f>
        <v>2</v>
      </c>
      <c r="T32" s="78">
        <f>IFERROR(__xludf.DUMMYFUNCTION("""COMPUTED_VALUE"""),1.0)</f>
        <v>1</v>
      </c>
      <c r="U32" s="78">
        <f>IFERROR(__xludf.DUMMYFUNCTION("""COMPUTED_VALUE"""),1.0)</f>
        <v>1</v>
      </c>
      <c r="V32" s="78">
        <f>IFERROR(__xludf.DUMMYFUNCTION("""COMPUTED_VALUE"""),1.0)</f>
        <v>1</v>
      </c>
      <c r="W32" s="78">
        <f>IFERROR(__xludf.DUMMYFUNCTION("""COMPUTED_VALUE"""),1.0)</f>
        <v>1</v>
      </c>
      <c r="X32" s="78">
        <f>IFERROR(__xludf.DUMMYFUNCTION("""COMPUTED_VALUE"""),1.0)</f>
        <v>1</v>
      </c>
      <c r="Y32" s="78">
        <f>IFERROR(__xludf.DUMMYFUNCTION("""COMPUTED_VALUE"""),1.0)</f>
        <v>1</v>
      </c>
      <c r="Z32" s="78">
        <f>IFERROR(__xludf.DUMMYFUNCTION("""COMPUTED_VALUE"""),1.0)</f>
        <v>1</v>
      </c>
      <c r="AA32" s="78">
        <f>IFERROR(__xludf.DUMMYFUNCTION("""COMPUTED_VALUE"""),1.0)</f>
        <v>1</v>
      </c>
      <c r="AB32" s="78">
        <f>IFERROR(__xludf.DUMMYFUNCTION("""COMPUTED_VALUE"""),1.0)</f>
        <v>1</v>
      </c>
      <c r="AC32" s="78">
        <f>IFERROR(__xludf.DUMMYFUNCTION("""COMPUTED_VALUE"""),1.0)</f>
        <v>1</v>
      </c>
      <c r="AD32" s="78">
        <f>IFERROR(__xludf.DUMMYFUNCTION("""COMPUTED_VALUE"""),1.0)</f>
        <v>1</v>
      </c>
      <c r="AE32" s="78">
        <f>IFERROR(__xludf.DUMMYFUNCTION("""COMPUTED_VALUE"""),1.0)</f>
        <v>1</v>
      </c>
      <c r="AF32" s="78">
        <f>IFERROR(__xludf.DUMMYFUNCTION("""COMPUTED_VALUE"""),1.0)</f>
        <v>1</v>
      </c>
      <c r="AG32" s="78">
        <f>IFERROR(__xludf.DUMMYFUNCTION("""COMPUTED_VALUE"""),1.0)</f>
        <v>1</v>
      </c>
      <c r="AH32" s="78">
        <f>IFERROR(__xludf.DUMMYFUNCTION("""COMPUTED_VALUE"""),1.0)</f>
        <v>1</v>
      </c>
      <c r="AI32" s="78">
        <f>IFERROR(__xludf.DUMMYFUNCTION("""COMPUTED_VALUE"""),1.0)</f>
        <v>1</v>
      </c>
      <c r="AJ32" s="78">
        <f>IFERROR(__xludf.DUMMYFUNCTION("""COMPUTED_VALUE"""),1.0)</f>
        <v>1</v>
      </c>
      <c r="AK32" s="78">
        <f>IFERROR(__xludf.DUMMYFUNCTION("""COMPUTED_VALUE"""),1.0)</f>
        <v>1</v>
      </c>
      <c r="AL32" s="78">
        <f>IFERROR(__xludf.DUMMYFUNCTION("""COMPUTED_VALUE"""),1.0)</f>
        <v>1</v>
      </c>
      <c r="AM32" s="78">
        <f>IFERROR(__xludf.DUMMYFUNCTION("""COMPUTED_VALUE"""),1.0)</f>
        <v>1</v>
      </c>
      <c r="AN32" s="78">
        <f>IFERROR(__xludf.DUMMYFUNCTION("""COMPUTED_VALUE"""),1.0)</f>
        <v>1</v>
      </c>
      <c r="AO32" s="78"/>
      <c r="AP32" s="78"/>
      <c r="AQ32" s="78"/>
      <c r="AR32" s="78"/>
      <c r="AS32" s="78"/>
      <c r="AT32" s="78"/>
      <c r="AU32" s="78"/>
      <c r="AV32" s="79"/>
    </row>
  </sheetData>
  <mergeCells count="7">
    <mergeCell ref="A1:B2"/>
    <mergeCell ref="C1:C2"/>
    <mergeCell ref="D1:D2"/>
    <mergeCell ref="E1:E2"/>
    <mergeCell ref="F1:AV1"/>
    <mergeCell ref="C29:C30"/>
    <mergeCell ref="C31:C32"/>
  </mergeCells>
  <conditionalFormatting sqref="A3:AV27">
    <cfRule type="expression" dxfId="1" priority="1">
      <formula>$D3=TRUE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23.38"/>
    <col customWidth="1" min="3" max="3" width="4.63"/>
    <col customWidth="1" min="4" max="4" width="2.88"/>
    <col customWidth="1" min="5" max="5" width="22.25"/>
    <col customWidth="1" min="6" max="6" width="21.0"/>
    <col customWidth="1" min="7" max="7" width="14.88"/>
    <col customWidth="1" min="8" max="8" width="21.0"/>
    <col customWidth="1" min="9" max="9" width="17.63"/>
    <col customWidth="1" min="10" max="10" width="17.75"/>
    <col customWidth="1" min="11" max="11" width="15.75"/>
    <col customWidth="1" min="12" max="13" width="20.5"/>
  </cols>
  <sheetData>
    <row r="1">
      <c r="A1" s="80" t="s">
        <v>80</v>
      </c>
      <c r="B1" s="81" t="s">
        <v>81</v>
      </c>
      <c r="C1" s="82" t="s">
        <v>82</v>
      </c>
      <c r="D1" s="83"/>
      <c r="E1" s="84" t="s">
        <v>83</v>
      </c>
      <c r="F1" s="85"/>
      <c r="G1" s="85"/>
      <c r="H1" s="85"/>
      <c r="I1" s="85"/>
      <c r="J1" s="85"/>
      <c r="K1" s="85"/>
      <c r="L1" s="85"/>
      <c r="M1" s="83"/>
    </row>
    <row r="2">
      <c r="A2" s="86">
        <v>1.0</v>
      </c>
      <c r="B2" s="87" t="s">
        <v>84</v>
      </c>
      <c r="C2" s="88" t="s">
        <v>85</v>
      </c>
      <c r="D2" s="89">
        <f t="shared" ref="D2:D36" si="1">COUNTIF(C2,$C$2:$C$36)</f>
        <v>1</v>
      </c>
      <c r="E2" s="90" t="s">
        <v>86</v>
      </c>
      <c r="F2" s="90" t="s">
        <v>87</v>
      </c>
      <c r="G2" s="90" t="s">
        <v>88</v>
      </c>
      <c r="H2" s="90" t="s">
        <v>89</v>
      </c>
      <c r="I2" s="90" t="s">
        <v>90</v>
      </c>
      <c r="J2" s="90" t="s">
        <v>91</v>
      </c>
      <c r="K2" s="90" t="s">
        <v>92</v>
      </c>
      <c r="L2" s="91"/>
      <c r="M2" s="91"/>
    </row>
    <row r="3">
      <c r="A3" s="86">
        <v>2.0</v>
      </c>
      <c r="B3" s="87" t="s">
        <v>93</v>
      </c>
      <c r="C3" s="88" t="s">
        <v>94</v>
      </c>
      <c r="D3" s="89">
        <f t="shared" si="1"/>
        <v>1</v>
      </c>
      <c r="E3" s="90" t="s">
        <v>95</v>
      </c>
      <c r="F3" s="90" t="s">
        <v>96</v>
      </c>
      <c r="G3" s="90" t="s">
        <v>87</v>
      </c>
      <c r="H3" s="90" t="s">
        <v>88</v>
      </c>
      <c r="I3" s="90" t="s">
        <v>97</v>
      </c>
      <c r="J3" s="91"/>
      <c r="K3" s="91"/>
      <c r="L3" s="91"/>
      <c r="M3" s="91"/>
    </row>
    <row r="4">
      <c r="A4" s="86">
        <v>3.0</v>
      </c>
      <c r="B4" s="87" t="s">
        <v>98</v>
      </c>
      <c r="C4" s="88" t="s">
        <v>99</v>
      </c>
      <c r="D4" s="89">
        <f t="shared" si="1"/>
        <v>1</v>
      </c>
      <c r="E4" s="90"/>
      <c r="F4" s="91"/>
      <c r="G4" s="91"/>
      <c r="H4" s="91"/>
      <c r="I4" s="91"/>
      <c r="J4" s="91"/>
      <c r="K4" s="91"/>
      <c r="L4" s="91"/>
      <c r="M4" s="91"/>
    </row>
    <row r="5">
      <c r="A5" s="86">
        <v>4.0</v>
      </c>
      <c r="B5" s="87" t="s">
        <v>100</v>
      </c>
      <c r="C5" s="88" t="s">
        <v>101</v>
      </c>
      <c r="D5" s="89">
        <f t="shared" si="1"/>
        <v>1</v>
      </c>
      <c r="E5" s="90" t="s">
        <v>102</v>
      </c>
      <c r="F5" s="91"/>
      <c r="G5" s="91"/>
      <c r="H5" s="91"/>
      <c r="I5" s="91"/>
      <c r="J5" s="91"/>
      <c r="K5" s="91"/>
      <c r="L5" s="91"/>
      <c r="M5" s="91"/>
    </row>
    <row r="6">
      <c r="A6" s="86">
        <v>5.0</v>
      </c>
      <c r="B6" s="87" t="s">
        <v>103</v>
      </c>
      <c r="C6" s="88" t="s">
        <v>104</v>
      </c>
      <c r="D6" s="89">
        <f t="shared" si="1"/>
        <v>1</v>
      </c>
      <c r="E6" s="90" t="s">
        <v>105</v>
      </c>
      <c r="F6" s="90" t="s">
        <v>97</v>
      </c>
      <c r="G6" s="91"/>
      <c r="H6" s="91"/>
      <c r="I6" s="91"/>
      <c r="J6" s="91"/>
      <c r="K6" s="91"/>
      <c r="L6" s="91"/>
      <c r="M6" s="91"/>
    </row>
    <row r="7">
      <c r="A7" s="86">
        <v>6.0</v>
      </c>
      <c r="B7" s="92" t="s">
        <v>106</v>
      </c>
      <c r="C7" s="88" t="s">
        <v>107</v>
      </c>
      <c r="D7" s="89">
        <f t="shared" si="1"/>
        <v>1</v>
      </c>
      <c r="E7" s="90"/>
      <c r="F7" s="90"/>
      <c r="G7" s="90"/>
      <c r="H7" s="90"/>
      <c r="I7" s="90"/>
      <c r="J7" s="90"/>
      <c r="K7" s="90"/>
      <c r="L7" s="90"/>
      <c r="M7" s="90"/>
    </row>
    <row r="8">
      <c r="A8" s="86">
        <v>7.0</v>
      </c>
      <c r="B8" s="87" t="s">
        <v>108</v>
      </c>
      <c r="C8" s="88" t="s">
        <v>109</v>
      </c>
      <c r="D8" s="89">
        <f t="shared" si="1"/>
        <v>1</v>
      </c>
      <c r="E8" s="90" t="s">
        <v>89</v>
      </c>
      <c r="F8" s="90" t="s">
        <v>97</v>
      </c>
      <c r="G8" s="90"/>
      <c r="H8" s="90"/>
      <c r="I8" s="91"/>
      <c r="J8" s="91"/>
      <c r="K8" s="91"/>
      <c r="L8" s="91"/>
      <c r="M8" s="91"/>
    </row>
    <row r="9">
      <c r="A9" s="86">
        <v>8.0</v>
      </c>
      <c r="B9" s="87" t="s">
        <v>110</v>
      </c>
      <c r="C9" s="88" t="s">
        <v>111</v>
      </c>
      <c r="D9" s="89">
        <f t="shared" si="1"/>
        <v>1</v>
      </c>
      <c r="E9" s="90" t="s">
        <v>89</v>
      </c>
      <c r="F9" s="90" t="s">
        <v>97</v>
      </c>
      <c r="G9" s="90"/>
      <c r="H9" s="90"/>
      <c r="I9" s="91"/>
      <c r="J9" s="91"/>
      <c r="K9" s="91"/>
      <c r="L9" s="91"/>
      <c r="M9" s="91"/>
    </row>
    <row r="10">
      <c r="A10" s="86">
        <v>9.0</v>
      </c>
      <c r="B10" s="87" t="s">
        <v>112</v>
      </c>
      <c r="C10" s="88" t="s">
        <v>113</v>
      </c>
      <c r="D10" s="89">
        <f t="shared" si="1"/>
        <v>1</v>
      </c>
      <c r="E10" s="90" t="s">
        <v>114</v>
      </c>
      <c r="F10" s="90" t="s">
        <v>115</v>
      </c>
      <c r="H10" s="90"/>
      <c r="I10" s="90"/>
      <c r="J10" s="90"/>
      <c r="K10" s="90"/>
      <c r="L10" s="90"/>
      <c r="M10" s="90"/>
    </row>
    <row r="11">
      <c r="A11" s="86">
        <v>10.0</v>
      </c>
      <c r="B11" s="92" t="s">
        <v>116</v>
      </c>
      <c r="C11" s="88" t="s">
        <v>117</v>
      </c>
      <c r="D11" s="89">
        <f t="shared" si="1"/>
        <v>1</v>
      </c>
      <c r="E11" s="90" t="s">
        <v>118</v>
      </c>
      <c r="F11" s="90" t="s">
        <v>114</v>
      </c>
      <c r="G11" s="90"/>
      <c r="H11" s="90"/>
      <c r="I11" s="90"/>
      <c r="J11" s="90"/>
      <c r="K11" s="91"/>
      <c r="L11" s="91"/>
      <c r="M11" s="91"/>
    </row>
    <row r="12">
      <c r="A12" s="86">
        <v>11.0</v>
      </c>
      <c r="B12" s="87" t="s">
        <v>119</v>
      </c>
      <c r="C12" s="88" t="s">
        <v>120</v>
      </c>
      <c r="D12" s="89">
        <f t="shared" si="1"/>
        <v>1</v>
      </c>
      <c r="E12" s="90" t="s">
        <v>118</v>
      </c>
      <c r="G12" s="90"/>
      <c r="H12" s="90"/>
      <c r="I12" s="90"/>
      <c r="J12" s="91"/>
      <c r="K12" s="91"/>
      <c r="L12" s="91"/>
      <c r="M12" s="91"/>
    </row>
    <row r="13">
      <c r="A13" s="86">
        <v>12.0</v>
      </c>
      <c r="B13" s="87" t="s">
        <v>121</v>
      </c>
      <c r="C13" s="88" t="s">
        <v>122</v>
      </c>
      <c r="D13" s="89">
        <f t="shared" si="1"/>
        <v>1</v>
      </c>
      <c r="E13" s="90"/>
      <c r="F13" s="91"/>
      <c r="G13" s="91"/>
      <c r="H13" s="91"/>
      <c r="I13" s="91"/>
      <c r="J13" s="91"/>
      <c r="K13" s="91"/>
      <c r="L13" s="91"/>
      <c r="M13" s="91"/>
    </row>
    <row r="14">
      <c r="A14" s="86">
        <v>13.0</v>
      </c>
      <c r="B14" s="87" t="s">
        <v>123</v>
      </c>
      <c r="C14" s="88" t="s">
        <v>124</v>
      </c>
      <c r="D14" s="89">
        <f t="shared" si="1"/>
        <v>1</v>
      </c>
      <c r="E14" s="90" t="s">
        <v>105</v>
      </c>
      <c r="F14" s="90" t="s">
        <v>97</v>
      </c>
      <c r="G14" s="90"/>
      <c r="H14" s="91"/>
      <c r="I14" s="91"/>
      <c r="J14" s="91"/>
      <c r="K14" s="91"/>
      <c r="L14" s="91"/>
      <c r="M14" s="91"/>
    </row>
    <row r="15">
      <c r="A15" s="86">
        <v>14.0</v>
      </c>
      <c r="B15" s="87" t="s">
        <v>125</v>
      </c>
      <c r="C15" s="88" t="s">
        <v>126</v>
      </c>
      <c r="D15" s="89">
        <f t="shared" si="1"/>
        <v>1</v>
      </c>
      <c r="E15" s="90" t="s">
        <v>105</v>
      </c>
      <c r="F15" s="90" t="s">
        <v>97</v>
      </c>
      <c r="G15" s="90" t="s">
        <v>90</v>
      </c>
      <c r="H15" s="90" t="s">
        <v>115</v>
      </c>
      <c r="I15" s="91"/>
      <c r="J15" s="91"/>
      <c r="K15" s="91"/>
      <c r="L15" s="91"/>
      <c r="M15" s="91"/>
    </row>
    <row r="16">
      <c r="A16" s="86">
        <v>15.0</v>
      </c>
      <c r="B16" s="87" t="s">
        <v>127</v>
      </c>
      <c r="C16" s="88" t="s">
        <v>128</v>
      </c>
      <c r="D16" s="89">
        <f t="shared" si="1"/>
        <v>1</v>
      </c>
      <c r="E16" s="90" t="s">
        <v>129</v>
      </c>
      <c r="F16" s="90"/>
      <c r="G16" s="90"/>
      <c r="H16" s="91"/>
      <c r="I16" s="91"/>
      <c r="J16" s="91"/>
      <c r="K16" s="91"/>
      <c r="L16" s="91"/>
      <c r="M16" s="91"/>
    </row>
    <row r="17">
      <c r="A17" s="86">
        <v>16.0</v>
      </c>
      <c r="B17" s="87" t="s">
        <v>130</v>
      </c>
      <c r="C17" s="88" t="s">
        <v>131</v>
      </c>
      <c r="D17" s="89">
        <f t="shared" si="1"/>
        <v>1</v>
      </c>
      <c r="E17" s="90" t="s">
        <v>129</v>
      </c>
      <c r="F17" s="90"/>
      <c r="G17" s="90"/>
      <c r="H17" s="91"/>
      <c r="I17" s="91"/>
      <c r="J17" s="91"/>
      <c r="K17" s="91"/>
      <c r="L17" s="91"/>
      <c r="M17" s="91"/>
    </row>
    <row r="18">
      <c r="A18" s="86">
        <v>17.0</v>
      </c>
      <c r="B18" s="92" t="s">
        <v>132</v>
      </c>
      <c r="C18" s="88" t="s">
        <v>133</v>
      </c>
      <c r="D18" s="89">
        <f t="shared" si="1"/>
        <v>1</v>
      </c>
      <c r="E18" s="90" t="s">
        <v>134</v>
      </c>
      <c r="F18" s="90"/>
      <c r="G18" s="91"/>
      <c r="H18" s="91"/>
      <c r="I18" s="91"/>
      <c r="J18" s="91"/>
      <c r="K18" s="91"/>
      <c r="L18" s="91"/>
      <c r="M18" s="91"/>
    </row>
    <row r="19">
      <c r="A19" s="86">
        <v>18.0</v>
      </c>
      <c r="B19" s="87" t="s">
        <v>135</v>
      </c>
      <c r="C19" s="88" t="s">
        <v>136</v>
      </c>
      <c r="D19" s="89">
        <f t="shared" si="1"/>
        <v>1</v>
      </c>
      <c r="E19" s="90" t="s">
        <v>88</v>
      </c>
      <c r="F19" s="90" t="s">
        <v>97</v>
      </c>
      <c r="G19" s="91"/>
      <c r="H19" s="91"/>
      <c r="I19" s="91"/>
      <c r="J19" s="91"/>
      <c r="K19" s="91"/>
      <c r="L19" s="91"/>
      <c r="M19" s="91"/>
    </row>
    <row r="20">
      <c r="A20" s="86">
        <v>19.0</v>
      </c>
      <c r="B20" s="87" t="s">
        <v>137</v>
      </c>
      <c r="C20" s="88" t="s">
        <v>138</v>
      </c>
      <c r="D20" s="89">
        <f t="shared" si="1"/>
        <v>1</v>
      </c>
      <c r="E20" s="90" t="s">
        <v>88</v>
      </c>
      <c r="F20" s="90" t="s">
        <v>97</v>
      </c>
      <c r="G20" s="91"/>
      <c r="H20" s="91"/>
      <c r="I20" s="91"/>
      <c r="J20" s="91"/>
      <c r="K20" s="91"/>
      <c r="L20" s="91"/>
      <c r="M20" s="91"/>
    </row>
    <row r="21">
      <c r="A21" s="86">
        <v>20.0</v>
      </c>
      <c r="B21" s="87" t="s">
        <v>139</v>
      </c>
      <c r="C21" s="88" t="s">
        <v>140</v>
      </c>
      <c r="D21" s="89">
        <f t="shared" si="1"/>
        <v>1</v>
      </c>
      <c r="E21" s="90" t="s">
        <v>105</v>
      </c>
      <c r="F21" s="90" t="s">
        <v>97</v>
      </c>
      <c r="G21" s="90"/>
      <c r="H21" s="90"/>
      <c r="I21" s="91"/>
      <c r="J21" s="91"/>
      <c r="K21" s="91"/>
      <c r="L21" s="91"/>
      <c r="M21" s="91"/>
    </row>
    <row r="22">
      <c r="A22" s="86">
        <v>21.0</v>
      </c>
      <c r="B22" s="87" t="s">
        <v>141</v>
      </c>
      <c r="C22" s="88" t="s">
        <v>142</v>
      </c>
      <c r="D22" s="89">
        <f t="shared" si="1"/>
        <v>1</v>
      </c>
      <c r="E22" s="90" t="s">
        <v>92</v>
      </c>
      <c r="F22" s="90"/>
      <c r="G22" s="90"/>
      <c r="H22" s="91"/>
      <c r="I22" s="91"/>
      <c r="J22" s="91"/>
      <c r="K22" s="91"/>
      <c r="L22" s="91"/>
      <c r="M22" s="91"/>
    </row>
    <row r="23">
      <c r="A23" s="86">
        <v>22.0</v>
      </c>
      <c r="B23" s="87" t="s">
        <v>143</v>
      </c>
      <c r="C23" s="88" t="s">
        <v>144</v>
      </c>
      <c r="D23" s="89">
        <f t="shared" si="1"/>
        <v>1</v>
      </c>
      <c r="E23" s="90" t="s">
        <v>105</v>
      </c>
      <c r="F23" s="90" t="s">
        <v>97</v>
      </c>
      <c r="G23" s="91"/>
      <c r="H23" s="91"/>
      <c r="I23" s="91"/>
      <c r="J23" s="91"/>
      <c r="K23" s="91"/>
      <c r="L23" s="91"/>
      <c r="M23" s="91"/>
    </row>
    <row r="24">
      <c r="A24" s="86">
        <v>23.0</v>
      </c>
      <c r="B24" s="87" t="s">
        <v>145</v>
      </c>
      <c r="C24" s="88" t="s">
        <v>146</v>
      </c>
      <c r="D24" s="89">
        <f t="shared" si="1"/>
        <v>1</v>
      </c>
      <c r="E24" s="90" t="s">
        <v>90</v>
      </c>
      <c r="F24" s="91"/>
      <c r="G24" s="91"/>
      <c r="H24" s="91"/>
      <c r="I24" s="91"/>
      <c r="J24" s="91"/>
      <c r="K24" s="91"/>
      <c r="L24" s="91"/>
      <c r="M24" s="91"/>
    </row>
    <row r="25">
      <c r="A25" s="86">
        <v>24.0</v>
      </c>
      <c r="B25" s="87" t="s">
        <v>147</v>
      </c>
      <c r="C25" s="88" t="s">
        <v>148</v>
      </c>
      <c r="D25" s="89">
        <f t="shared" si="1"/>
        <v>1</v>
      </c>
      <c r="E25" s="90" t="s">
        <v>115</v>
      </c>
      <c r="F25" s="91"/>
      <c r="G25" s="91"/>
      <c r="H25" s="91"/>
      <c r="I25" s="91"/>
      <c r="J25" s="91"/>
      <c r="K25" s="91"/>
      <c r="L25" s="91"/>
      <c r="M25" s="91"/>
    </row>
    <row r="26">
      <c r="A26" s="86">
        <v>25.0</v>
      </c>
      <c r="B26" s="87" t="s">
        <v>149</v>
      </c>
      <c r="C26" s="88" t="s">
        <v>150</v>
      </c>
      <c r="D26" s="89">
        <f t="shared" si="1"/>
        <v>1</v>
      </c>
      <c r="E26" s="90"/>
      <c r="F26" s="91"/>
      <c r="G26" s="91"/>
      <c r="H26" s="91"/>
      <c r="I26" s="91"/>
      <c r="J26" s="91"/>
      <c r="K26" s="91"/>
      <c r="L26" s="91"/>
      <c r="M26" s="91"/>
    </row>
    <row r="27">
      <c r="A27" s="86">
        <v>26.0</v>
      </c>
      <c r="B27" s="87" t="s">
        <v>151</v>
      </c>
      <c r="C27" s="88" t="s">
        <v>152</v>
      </c>
      <c r="D27" s="89">
        <f t="shared" si="1"/>
        <v>1</v>
      </c>
      <c r="E27" s="90" t="s">
        <v>105</v>
      </c>
      <c r="F27" s="90" t="s">
        <v>97</v>
      </c>
      <c r="G27" s="91"/>
      <c r="H27" s="91"/>
      <c r="I27" s="91"/>
      <c r="J27" s="91"/>
      <c r="K27" s="91"/>
      <c r="L27" s="91"/>
      <c r="M27" s="91"/>
    </row>
    <row r="28">
      <c r="A28" s="86">
        <v>27.0</v>
      </c>
      <c r="B28" s="87" t="s">
        <v>153</v>
      </c>
      <c r="C28" s="88" t="s">
        <v>154</v>
      </c>
      <c r="D28" s="89">
        <f t="shared" si="1"/>
        <v>1</v>
      </c>
      <c r="E28" s="90" t="s">
        <v>97</v>
      </c>
      <c r="F28" s="90" t="s">
        <v>129</v>
      </c>
      <c r="G28" s="90" t="s">
        <v>114</v>
      </c>
      <c r="H28" s="90" t="s">
        <v>114</v>
      </c>
      <c r="I28" s="90"/>
      <c r="J28" s="91"/>
      <c r="K28" s="91"/>
      <c r="L28" s="91"/>
      <c r="M28" s="91"/>
    </row>
    <row r="29">
      <c r="A29" s="86">
        <v>28.0</v>
      </c>
      <c r="B29" s="87" t="s">
        <v>155</v>
      </c>
      <c r="C29" s="88" t="s">
        <v>156</v>
      </c>
      <c r="D29" s="89">
        <f t="shared" si="1"/>
        <v>1</v>
      </c>
      <c r="E29" s="90" t="s">
        <v>97</v>
      </c>
      <c r="F29" s="90" t="s">
        <v>129</v>
      </c>
      <c r="G29" s="90" t="s">
        <v>114</v>
      </c>
      <c r="H29" s="90"/>
      <c r="I29" s="91"/>
      <c r="J29" s="91"/>
      <c r="K29" s="91"/>
      <c r="L29" s="91"/>
      <c r="M29" s="91"/>
    </row>
    <row r="30">
      <c r="A30" s="86">
        <v>29.0</v>
      </c>
      <c r="B30" s="87" t="s">
        <v>157</v>
      </c>
      <c r="C30" s="88" t="s">
        <v>158</v>
      </c>
      <c r="D30" s="89">
        <f t="shared" si="1"/>
        <v>1</v>
      </c>
      <c r="E30" s="90" t="s">
        <v>97</v>
      </c>
      <c r="F30" s="90" t="s">
        <v>159</v>
      </c>
      <c r="G30" s="90" t="s">
        <v>160</v>
      </c>
      <c r="H30" s="90" t="s">
        <v>129</v>
      </c>
      <c r="I30" s="90" t="s">
        <v>114</v>
      </c>
      <c r="J30" s="90" t="s">
        <v>114</v>
      </c>
      <c r="K30" s="91"/>
      <c r="L30" s="91"/>
      <c r="M30" s="91"/>
    </row>
    <row r="31">
      <c r="A31" s="86">
        <v>30.0</v>
      </c>
      <c r="B31" s="87" t="s">
        <v>161</v>
      </c>
      <c r="C31" s="88" t="s">
        <v>162</v>
      </c>
      <c r="D31" s="89">
        <f t="shared" si="1"/>
        <v>1</v>
      </c>
      <c r="E31" s="90" t="s">
        <v>97</v>
      </c>
      <c r="F31" s="90" t="s">
        <v>129</v>
      </c>
      <c r="G31" s="90" t="s">
        <v>114</v>
      </c>
      <c r="H31" s="90" t="s">
        <v>88</v>
      </c>
      <c r="I31" s="90" t="s">
        <v>87</v>
      </c>
      <c r="J31" s="90" t="s">
        <v>159</v>
      </c>
      <c r="K31" s="90" t="s">
        <v>90</v>
      </c>
      <c r="L31" s="90" t="s">
        <v>115</v>
      </c>
    </row>
    <row r="32">
      <c r="A32" s="86">
        <v>31.0</v>
      </c>
      <c r="B32" s="87" t="s">
        <v>163</v>
      </c>
      <c r="C32" s="88" t="s">
        <v>164</v>
      </c>
      <c r="D32" s="89">
        <f t="shared" si="1"/>
        <v>1</v>
      </c>
      <c r="E32" s="90" t="s">
        <v>97</v>
      </c>
      <c r="F32" s="90" t="s">
        <v>95</v>
      </c>
      <c r="G32" s="90" t="s">
        <v>96</v>
      </c>
      <c r="H32" s="90" t="s">
        <v>88</v>
      </c>
      <c r="I32" s="90" t="s">
        <v>87</v>
      </c>
      <c r="J32" s="90" t="s">
        <v>114</v>
      </c>
      <c r="K32" s="91"/>
      <c r="L32" s="91"/>
      <c r="M32" s="91"/>
    </row>
    <row r="33">
      <c r="A33" s="86">
        <v>32.0</v>
      </c>
      <c r="B33" s="87" t="s">
        <v>165</v>
      </c>
      <c r="C33" s="88" t="s">
        <v>166</v>
      </c>
      <c r="D33" s="89">
        <f t="shared" si="1"/>
        <v>1</v>
      </c>
      <c r="E33" s="90" t="s">
        <v>97</v>
      </c>
      <c r="F33" s="90" t="s">
        <v>129</v>
      </c>
      <c r="G33" s="90" t="s">
        <v>114</v>
      </c>
      <c r="H33" s="90" t="s">
        <v>86</v>
      </c>
      <c r="I33" s="90" t="s">
        <v>87</v>
      </c>
      <c r="J33" s="90" t="s">
        <v>88</v>
      </c>
      <c r="K33" s="90" t="s">
        <v>89</v>
      </c>
      <c r="L33" s="90"/>
    </row>
    <row r="34">
      <c r="A34" s="86">
        <v>33.0</v>
      </c>
      <c r="B34" s="87" t="s">
        <v>167</v>
      </c>
      <c r="C34" s="88" t="s">
        <v>168</v>
      </c>
      <c r="D34" s="89">
        <f t="shared" si="1"/>
        <v>1</v>
      </c>
      <c r="E34" s="90" t="s">
        <v>97</v>
      </c>
      <c r="F34" s="90" t="s">
        <v>129</v>
      </c>
      <c r="G34" s="90" t="s">
        <v>114</v>
      </c>
      <c r="H34" s="90" t="s">
        <v>88</v>
      </c>
      <c r="I34" s="90" t="s">
        <v>87</v>
      </c>
      <c r="J34" s="90" t="s">
        <v>159</v>
      </c>
      <c r="K34" s="90" t="s">
        <v>90</v>
      </c>
      <c r="L34" s="90" t="s">
        <v>115</v>
      </c>
    </row>
    <row r="35">
      <c r="A35" s="86">
        <v>34.0</v>
      </c>
      <c r="B35" s="87" t="s">
        <v>169</v>
      </c>
      <c r="C35" s="88" t="s">
        <v>170</v>
      </c>
      <c r="D35" s="89">
        <f t="shared" si="1"/>
        <v>1</v>
      </c>
      <c r="E35" s="90"/>
      <c r="F35" s="91"/>
      <c r="G35" s="91"/>
      <c r="H35" s="90"/>
      <c r="I35" s="90"/>
      <c r="J35" s="90"/>
      <c r="K35" s="90"/>
      <c r="L35" s="91"/>
      <c r="M35" s="91"/>
    </row>
    <row r="36">
      <c r="A36" s="86">
        <v>35.0</v>
      </c>
      <c r="B36" s="87" t="s">
        <v>171</v>
      </c>
      <c r="C36" s="88" t="s">
        <v>172</v>
      </c>
      <c r="D36" s="89">
        <f t="shared" si="1"/>
        <v>1</v>
      </c>
      <c r="E36" s="90"/>
      <c r="F36" s="91"/>
      <c r="G36" s="91"/>
      <c r="H36" s="91"/>
      <c r="I36" s="91"/>
      <c r="J36" s="91"/>
      <c r="K36" s="91"/>
      <c r="L36" s="91"/>
      <c r="M36" s="91"/>
    </row>
  </sheetData>
  <mergeCells count="2">
    <mergeCell ref="C1:D1"/>
    <mergeCell ref="E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2.5"/>
    <col customWidth="1" min="3" max="3" width="5.75"/>
  </cols>
  <sheetData>
    <row r="1">
      <c r="A1" s="93" t="s">
        <v>80</v>
      </c>
      <c r="B1" s="94" t="s">
        <v>173</v>
      </c>
      <c r="C1" s="95" t="s">
        <v>82</v>
      </c>
    </row>
    <row r="2">
      <c r="A2" s="96">
        <v>1.0</v>
      </c>
      <c r="B2" s="97" t="s">
        <v>92</v>
      </c>
      <c r="C2" s="98" t="s">
        <v>174</v>
      </c>
    </row>
    <row r="3">
      <c r="A3" s="96">
        <v>2.0</v>
      </c>
      <c r="B3" s="97" t="s">
        <v>134</v>
      </c>
      <c r="C3" s="98" t="s">
        <v>175</v>
      </c>
    </row>
    <row r="4">
      <c r="A4" s="96">
        <v>3.0</v>
      </c>
      <c r="B4" s="97" t="s">
        <v>129</v>
      </c>
      <c r="C4" s="98" t="s">
        <v>176</v>
      </c>
    </row>
    <row r="5">
      <c r="A5" s="96">
        <v>4.0</v>
      </c>
      <c r="B5" s="97" t="s">
        <v>88</v>
      </c>
      <c r="C5" s="98" t="s">
        <v>177</v>
      </c>
    </row>
    <row r="6">
      <c r="A6" s="96">
        <v>5.0</v>
      </c>
      <c r="B6" s="97" t="s">
        <v>87</v>
      </c>
      <c r="C6" s="98" t="s">
        <v>178</v>
      </c>
    </row>
    <row r="7">
      <c r="A7" s="96">
        <v>6.0</v>
      </c>
      <c r="B7" s="97" t="s">
        <v>90</v>
      </c>
      <c r="C7" s="98" t="s">
        <v>179</v>
      </c>
    </row>
    <row r="8">
      <c r="A8" s="96">
        <v>7.0</v>
      </c>
      <c r="B8" s="97" t="s">
        <v>91</v>
      </c>
      <c r="C8" s="98" t="s">
        <v>180</v>
      </c>
    </row>
    <row r="9">
      <c r="A9" s="96">
        <v>8.0</v>
      </c>
      <c r="B9" s="97" t="s">
        <v>115</v>
      </c>
      <c r="C9" s="98" t="s">
        <v>181</v>
      </c>
    </row>
    <row r="10">
      <c r="A10" s="96">
        <v>9.0</v>
      </c>
      <c r="B10" s="97" t="s">
        <v>86</v>
      </c>
      <c r="C10" s="98" t="s">
        <v>182</v>
      </c>
    </row>
    <row r="11">
      <c r="A11" s="96">
        <v>10.0</v>
      </c>
      <c r="B11" s="97" t="s">
        <v>95</v>
      </c>
      <c r="C11" s="98" t="s">
        <v>183</v>
      </c>
    </row>
    <row r="12">
      <c r="A12" s="96">
        <v>11.0</v>
      </c>
      <c r="B12" s="97" t="s">
        <v>96</v>
      </c>
      <c r="C12" s="98" t="s">
        <v>184</v>
      </c>
    </row>
    <row r="13">
      <c r="A13" s="96">
        <v>12.0</v>
      </c>
      <c r="B13" s="97" t="s">
        <v>102</v>
      </c>
      <c r="C13" s="98" t="s">
        <v>185</v>
      </c>
    </row>
    <row r="14">
      <c r="A14" s="96">
        <v>13.0</v>
      </c>
      <c r="B14" s="97" t="s">
        <v>105</v>
      </c>
      <c r="C14" s="98" t="s">
        <v>186</v>
      </c>
    </row>
    <row r="15">
      <c r="A15" s="96">
        <v>14.0</v>
      </c>
      <c r="B15" s="97" t="s">
        <v>97</v>
      </c>
      <c r="C15" s="98" t="s">
        <v>187</v>
      </c>
    </row>
    <row r="16">
      <c r="A16" s="96">
        <v>15.0</v>
      </c>
      <c r="B16" s="97" t="s">
        <v>159</v>
      </c>
      <c r="C16" s="98" t="s">
        <v>188</v>
      </c>
    </row>
    <row r="17">
      <c r="A17" s="96">
        <v>16.0</v>
      </c>
      <c r="B17" s="97" t="s">
        <v>160</v>
      </c>
      <c r="C17" s="98" t="s">
        <v>189</v>
      </c>
    </row>
    <row r="18">
      <c r="A18" s="96">
        <v>17.0</v>
      </c>
      <c r="B18" s="97" t="s">
        <v>114</v>
      </c>
      <c r="C18" s="98" t="s">
        <v>190</v>
      </c>
    </row>
    <row r="19">
      <c r="A19" s="96">
        <v>18.0</v>
      </c>
      <c r="B19" s="97" t="s">
        <v>118</v>
      </c>
      <c r="C19" s="98" t="s">
        <v>191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23.38"/>
    <col customWidth="1" min="3" max="3" width="4.88"/>
    <col customWidth="1" min="4" max="4" width="2.88"/>
    <col customWidth="1" min="5" max="5" width="24.38"/>
    <col customWidth="1" min="6" max="13" width="3.75"/>
    <col customWidth="1" min="14" max="14" width="2.88"/>
  </cols>
  <sheetData>
    <row r="1">
      <c r="A1" s="80" t="s">
        <v>80</v>
      </c>
      <c r="B1" s="81" t="s">
        <v>81</v>
      </c>
      <c r="C1" s="82" t="s">
        <v>82</v>
      </c>
      <c r="D1" s="83"/>
      <c r="E1" s="99" t="s">
        <v>192</v>
      </c>
      <c r="F1" s="84" t="s">
        <v>193</v>
      </c>
      <c r="G1" s="85"/>
      <c r="H1" s="85"/>
      <c r="I1" s="85"/>
      <c r="J1" s="85"/>
      <c r="K1" s="85"/>
      <c r="L1" s="85"/>
      <c r="M1" s="85"/>
      <c r="N1" s="83"/>
    </row>
    <row r="2">
      <c r="A2" s="86">
        <v>1.0</v>
      </c>
      <c r="B2" s="87" t="s">
        <v>84</v>
      </c>
      <c r="C2" s="88" t="s">
        <v>85</v>
      </c>
      <c r="D2" s="89">
        <f t="shared" ref="D2:D36" si="1">COUNTIF(C2,$C$2:$C$36)</f>
        <v>1</v>
      </c>
      <c r="E2" s="90" t="str">
        <f t="shared" ref="E2:E36" si="2">TEXTJOIN(",",TRUE,F2:N2)</f>
        <v>T9,T5,T4,T17,T6,T7,T1</v>
      </c>
      <c r="F2" s="90" t="str">
        <f t="array" ref="F2">IF('Tests 1'!E2="","",INDEX('Tests 2'!$C$2:$C$19,MATCH('Tests 1'!E2,'Tests 2'!$B$2:$B$19,0)))</f>
        <v>T9</v>
      </c>
      <c r="G2" s="90" t="str">
        <f t="array" ref="G2">IF('Tests 1'!F2="","",INDEX('Tests 2'!$C$2:$C$19,MATCH('Tests 1'!F2,'Tests 2'!$B$2:$B$19,0)))</f>
        <v>T5</v>
      </c>
      <c r="H2" s="90" t="str">
        <f t="array" ref="H2">IF('Tests 1'!G2="","",INDEX('Tests 2'!$C$2:$C$19,MATCH('Tests 1'!G2,'Tests 2'!$B$2:$B$19,0)))</f>
        <v>T4</v>
      </c>
      <c r="I2" s="90" t="str">
        <f t="array" ref="I2">IF('Tests 1'!H2="","",INDEX('Tests 2'!$C$2:$C$19,MATCH('Tests 1'!H2,'Tests 2'!$B$2:$B$19,0)))</f>
        <v>T17</v>
      </c>
      <c r="J2" s="90" t="str">
        <f t="array" ref="J2">IF('Tests 1'!I2="","",INDEX('Tests 2'!$C$2:$C$19,MATCH('Tests 1'!I2,'Tests 2'!$B$2:$B$19,0)))</f>
        <v>T6</v>
      </c>
      <c r="K2" s="90" t="str">
        <f t="array" ref="K2">IF('Tests 1'!J2="","",INDEX('Tests 2'!$C$2:$C$19,MATCH('Tests 1'!J2,'Tests 2'!$B$2:$B$19,0)))</f>
        <v>T7</v>
      </c>
      <c r="L2" s="90" t="str">
        <f t="array" ref="L2">IF('Tests 1'!K2="","",INDEX('Tests 2'!$C$2:$C$19,MATCH('Tests 1'!K2,'Tests 2'!$B$2:$B$19,0)))</f>
        <v>T1</v>
      </c>
      <c r="M2" s="90" t="str">
        <f t="array" ref="M2">IF('Tests 1'!L2="","",INDEX('Tests 2'!$C$2:$C$19,MATCH('Tests 1'!L2,'Tests 2'!$B$2:$B$19,0)))</f>
        <v/>
      </c>
      <c r="N2" s="90" t="str">
        <f t="array" ref="N2">IF('Tests 1'!M2="","",INDEX('Tests 2'!$C$2:$C$19,MATCH('Tests 1'!M2,'Tests 2'!$B$2:$B$19,0)))</f>
        <v/>
      </c>
    </row>
    <row r="3">
      <c r="A3" s="86">
        <v>2.0</v>
      </c>
      <c r="B3" s="87" t="s">
        <v>93</v>
      </c>
      <c r="C3" s="88" t="s">
        <v>94</v>
      </c>
      <c r="D3" s="89">
        <f t="shared" si="1"/>
        <v>1</v>
      </c>
      <c r="E3" s="90" t="str">
        <f t="shared" si="2"/>
        <v>T10,T11,T5,T4,T14</v>
      </c>
      <c r="F3" s="90" t="str">
        <f t="array" ref="F3">IF('Tests 1'!E3="","",INDEX('Tests 2'!$C$2:$C$19,MATCH('Tests 1'!E3,'Tests 2'!$B$2:$B$19,0)))</f>
        <v>T10</v>
      </c>
      <c r="G3" s="90" t="str">
        <f t="array" ref="G3">IF('Tests 1'!F3="","",INDEX('Tests 2'!$C$2:$C$19,MATCH('Tests 1'!F3,'Tests 2'!$B$2:$B$19,0)))</f>
        <v>T11</v>
      </c>
      <c r="H3" s="90" t="str">
        <f t="array" ref="H3">IF('Tests 1'!G3="","",INDEX('Tests 2'!$C$2:$C$19,MATCH('Tests 1'!G3,'Tests 2'!$B$2:$B$19,0)))</f>
        <v>T5</v>
      </c>
      <c r="I3" s="90" t="str">
        <f t="array" ref="I3">IF('Tests 1'!H3="","",INDEX('Tests 2'!$C$2:$C$19,MATCH('Tests 1'!H3,'Tests 2'!$B$2:$B$19,0)))</f>
        <v>T4</v>
      </c>
      <c r="J3" s="90" t="str">
        <f t="array" ref="J3">IF('Tests 1'!I3="","",INDEX('Tests 2'!$C$2:$C$19,MATCH('Tests 1'!I3,'Tests 2'!$B$2:$B$19,0)))</f>
        <v>T14</v>
      </c>
      <c r="K3" s="90" t="str">
        <f t="array" ref="K3">IF('Tests 1'!J3="","",INDEX('Tests 2'!$C$2:$C$19,MATCH('Tests 1'!J3,'Tests 2'!$B$2:$B$19,0)))</f>
        <v/>
      </c>
      <c r="L3" s="90" t="str">
        <f t="array" ref="L3">IF('Tests 1'!K3="","",INDEX('Tests 2'!$C$2:$C$19,MATCH('Tests 1'!K3,'Tests 2'!$B$2:$B$19,0)))</f>
        <v/>
      </c>
      <c r="M3" s="90" t="str">
        <f t="array" ref="M3">IF('Tests 1'!L3="","",INDEX('Tests 2'!$C$2:$C$19,MATCH('Tests 1'!L3,'Tests 2'!$B$2:$B$19,0)))</f>
        <v/>
      </c>
      <c r="N3" s="90" t="str">
        <f t="array" ref="N3">IF('Tests 1'!M3="","",INDEX('Tests 2'!$C$2:$C$19,MATCH('Tests 1'!M3,'Tests 2'!$B$2:$B$19,0)))</f>
        <v/>
      </c>
    </row>
    <row r="4">
      <c r="A4" s="86">
        <v>3.0</v>
      </c>
      <c r="B4" s="87" t="s">
        <v>98</v>
      </c>
      <c r="C4" s="88" t="s">
        <v>99</v>
      </c>
      <c r="D4" s="89">
        <f t="shared" si="1"/>
        <v>1</v>
      </c>
      <c r="E4" s="90" t="str">
        <f t="shared" si="2"/>
        <v/>
      </c>
      <c r="F4" s="90" t="str">
        <f t="array" ref="F4">IF('Tests 1'!E4="","",INDEX('Tests 2'!$C$2:$C$19,MATCH('Tests 1'!E4,'Tests 2'!$B$2:$B$19,0)))</f>
        <v/>
      </c>
      <c r="G4" s="90" t="str">
        <f t="array" ref="G4">IF('Tests 1'!F4="","",INDEX('Tests 2'!$C$2:$C$19,MATCH('Tests 1'!F4,'Tests 2'!$B$2:$B$19,0)))</f>
        <v/>
      </c>
      <c r="H4" s="90" t="str">
        <f t="array" ref="H4">IF('Tests 1'!G4="","",INDEX('Tests 2'!$C$2:$C$19,MATCH('Tests 1'!G4,'Tests 2'!$B$2:$B$19,0)))</f>
        <v/>
      </c>
      <c r="I4" s="90" t="str">
        <f t="array" ref="I4">IF('Tests 1'!H4="","",INDEX('Tests 2'!$C$2:$C$19,MATCH('Tests 1'!H4,'Tests 2'!$B$2:$B$19,0)))</f>
        <v/>
      </c>
      <c r="J4" s="90" t="str">
        <f t="array" ref="J4">IF('Tests 1'!I4="","",INDEX('Tests 2'!$C$2:$C$19,MATCH('Tests 1'!I4,'Tests 2'!$B$2:$B$19,0)))</f>
        <v/>
      </c>
      <c r="K4" s="90" t="str">
        <f t="array" ref="K4">IF('Tests 1'!J4="","",INDEX('Tests 2'!$C$2:$C$19,MATCH('Tests 1'!J4,'Tests 2'!$B$2:$B$19,0)))</f>
        <v/>
      </c>
      <c r="L4" s="90" t="str">
        <f t="array" ref="L4">IF('Tests 1'!K4="","",INDEX('Tests 2'!$C$2:$C$19,MATCH('Tests 1'!K4,'Tests 2'!$B$2:$B$19,0)))</f>
        <v/>
      </c>
      <c r="M4" s="90" t="str">
        <f t="array" ref="M4">IF('Tests 1'!L4="","",INDEX('Tests 2'!$C$2:$C$19,MATCH('Tests 1'!L4,'Tests 2'!$B$2:$B$19,0)))</f>
        <v/>
      </c>
      <c r="N4" s="90" t="str">
        <f t="array" ref="N4">IF('Tests 1'!M4="","",INDEX('Tests 2'!$C$2:$C$19,MATCH('Tests 1'!M4,'Tests 2'!$B$2:$B$19,0)))</f>
        <v/>
      </c>
    </row>
    <row r="5">
      <c r="A5" s="86">
        <v>4.0</v>
      </c>
      <c r="B5" s="87" t="s">
        <v>100</v>
      </c>
      <c r="C5" s="88" t="s">
        <v>101</v>
      </c>
      <c r="D5" s="89">
        <f t="shared" si="1"/>
        <v>1</v>
      </c>
      <c r="E5" s="90" t="str">
        <f t="shared" si="2"/>
        <v>T12</v>
      </c>
      <c r="F5" s="90" t="str">
        <f t="array" ref="F5">IF('Tests 1'!E5="","",INDEX('Tests 2'!$C$2:$C$19,MATCH('Tests 1'!E5,'Tests 2'!$B$2:$B$19,0)))</f>
        <v>T12</v>
      </c>
      <c r="G5" s="90" t="str">
        <f t="array" ref="G5">IF('Tests 1'!F5="","",INDEX('Tests 2'!$C$2:$C$19,MATCH('Tests 1'!F5,'Tests 2'!$B$2:$B$19,0)))</f>
        <v/>
      </c>
      <c r="H5" s="90" t="str">
        <f t="array" ref="H5">IF('Tests 1'!G5="","",INDEX('Tests 2'!$C$2:$C$19,MATCH('Tests 1'!G5,'Tests 2'!$B$2:$B$19,0)))</f>
        <v/>
      </c>
      <c r="I5" s="90" t="str">
        <f t="array" ref="I5">IF('Tests 1'!H5="","",INDEX('Tests 2'!$C$2:$C$19,MATCH('Tests 1'!H5,'Tests 2'!$B$2:$B$19,0)))</f>
        <v/>
      </c>
      <c r="J5" s="90" t="str">
        <f t="array" ref="J5">IF('Tests 1'!I5="","",INDEX('Tests 2'!$C$2:$C$19,MATCH('Tests 1'!I5,'Tests 2'!$B$2:$B$19,0)))</f>
        <v/>
      </c>
      <c r="K5" s="90" t="str">
        <f t="array" ref="K5">IF('Tests 1'!J5="","",INDEX('Tests 2'!$C$2:$C$19,MATCH('Tests 1'!J5,'Tests 2'!$B$2:$B$19,0)))</f>
        <v/>
      </c>
      <c r="L5" s="90" t="str">
        <f t="array" ref="L5">IF('Tests 1'!K5="","",INDEX('Tests 2'!$C$2:$C$19,MATCH('Tests 1'!K5,'Tests 2'!$B$2:$B$19,0)))</f>
        <v/>
      </c>
      <c r="M5" s="90" t="str">
        <f t="array" ref="M5">IF('Tests 1'!L5="","",INDEX('Tests 2'!$C$2:$C$19,MATCH('Tests 1'!L5,'Tests 2'!$B$2:$B$19,0)))</f>
        <v/>
      </c>
      <c r="N5" s="90" t="str">
        <f t="array" ref="N5">IF('Tests 1'!M5="","",INDEX('Tests 2'!$C$2:$C$19,MATCH('Tests 1'!M5,'Tests 2'!$B$2:$B$19,0)))</f>
        <v/>
      </c>
    </row>
    <row r="6">
      <c r="A6" s="86">
        <v>5.0</v>
      </c>
      <c r="B6" s="87" t="s">
        <v>103</v>
      </c>
      <c r="C6" s="88" t="s">
        <v>104</v>
      </c>
      <c r="D6" s="89">
        <f t="shared" si="1"/>
        <v>1</v>
      </c>
      <c r="E6" s="90" t="str">
        <f t="shared" si="2"/>
        <v>T13,T14</v>
      </c>
      <c r="F6" s="90" t="str">
        <f t="array" ref="F6">IF('Tests 1'!E6="","",INDEX('Tests 2'!$C$2:$C$19,MATCH('Tests 1'!E6,'Tests 2'!$B$2:$B$19,0)))</f>
        <v>T13</v>
      </c>
      <c r="G6" s="90" t="str">
        <f t="array" ref="G6">IF('Tests 1'!F6="","",INDEX('Tests 2'!$C$2:$C$19,MATCH('Tests 1'!F6,'Tests 2'!$B$2:$B$19,0)))</f>
        <v>T14</v>
      </c>
      <c r="H6" s="90" t="str">
        <f t="array" ref="H6">IF('Tests 1'!G6="","",INDEX('Tests 2'!$C$2:$C$19,MATCH('Tests 1'!G6,'Tests 2'!$B$2:$B$19,0)))</f>
        <v/>
      </c>
      <c r="I6" s="90" t="str">
        <f t="array" ref="I6">IF('Tests 1'!H6="","",INDEX('Tests 2'!$C$2:$C$19,MATCH('Tests 1'!H6,'Tests 2'!$B$2:$B$19,0)))</f>
        <v/>
      </c>
      <c r="J6" s="90" t="str">
        <f t="array" ref="J6">IF('Tests 1'!I6="","",INDEX('Tests 2'!$C$2:$C$19,MATCH('Tests 1'!I6,'Tests 2'!$B$2:$B$19,0)))</f>
        <v/>
      </c>
      <c r="K6" s="90" t="str">
        <f t="array" ref="K6">IF('Tests 1'!J6="","",INDEX('Tests 2'!$C$2:$C$19,MATCH('Tests 1'!J6,'Tests 2'!$B$2:$B$19,0)))</f>
        <v/>
      </c>
      <c r="L6" s="90" t="str">
        <f t="array" ref="L6">IF('Tests 1'!K6="","",INDEX('Tests 2'!$C$2:$C$19,MATCH('Tests 1'!K6,'Tests 2'!$B$2:$B$19,0)))</f>
        <v/>
      </c>
      <c r="M6" s="90" t="str">
        <f t="array" ref="M6">IF('Tests 1'!L6="","",INDEX('Tests 2'!$C$2:$C$19,MATCH('Tests 1'!L6,'Tests 2'!$B$2:$B$19,0)))</f>
        <v/>
      </c>
      <c r="N6" s="90" t="str">
        <f t="array" ref="N6">IF('Tests 1'!M6="","",INDEX('Tests 2'!$C$2:$C$19,MATCH('Tests 1'!M6,'Tests 2'!$B$2:$B$19,0)))</f>
        <v/>
      </c>
    </row>
    <row r="7">
      <c r="A7" s="86">
        <v>6.0</v>
      </c>
      <c r="B7" s="92" t="s">
        <v>106</v>
      </c>
      <c r="C7" s="88" t="s">
        <v>107</v>
      </c>
      <c r="D7" s="89">
        <f t="shared" si="1"/>
        <v>1</v>
      </c>
      <c r="E7" s="90" t="str">
        <f t="shared" si="2"/>
        <v/>
      </c>
      <c r="F7" s="90" t="str">
        <f t="array" ref="F7">IF('Tests 1'!E7="","",INDEX('Tests 2'!$C$2:$C$19,MATCH('Tests 1'!E7,'Tests 2'!$B$2:$B$19,0)))</f>
        <v/>
      </c>
      <c r="G7" s="90" t="str">
        <f t="array" ref="G7">IF('Tests 1'!F7="","",INDEX('Tests 2'!$C$2:$C$19,MATCH('Tests 1'!F7,'Tests 2'!$B$2:$B$19,0)))</f>
        <v/>
      </c>
      <c r="H7" s="90" t="str">
        <f t="array" ref="H7">IF('Tests 1'!G7="","",INDEX('Tests 2'!$C$2:$C$19,MATCH('Tests 1'!G7,'Tests 2'!$B$2:$B$19,0)))</f>
        <v/>
      </c>
      <c r="I7" s="90" t="str">
        <f t="array" ref="I7">IF('Tests 1'!H7="","",INDEX('Tests 2'!$C$2:$C$19,MATCH('Tests 1'!H7,'Tests 2'!$B$2:$B$19,0)))</f>
        <v/>
      </c>
      <c r="J7" s="90" t="str">
        <f t="array" ref="J7">IF('Tests 1'!I7="","",INDEX('Tests 2'!$C$2:$C$19,MATCH('Tests 1'!I7,'Tests 2'!$B$2:$B$19,0)))</f>
        <v/>
      </c>
      <c r="K7" s="90" t="str">
        <f t="array" ref="K7">IF('Tests 1'!J7="","",INDEX('Tests 2'!$C$2:$C$19,MATCH('Tests 1'!J7,'Tests 2'!$B$2:$B$19,0)))</f>
        <v/>
      </c>
      <c r="L7" s="90" t="str">
        <f t="array" ref="L7">IF('Tests 1'!K7="","",INDEX('Tests 2'!$C$2:$C$19,MATCH('Tests 1'!K7,'Tests 2'!$B$2:$B$19,0)))</f>
        <v/>
      </c>
      <c r="M7" s="90" t="str">
        <f t="array" ref="M7">IF('Tests 1'!L7="","",INDEX('Tests 2'!$C$2:$C$19,MATCH('Tests 1'!L7,'Tests 2'!$B$2:$B$19,0)))</f>
        <v/>
      </c>
      <c r="N7" s="90" t="str">
        <f t="array" ref="N7">IF('Tests 1'!M7="","",INDEX('Tests 2'!$C$2:$C$19,MATCH('Tests 1'!M7,'Tests 2'!$B$2:$B$19,0)))</f>
        <v/>
      </c>
    </row>
    <row r="8">
      <c r="A8" s="86">
        <v>7.0</v>
      </c>
      <c r="B8" s="87" t="s">
        <v>108</v>
      </c>
      <c r="C8" s="88" t="s">
        <v>109</v>
      </c>
      <c r="D8" s="89">
        <f t="shared" si="1"/>
        <v>1</v>
      </c>
      <c r="E8" s="90" t="str">
        <f t="shared" si="2"/>
        <v>T17,T14</v>
      </c>
      <c r="F8" s="90" t="str">
        <f t="array" ref="F8">IF('Tests 1'!E8="","",INDEX('Tests 2'!$C$2:$C$19,MATCH('Tests 1'!E8,'Tests 2'!$B$2:$B$19,0)))</f>
        <v>T17</v>
      </c>
      <c r="G8" s="90" t="str">
        <f t="array" ref="G8">IF('Tests 1'!F8="","",INDEX('Tests 2'!$C$2:$C$19,MATCH('Tests 1'!F8,'Tests 2'!$B$2:$B$19,0)))</f>
        <v>T14</v>
      </c>
      <c r="H8" s="90" t="str">
        <f t="array" ref="H8">IF('Tests 1'!G8="","",INDEX('Tests 2'!$C$2:$C$19,MATCH('Tests 1'!G8,'Tests 2'!$B$2:$B$19,0)))</f>
        <v/>
      </c>
      <c r="I8" s="90" t="str">
        <f t="array" ref="I8">IF('Tests 1'!H8="","",INDEX('Tests 2'!$C$2:$C$19,MATCH('Tests 1'!H8,'Tests 2'!$B$2:$B$19,0)))</f>
        <v/>
      </c>
      <c r="J8" s="90" t="str">
        <f t="array" ref="J8">IF('Tests 1'!I8="","",INDEX('Tests 2'!$C$2:$C$19,MATCH('Tests 1'!I8,'Tests 2'!$B$2:$B$19,0)))</f>
        <v/>
      </c>
      <c r="K8" s="90" t="str">
        <f t="array" ref="K8">IF('Tests 1'!J8="","",INDEX('Tests 2'!$C$2:$C$19,MATCH('Tests 1'!J8,'Tests 2'!$B$2:$B$19,0)))</f>
        <v/>
      </c>
      <c r="L8" s="90" t="str">
        <f t="array" ref="L8">IF('Tests 1'!K8="","",INDEX('Tests 2'!$C$2:$C$19,MATCH('Tests 1'!K8,'Tests 2'!$B$2:$B$19,0)))</f>
        <v/>
      </c>
      <c r="M8" s="90" t="str">
        <f t="array" ref="M8">IF('Tests 1'!L8="","",INDEX('Tests 2'!$C$2:$C$19,MATCH('Tests 1'!L8,'Tests 2'!$B$2:$B$19,0)))</f>
        <v/>
      </c>
      <c r="N8" s="90" t="str">
        <f t="array" ref="N8">IF('Tests 1'!M8="","",INDEX('Tests 2'!$C$2:$C$19,MATCH('Tests 1'!M8,'Tests 2'!$B$2:$B$19,0)))</f>
        <v/>
      </c>
    </row>
    <row r="9">
      <c r="A9" s="86">
        <v>8.0</v>
      </c>
      <c r="B9" s="87" t="s">
        <v>110</v>
      </c>
      <c r="C9" s="88" t="s">
        <v>111</v>
      </c>
      <c r="D9" s="89">
        <f t="shared" si="1"/>
        <v>1</v>
      </c>
      <c r="E9" s="90" t="str">
        <f t="shared" si="2"/>
        <v>T17,T14</v>
      </c>
      <c r="F9" s="90" t="str">
        <f t="array" ref="F9">IF('Tests 1'!E9="","",INDEX('Tests 2'!$C$2:$C$19,MATCH('Tests 1'!E9,'Tests 2'!$B$2:$B$19,0)))</f>
        <v>T17</v>
      </c>
      <c r="G9" s="90" t="str">
        <f t="array" ref="G9">IF('Tests 1'!F9="","",INDEX('Tests 2'!$C$2:$C$19,MATCH('Tests 1'!F9,'Tests 2'!$B$2:$B$19,0)))</f>
        <v>T14</v>
      </c>
      <c r="H9" s="90" t="str">
        <f t="array" ref="H9">IF('Tests 1'!G9="","",INDEX('Tests 2'!$C$2:$C$19,MATCH('Tests 1'!G9,'Tests 2'!$B$2:$B$19,0)))</f>
        <v/>
      </c>
      <c r="I9" s="90" t="str">
        <f t="array" ref="I9">IF('Tests 1'!H9="","",INDEX('Tests 2'!$C$2:$C$19,MATCH('Tests 1'!H9,'Tests 2'!$B$2:$B$19,0)))</f>
        <v/>
      </c>
      <c r="J9" s="90" t="str">
        <f t="array" ref="J9">IF('Tests 1'!I9="","",INDEX('Tests 2'!$C$2:$C$19,MATCH('Tests 1'!I9,'Tests 2'!$B$2:$B$19,0)))</f>
        <v/>
      </c>
      <c r="K9" s="90" t="str">
        <f t="array" ref="K9">IF('Tests 1'!J9="","",INDEX('Tests 2'!$C$2:$C$19,MATCH('Tests 1'!J9,'Tests 2'!$B$2:$B$19,0)))</f>
        <v/>
      </c>
      <c r="L9" s="90" t="str">
        <f t="array" ref="L9">IF('Tests 1'!K9="","",INDEX('Tests 2'!$C$2:$C$19,MATCH('Tests 1'!K9,'Tests 2'!$B$2:$B$19,0)))</f>
        <v/>
      </c>
      <c r="M9" s="90" t="str">
        <f t="array" ref="M9">IF('Tests 1'!L9="","",INDEX('Tests 2'!$C$2:$C$19,MATCH('Tests 1'!L9,'Tests 2'!$B$2:$B$19,0)))</f>
        <v/>
      </c>
      <c r="N9" s="90" t="str">
        <f t="array" ref="N9">IF('Tests 1'!M9="","",INDEX('Tests 2'!$C$2:$C$19,MATCH('Tests 1'!M9,'Tests 2'!$B$2:$B$19,0)))</f>
        <v/>
      </c>
    </row>
    <row r="10">
      <c r="A10" s="86">
        <v>9.0</v>
      </c>
      <c r="B10" s="87" t="s">
        <v>112</v>
      </c>
      <c r="C10" s="88" t="s">
        <v>113</v>
      </c>
      <c r="D10" s="89">
        <f t="shared" si="1"/>
        <v>1</v>
      </c>
      <c r="E10" s="90" t="str">
        <f t="shared" si="2"/>
        <v>T17,T8</v>
      </c>
      <c r="F10" s="90" t="str">
        <f t="array" ref="F10">IF('Tests 1'!E10="","",INDEX('Tests 2'!$C$2:$C$19,MATCH('Tests 1'!E10,'Tests 2'!$B$2:$B$19,0)))</f>
        <v>T17</v>
      </c>
      <c r="G10" s="90" t="str">
        <f t="array" ref="G10">IF('Tests 1'!F10="","",INDEX('Tests 2'!$C$2:$C$19,MATCH('Tests 1'!F10,'Tests 2'!$B$2:$B$19,0)))</f>
        <v>T8</v>
      </c>
      <c r="H10" s="90" t="str">
        <f t="array" ref="H10">IF('Tests 1'!G10="","",INDEX('Tests 2'!$C$2:$C$19,MATCH('Tests 1'!G10,'Tests 2'!$B$2:$B$19,0)))</f>
        <v/>
      </c>
      <c r="I10" s="90" t="str">
        <f t="array" ref="I10">IF('Tests 1'!H10="","",INDEX('Tests 2'!$C$2:$C$19,MATCH('Tests 1'!H10,'Tests 2'!$B$2:$B$19,0)))</f>
        <v/>
      </c>
      <c r="J10" s="90" t="str">
        <f t="array" ref="J10">IF('Tests 1'!I10="","",INDEX('Tests 2'!$C$2:$C$19,MATCH('Tests 1'!I10,'Tests 2'!$B$2:$B$19,0)))</f>
        <v/>
      </c>
      <c r="K10" s="90" t="str">
        <f t="array" ref="K10">IF('Tests 1'!J10="","",INDEX('Tests 2'!$C$2:$C$19,MATCH('Tests 1'!J10,'Tests 2'!$B$2:$B$19,0)))</f>
        <v/>
      </c>
      <c r="L10" s="90" t="str">
        <f t="array" ref="L10">IF('Tests 1'!K10="","",INDEX('Tests 2'!$C$2:$C$19,MATCH('Tests 1'!K10,'Tests 2'!$B$2:$B$19,0)))</f>
        <v/>
      </c>
      <c r="M10" s="90" t="str">
        <f t="array" ref="M10">IF('Tests 1'!L10="","",INDEX('Tests 2'!$C$2:$C$19,MATCH('Tests 1'!L10,'Tests 2'!$B$2:$B$19,0)))</f>
        <v/>
      </c>
      <c r="N10" s="90" t="str">
        <f t="array" ref="N10">IF('Tests 1'!M10="","",INDEX('Tests 2'!$C$2:$C$19,MATCH('Tests 1'!M10,'Tests 2'!$B$2:$B$19,0)))</f>
        <v/>
      </c>
    </row>
    <row r="11">
      <c r="A11" s="86">
        <v>10.0</v>
      </c>
      <c r="B11" s="92" t="s">
        <v>116</v>
      </c>
      <c r="C11" s="88" t="s">
        <v>117</v>
      </c>
      <c r="D11" s="89">
        <f t="shared" si="1"/>
        <v>1</v>
      </c>
      <c r="E11" s="90" t="str">
        <f t="shared" si="2"/>
        <v>T18,T17</v>
      </c>
      <c r="F11" s="90" t="str">
        <f t="array" ref="F11">IF('Tests 1'!E11="","",INDEX('Tests 2'!$C$2:$C$19,MATCH('Tests 1'!E11,'Tests 2'!$B$2:$B$19,0)))</f>
        <v>T18</v>
      </c>
      <c r="G11" s="90" t="str">
        <f t="array" ref="G11">IF('Tests 1'!F11="","",INDEX('Tests 2'!$C$2:$C$19,MATCH('Tests 1'!F11,'Tests 2'!$B$2:$B$19,0)))</f>
        <v>T17</v>
      </c>
      <c r="H11" s="90" t="str">
        <f t="array" ref="H11">IF('Tests 1'!G11="","",INDEX('Tests 2'!$C$2:$C$19,MATCH('Tests 1'!G11,'Tests 2'!$B$2:$B$19,0)))</f>
        <v/>
      </c>
      <c r="I11" s="90" t="str">
        <f t="array" ref="I11">IF('Tests 1'!H11="","",INDEX('Tests 2'!$C$2:$C$19,MATCH('Tests 1'!H11,'Tests 2'!$B$2:$B$19,0)))</f>
        <v/>
      </c>
      <c r="J11" s="90" t="str">
        <f t="array" ref="J11">IF('Tests 1'!I11="","",INDEX('Tests 2'!$C$2:$C$19,MATCH('Tests 1'!I11,'Tests 2'!$B$2:$B$19,0)))</f>
        <v/>
      </c>
      <c r="K11" s="90" t="str">
        <f t="array" ref="K11">IF('Tests 1'!J11="","",INDEX('Tests 2'!$C$2:$C$19,MATCH('Tests 1'!J11,'Tests 2'!$B$2:$B$19,0)))</f>
        <v/>
      </c>
      <c r="L11" s="90" t="str">
        <f t="array" ref="L11">IF('Tests 1'!K11="","",INDEX('Tests 2'!$C$2:$C$19,MATCH('Tests 1'!K11,'Tests 2'!$B$2:$B$19,0)))</f>
        <v/>
      </c>
      <c r="M11" s="90" t="str">
        <f t="array" ref="M11">IF('Tests 1'!L11="","",INDEX('Tests 2'!$C$2:$C$19,MATCH('Tests 1'!L11,'Tests 2'!$B$2:$B$19,0)))</f>
        <v/>
      </c>
      <c r="N11" s="90" t="str">
        <f t="array" ref="N11">IF('Tests 1'!M11="","",INDEX('Tests 2'!$C$2:$C$19,MATCH('Tests 1'!M11,'Tests 2'!$B$2:$B$19,0)))</f>
        <v/>
      </c>
    </row>
    <row r="12">
      <c r="A12" s="86">
        <v>11.0</v>
      </c>
      <c r="B12" s="87" t="s">
        <v>119</v>
      </c>
      <c r="C12" s="88" t="s">
        <v>120</v>
      </c>
      <c r="D12" s="89">
        <f t="shared" si="1"/>
        <v>1</v>
      </c>
      <c r="E12" s="90" t="str">
        <f t="shared" si="2"/>
        <v>T18</v>
      </c>
      <c r="F12" s="90" t="str">
        <f t="array" ref="F12">IF('Tests 1'!E12="","",INDEX('Tests 2'!$C$2:$C$19,MATCH('Tests 1'!E12,'Tests 2'!$B$2:$B$19,0)))</f>
        <v>T18</v>
      </c>
      <c r="G12" s="90" t="str">
        <f t="array" ref="G12">IF('Tests 1'!F12="","",INDEX('Tests 2'!$C$2:$C$19,MATCH('Tests 1'!F12,'Tests 2'!$B$2:$B$19,0)))</f>
        <v/>
      </c>
      <c r="H12" s="90" t="str">
        <f t="array" ref="H12">IF('Tests 1'!G12="","",INDEX('Tests 2'!$C$2:$C$19,MATCH('Tests 1'!G12,'Tests 2'!$B$2:$B$19,0)))</f>
        <v/>
      </c>
      <c r="I12" s="90" t="str">
        <f t="array" ref="I12">IF('Tests 1'!H12="","",INDEX('Tests 2'!$C$2:$C$19,MATCH('Tests 1'!H12,'Tests 2'!$B$2:$B$19,0)))</f>
        <v/>
      </c>
      <c r="J12" s="90" t="str">
        <f t="array" ref="J12">IF('Tests 1'!I12="","",INDEX('Tests 2'!$C$2:$C$19,MATCH('Tests 1'!I12,'Tests 2'!$B$2:$B$19,0)))</f>
        <v/>
      </c>
      <c r="K12" s="90" t="str">
        <f t="array" ref="K12">IF('Tests 1'!J12="","",INDEX('Tests 2'!$C$2:$C$19,MATCH('Tests 1'!J12,'Tests 2'!$B$2:$B$19,0)))</f>
        <v/>
      </c>
      <c r="L12" s="90" t="str">
        <f t="array" ref="L12">IF('Tests 1'!K12="","",INDEX('Tests 2'!$C$2:$C$19,MATCH('Tests 1'!K12,'Tests 2'!$B$2:$B$19,0)))</f>
        <v/>
      </c>
      <c r="M12" s="90" t="str">
        <f t="array" ref="M12">IF('Tests 1'!L12="","",INDEX('Tests 2'!$C$2:$C$19,MATCH('Tests 1'!L12,'Tests 2'!$B$2:$B$19,0)))</f>
        <v/>
      </c>
      <c r="N12" s="90" t="str">
        <f t="array" ref="N12">IF('Tests 1'!M12="","",INDEX('Tests 2'!$C$2:$C$19,MATCH('Tests 1'!M12,'Tests 2'!$B$2:$B$19,0)))</f>
        <v/>
      </c>
    </row>
    <row r="13">
      <c r="A13" s="86">
        <v>12.0</v>
      </c>
      <c r="B13" s="87" t="s">
        <v>121</v>
      </c>
      <c r="C13" s="88" t="s">
        <v>122</v>
      </c>
      <c r="D13" s="89">
        <f t="shared" si="1"/>
        <v>1</v>
      </c>
      <c r="E13" s="90" t="str">
        <f t="shared" si="2"/>
        <v/>
      </c>
      <c r="F13" s="90" t="str">
        <f t="array" ref="F13">IF('Tests 1'!E13="","",INDEX('Tests 2'!$C$2:$C$19,MATCH('Tests 1'!E13,'Tests 2'!$B$2:$B$19,0)))</f>
        <v/>
      </c>
      <c r="G13" s="90" t="str">
        <f t="array" ref="G13">IF('Tests 1'!F13="","",INDEX('Tests 2'!$C$2:$C$19,MATCH('Tests 1'!F13,'Tests 2'!$B$2:$B$19,0)))</f>
        <v/>
      </c>
      <c r="H13" s="90" t="str">
        <f t="array" ref="H13">IF('Tests 1'!G13="","",INDEX('Tests 2'!$C$2:$C$19,MATCH('Tests 1'!G13,'Tests 2'!$B$2:$B$19,0)))</f>
        <v/>
      </c>
      <c r="I13" s="90" t="str">
        <f t="array" ref="I13">IF('Tests 1'!H13="","",INDEX('Tests 2'!$C$2:$C$19,MATCH('Tests 1'!H13,'Tests 2'!$B$2:$B$19,0)))</f>
        <v/>
      </c>
      <c r="J13" s="90" t="str">
        <f t="array" ref="J13">IF('Tests 1'!I13="","",INDEX('Tests 2'!$C$2:$C$19,MATCH('Tests 1'!I13,'Tests 2'!$B$2:$B$19,0)))</f>
        <v/>
      </c>
      <c r="K13" s="90" t="str">
        <f t="array" ref="K13">IF('Tests 1'!J13="","",INDEX('Tests 2'!$C$2:$C$19,MATCH('Tests 1'!J13,'Tests 2'!$B$2:$B$19,0)))</f>
        <v/>
      </c>
      <c r="L13" s="90" t="str">
        <f t="array" ref="L13">IF('Tests 1'!K13="","",INDEX('Tests 2'!$C$2:$C$19,MATCH('Tests 1'!K13,'Tests 2'!$B$2:$B$19,0)))</f>
        <v/>
      </c>
      <c r="M13" s="90" t="str">
        <f t="array" ref="M13">IF('Tests 1'!L13="","",INDEX('Tests 2'!$C$2:$C$19,MATCH('Tests 1'!L13,'Tests 2'!$B$2:$B$19,0)))</f>
        <v/>
      </c>
      <c r="N13" s="90" t="str">
        <f t="array" ref="N13">IF('Tests 1'!M13="","",INDEX('Tests 2'!$C$2:$C$19,MATCH('Tests 1'!M13,'Tests 2'!$B$2:$B$19,0)))</f>
        <v/>
      </c>
    </row>
    <row r="14">
      <c r="A14" s="86">
        <v>13.0</v>
      </c>
      <c r="B14" s="87" t="s">
        <v>123</v>
      </c>
      <c r="C14" s="88" t="s">
        <v>124</v>
      </c>
      <c r="D14" s="89">
        <f t="shared" si="1"/>
        <v>1</v>
      </c>
      <c r="E14" s="90" t="str">
        <f t="shared" si="2"/>
        <v>T13,T14</v>
      </c>
      <c r="F14" s="90" t="str">
        <f t="array" ref="F14">IF('Tests 1'!E14="","",INDEX('Tests 2'!$C$2:$C$19,MATCH('Tests 1'!E14,'Tests 2'!$B$2:$B$19,0)))</f>
        <v>T13</v>
      </c>
      <c r="G14" s="90" t="str">
        <f t="array" ref="G14">IF('Tests 1'!F14="","",INDEX('Tests 2'!$C$2:$C$19,MATCH('Tests 1'!F14,'Tests 2'!$B$2:$B$19,0)))</f>
        <v>T14</v>
      </c>
      <c r="H14" s="90" t="str">
        <f t="array" ref="H14">IF('Tests 1'!G14="","",INDEX('Tests 2'!$C$2:$C$19,MATCH('Tests 1'!G14,'Tests 2'!$B$2:$B$19,0)))</f>
        <v/>
      </c>
      <c r="I14" s="90" t="str">
        <f t="array" ref="I14">IF('Tests 1'!H14="","",INDEX('Tests 2'!$C$2:$C$19,MATCH('Tests 1'!H14,'Tests 2'!$B$2:$B$19,0)))</f>
        <v/>
      </c>
      <c r="J14" s="90" t="str">
        <f t="array" ref="J14">IF('Tests 1'!I14="","",INDEX('Tests 2'!$C$2:$C$19,MATCH('Tests 1'!I14,'Tests 2'!$B$2:$B$19,0)))</f>
        <v/>
      </c>
      <c r="K14" s="90" t="str">
        <f t="array" ref="K14">IF('Tests 1'!J14="","",INDEX('Tests 2'!$C$2:$C$19,MATCH('Tests 1'!J14,'Tests 2'!$B$2:$B$19,0)))</f>
        <v/>
      </c>
      <c r="L14" s="90" t="str">
        <f t="array" ref="L14">IF('Tests 1'!K14="","",INDEX('Tests 2'!$C$2:$C$19,MATCH('Tests 1'!K14,'Tests 2'!$B$2:$B$19,0)))</f>
        <v/>
      </c>
      <c r="M14" s="90" t="str">
        <f t="array" ref="M14">IF('Tests 1'!L14="","",INDEX('Tests 2'!$C$2:$C$19,MATCH('Tests 1'!L14,'Tests 2'!$B$2:$B$19,0)))</f>
        <v/>
      </c>
      <c r="N14" s="90" t="str">
        <f t="array" ref="N14">IF('Tests 1'!M14="","",INDEX('Tests 2'!$C$2:$C$19,MATCH('Tests 1'!M14,'Tests 2'!$B$2:$B$19,0)))</f>
        <v/>
      </c>
    </row>
    <row r="15">
      <c r="A15" s="86">
        <v>14.0</v>
      </c>
      <c r="B15" s="87" t="s">
        <v>125</v>
      </c>
      <c r="C15" s="88" t="s">
        <v>126</v>
      </c>
      <c r="D15" s="89">
        <f t="shared" si="1"/>
        <v>1</v>
      </c>
      <c r="E15" s="90" t="str">
        <f t="shared" si="2"/>
        <v>T13,T14,T6,T8</v>
      </c>
      <c r="F15" s="90" t="str">
        <f t="array" ref="F15">IF('Tests 1'!E15="","",INDEX('Tests 2'!$C$2:$C$19,MATCH('Tests 1'!E15,'Tests 2'!$B$2:$B$19,0)))</f>
        <v>T13</v>
      </c>
      <c r="G15" s="90" t="str">
        <f t="array" ref="G15">IF('Tests 1'!F15="","",INDEX('Tests 2'!$C$2:$C$19,MATCH('Tests 1'!F15,'Tests 2'!$B$2:$B$19,0)))</f>
        <v>T14</v>
      </c>
      <c r="H15" s="90" t="str">
        <f t="array" ref="H15">IF('Tests 1'!G15="","",INDEX('Tests 2'!$C$2:$C$19,MATCH('Tests 1'!G15,'Tests 2'!$B$2:$B$19,0)))</f>
        <v>T6</v>
      </c>
      <c r="I15" s="90" t="str">
        <f t="array" ref="I15">IF('Tests 1'!H15="","",INDEX('Tests 2'!$C$2:$C$19,MATCH('Tests 1'!H15,'Tests 2'!$B$2:$B$19,0)))</f>
        <v>T8</v>
      </c>
      <c r="J15" s="90" t="str">
        <f t="array" ref="J15">IF('Tests 1'!I15="","",INDEX('Tests 2'!$C$2:$C$19,MATCH('Tests 1'!I15,'Tests 2'!$B$2:$B$19,0)))</f>
        <v/>
      </c>
      <c r="K15" s="90" t="str">
        <f t="array" ref="K15">IF('Tests 1'!J15="","",INDEX('Tests 2'!$C$2:$C$19,MATCH('Tests 1'!J15,'Tests 2'!$B$2:$B$19,0)))</f>
        <v/>
      </c>
      <c r="L15" s="90" t="str">
        <f t="array" ref="L15">IF('Tests 1'!K15="","",INDEX('Tests 2'!$C$2:$C$19,MATCH('Tests 1'!K15,'Tests 2'!$B$2:$B$19,0)))</f>
        <v/>
      </c>
      <c r="M15" s="90" t="str">
        <f t="array" ref="M15">IF('Tests 1'!L15="","",INDEX('Tests 2'!$C$2:$C$19,MATCH('Tests 1'!L15,'Tests 2'!$B$2:$B$19,0)))</f>
        <v/>
      </c>
      <c r="N15" s="90" t="str">
        <f t="array" ref="N15">IF('Tests 1'!M15="","",INDEX('Tests 2'!$C$2:$C$19,MATCH('Tests 1'!M15,'Tests 2'!$B$2:$B$19,0)))</f>
        <v/>
      </c>
    </row>
    <row r="16">
      <c r="A16" s="86">
        <v>15.0</v>
      </c>
      <c r="B16" s="87" t="s">
        <v>127</v>
      </c>
      <c r="C16" s="88" t="s">
        <v>128</v>
      </c>
      <c r="D16" s="89">
        <f t="shared" si="1"/>
        <v>1</v>
      </c>
      <c r="E16" s="90" t="str">
        <f t="shared" si="2"/>
        <v>T3</v>
      </c>
      <c r="F16" s="90" t="str">
        <f t="array" ref="F16">IF('Tests 1'!E16="","",INDEX('Tests 2'!$C$2:$C$19,MATCH('Tests 1'!E16,'Tests 2'!$B$2:$B$19,0)))</f>
        <v>T3</v>
      </c>
      <c r="G16" s="90" t="str">
        <f t="array" ref="G16">IF('Tests 1'!F16="","",INDEX('Tests 2'!$C$2:$C$19,MATCH('Tests 1'!F16,'Tests 2'!$B$2:$B$19,0)))</f>
        <v/>
      </c>
      <c r="H16" s="90" t="str">
        <f t="array" ref="H16">IF('Tests 1'!G16="","",INDEX('Tests 2'!$C$2:$C$19,MATCH('Tests 1'!G16,'Tests 2'!$B$2:$B$19,0)))</f>
        <v/>
      </c>
      <c r="I16" s="90" t="str">
        <f t="array" ref="I16">IF('Tests 1'!H16="","",INDEX('Tests 2'!$C$2:$C$19,MATCH('Tests 1'!H16,'Tests 2'!$B$2:$B$19,0)))</f>
        <v/>
      </c>
      <c r="J16" s="90" t="str">
        <f t="array" ref="J16">IF('Tests 1'!I16="","",INDEX('Tests 2'!$C$2:$C$19,MATCH('Tests 1'!I16,'Tests 2'!$B$2:$B$19,0)))</f>
        <v/>
      </c>
      <c r="K16" s="90" t="str">
        <f t="array" ref="K16">IF('Tests 1'!J16="","",INDEX('Tests 2'!$C$2:$C$19,MATCH('Tests 1'!J16,'Tests 2'!$B$2:$B$19,0)))</f>
        <v/>
      </c>
      <c r="L16" s="90" t="str">
        <f t="array" ref="L16">IF('Tests 1'!K16="","",INDEX('Tests 2'!$C$2:$C$19,MATCH('Tests 1'!K16,'Tests 2'!$B$2:$B$19,0)))</f>
        <v/>
      </c>
      <c r="M16" s="90" t="str">
        <f t="array" ref="M16">IF('Tests 1'!L16="","",INDEX('Tests 2'!$C$2:$C$19,MATCH('Tests 1'!L16,'Tests 2'!$B$2:$B$19,0)))</f>
        <v/>
      </c>
      <c r="N16" s="90" t="str">
        <f t="array" ref="N16">IF('Tests 1'!M16="","",INDEX('Tests 2'!$C$2:$C$19,MATCH('Tests 1'!M16,'Tests 2'!$B$2:$B$19,0)))</f>
        <v/>
      </c>
    </row>
    <row r="17">
      <c r="A17" s="86">
        <v>16.0</v>
      </c>
      <c r="B17" s="87" t="s">
        <v>130</v>
      </c>
      <c r="C17" s="88" t="s">
        <v>131</v>
      </c>
      <c r="D17" s="89">
        <f t="shared" si="1"/>
        <v>1</v>
      </c>
      <c r="E17" s="90" t="str">
        <f t="shared" si="2"/>
        <v>T3</v>
      </c>
      <c r="F17" s="90" t="str">
        <f t="array" ref="F17">IF('Tests 1'!E17="","",INDEX('Tests 2'!$C$2:$C$19,MATCH('Tests 1'!E17,'Tests 2'!$B$2:$B$19,0)))</f>
        <v>T3</v>
      </c>
      <c r="G17" s="90" t="str">
        <f t="array" ref="G17">IF('Tests 1'!F17="","",INDEX('Tests 2'!$C$2:$C$19,MATCH('Tests 1'!F17,'Tests 2'!$B$2:$B$19,0)))</f>
        <v/>
      </c>
      <c r="H17" s="90" t="str">
        <f t="array" ref="H17">IF('Tests 1'!G17="","",INDEX('Tests 2'!$C$2:$C$19,MATCH('Tests 1'!G17,'Tests 2'!$B$2:$B$19,0)))</f>
        <v/>
      </c>
      <c r="I17" s="90" t="str">
        <f t="array" ref="I17">IF('Tests 1'!H17="","",INDEX('Tests 2'!$C$2:$C$19,MATCH('Tests 1'!H17,'Tests 2'!$B$2:$B$19,0)))</f>
        <v/>
      </c>
      <c r="J17" s="90" t="str">
        <f t="array" ref="J17">IF('Tests 1'!I17="","",INDEX('Tests 2'!$C$2:$C$19,MATCH('Tests 1'!I17,'Tests 2'!$B$2:$B$19,0)))</f>
        <v/>
      </c>
      <c r="K17" s="90" t="str">
        <f t="array" ref="K17">IF('Tests 1'!J17="","",INDEX('Tests 2'!$C$2:$C$19,MATCH('Tests 1'!J17,'Tests 2'!$B$2:$B$19,0)))</f>
        <v/>
      </c>
      <c r="L17" s="90" t="str">
        <f t="array" ref="L17">IF('Tests 1'!K17="","",INDEX('Tests 2'!$C$2:$C$19,MATCH('Tests 1'!K17,'Tests 2'!$B$2:$B$19,0)))</f>
        <v/>
      </c>
      <c r="M17" s="90" t="str">
        <f t="array" ref="M17">IF('Tests 1'!L17="","",INDEX('Tests 2'!$C$2:$C$19,MATCH('Tests 1'!L17,'Tests 2'!$B$2:$B$19,0)))</f>
        <v/>
      </c>
      <c r="N17" s="90" t="str">
        <f t="array" ref="N17">IF('Tests 1'!M17="","",INDEX('Tests 2'!$C$2:$C$19,MATCH('Tests 1'!M17,'Tests 2'!$B$2:$B$19,0)))</f>
        <v/>
      </c>
    </row>
    <row r="18">
      <c r="A18" s="86">
        <v>17.0</v>
      </c>
      <c r="B18" s="92" t="s">
        <v>132</v>
      </c>
      <c r="C18" s="88" t="s">
        <v>133</v>
      </c>
      <c r="D18" s="89">
        <f t="shared" si="1"/>
        <v>1</v>
      </c>
      <c r="E18" s="90" t="str">
        <f t="shared" si="2"/>
        <v>T2</v>
      </c>
      <c r="F18" s="90" t="str">
        <f t="array" ref="F18">IF('Tests 1'!E18="","",INDEX('Tests 2'!$C$2:$C$19,MATCH('Tests 1'!E18,'Tests 2'!$B$2:$B$19,0)))</f>
        <v>T2</v>
      </c>
      <c r="G18" s="90" t="str">
        <f t="array" ref="G18">IF('Tests 1'!F18="","",INDEX('Tests 2'!$C$2:$C$19,MATCH('Tests 1'!F18,'Tests 2'!$B$2:$B$19,0)))</f>
        <v/>
      </c>
      <c r="H18" s="90" t="str">
        <f t="array" ref="H18">IF('Tests 1'!G18="","",INDEX('Tests 2'!$C$2:$C$19,MATCH('Tests 1'!G18,'Tests 2'!$B$2:$B$19,0)))</f>
        <v/>
      </c>
      <c r="I18" s="90" t="str">
        <f t="array" ref="I18">IF('Tests 1'!H18="","",INDEX('Tests 2'!$C$2:$C$19,MATCH('Tests 1'!H18,'Tests 2'!$B$2:$B$19,0)))</f>
        <v/>
      </c>
      <c r="J18" s="90" t="str">
        <f t="array" ref="J18">IF('Tests 1'!I18="","",INDEX('Tests 2'!$C$2:$C$19,MATCH('Tests 1'!I18,'Tests 2'!$B$2:$B$19,0)))</f>
        <v/>
      </c>
      <c r="K18" s="90" t="str">
        <f t="array" ref="K18">IF('Tests 1'!J18="","",INDEX('Tests 2'!$C$2:$C$19,MATCH('Tests 1'!J18,'Tests 2'!$B$2:$B$19,0)))</f>
        <v/>
      </c>
      <c r="L18" s="90" t="str">
        <f t="array" ref="L18">IF('Tests 1'!K18="","",INDEX('Tests 2'!$C$2:$C$19,MATCH('Tests 1'!K18,'Tests 2'!$B$2:$B$19,0)))</f>
        <v/>
      </c>
      <c r="M18" s="90" t="str">
        <f t="array" ref="M18">IF('Tests 1'!L18="","",INDEX('Tests 2'!$C$2:$C$19,MATCH('Tests 1'!L18,'Tests 2'!$B$2:$B$19,0)))</f>
        <v/>
      </c>
      <c r="N18" s="90" t="str">
        <f t="array" ref="N18">IF('Tests 1'!M18="","",INDEX('Tests 2'!$C$2:$C$19,MATCH('Tests 1'!M18,'Tests 2'!$B$2:$B$19,0)))</f>
        <v/>
      </c>
    </row>
    <row r="19">
      <c r="A19" s="86">
        <v>18.0</v>
      </c>
      <c r="B19" s="87" t="s">
        <v>135</v>
      </c>
      <c r="C19" s="88" t="s">
        <v>136</v>
      </c>
      <c r="D19" s="89">
        <f t="shared" si="1"/>
        <v>1</v>
      </c>
      <c r="E19" s="90" t="str">
        <f t="shared" si="2"/>
        <v>T4,T14</v>
      </c>
      <c r="F19" s="90" t="str">
        <f t="array" ref="F19">IF('Tests 1'!E19="","",INDEX('Tests 2'!$C$2:$C$19,MATCH('Tests 1'!E19,'Tests 2'!$B$2:$B$19,0)))</f>
        <v>T4</v>
      </c>
      <c r="G19" s="90" t="str">
        <f t="array" ref="G19">IF('Tests 1'!F19="","",INDEX('Tests 2'!$C$2:$C$19,MATCH('Tests 1'!F19,'Tests 2'!$B$2:$B$19,0)))</f>
        <v>T14</v>
      </c>
      <c r="H19" s="90" t="str">
        <f t="array" ref="H19">IF('Tests 1'!G19="","",INDEX('Tests 2'!$C$2:$C$19,MATCH('Tests 1'!G19,'Tests 2'!$B$2:$B$19,0)))</f>
        <v/>
      </c>
      <c r="I19" s="90" t="str">
        <f t="array" ref="I19">IF('Tests 1'!H19="","",INDEX('Tests 2'!$C$2:$C$19,MATCH('Tests 1'!H19,'Tests 2'!$B$2:$B$19,0)))</f>
        <v/>
      </c>
      <c r="J19" s="90" t="str">
        <f t="array" ref="J19">IF('Tests 1'!I19="","",INDEX('Tests 2'!$C$2:$C$19,MATCH('Tests 1'!I19,'Tests 2'!$B$2:$B$19,0)))</f>
        <v/>
      </c>
      <c r="K19" s="90" t="str">
        <f t="array" ref="K19">IF('Tests 1'!J19="","",INDEX('Tests 2'!$C$2:$C$19,MATCH('Tests 1'!J19,'Tests 2'!$B$2:$B$19,0)))</f>
        <v/>
      </c>
      <c r="L19" s="90" t="str">
        <f t="array" ref="L19">IF('Tests 1'!K19="","",INDEX('Tests 2'!$C$2:$C$19,MATCH('Tests 1'!K19,'Tests 2'!$B$2:$B$19,0)))</f>
        <v/>
      </c>
      <c r="M19" s="90" t="str">
        <f t="array" ref="M19">IF('Tests 1'!L19="","",INDEX('Tests 2'!$C$2:$C$19,MATCH('Tests 1'!L19,'Tests 2'!$B$2:$B$19,0)))</f>
        <v/>
      </c>
      <c r="N19" s="90" t="str">
        <f t="array" ref="N19">IF('Tests 1'!M19="","",INDEX('Tests 2'!$C$2:$C$19,MATCH('Tests 1'!M19,'Tests 2'!$B$2:$B$19,0)))</f>
        <v/>
      </c>
    </row>
    <row r="20">
      <c r="A20" s="86">
        <v>19.0</v>
      </c>
      <c r="B20" s="87" t="s">
        <v>137</v>
      </c>
      <c r="C20" s="88" t="s">
        <v>138</v>
      </c>
      <c r="D20" s="89">
        <f t="shared" si="1"/>
        <v>1</v>
      </c>
      <c r="E20" s="90" t="str">
        <f t="shared" si="2"/>
        <v>T4,T14</v>
      </c>
      <c r="F20" s="90" t="str">
        <f t="array" ref="F20">IF('Tests 1'!E20="","",INDEX('Tests 2'!$C$2:$C$19,MATCH('Tests 1'!E20,'Tests 2'!$B$2:$B$19,0)))</f>
        <v>T4</v>
      </c>
      <c r="G20" s="90" t="str">
        <f t="array" ref="G20">IF('Tests 1'!F20="","",INDEX('Tests 2'!$C$2:$C$19,MATCH('Tests 1'!F20,'Tests 2'!$B$2:$B$19,0)))</f>
        <v>T14</v>
      </c>
      <c r="H20" s="90" t="str">
        <f t="array" ref="H20">IF('Tests 1'!G20="","",INDEX('Tests 2'!$C$2:$C$19,MATCH('Tests 1'!G20,'Tests 2'!$B$2:$B$19,0)))</f>
        <v/>
      </c>
      <c r="I20" s="90" t="str">
        <f t="array" ref="I20">IF('Tests 1'!H20="","",INDEX('Tests 2'!$C$2:$C$19,MATCH('Tests 1'!H20,'Tests 2'!$B$2:$B$19,0)))</f>
        <v/>
      </c>
      <c r="J20" s="90" t="str">
        <f t="array" ref="J20">IF('Tests 1'!I20="","",INDEX('Tests 2'!$C$2:$C$19,MATCH('Tests 1'!I20,'Tests 2'!$B$2:$B$19,0)))</f>
        <v/>
      </c>
      <c r="K20" s="90" t="str">
        <f t="array" ref="K20">IF('Tests 1'!J20="","",INDEX('Tests 2'!$C$2:$C$19,MATCH('Tests 1'!J20,'Tests 2'!$B$2:$B$19,0)))</f>
        <v/>
      </c>
      <c r="L20" s="90" t="str">
        <f t="array" ref="L20">IF('Tests 1'!K20="","",INDEX('Tests 2'!$C$2:$C$19,MATCH('Tests 1'!K20,'Tests 2'!$B$2:$B$19,0)))</f>
        <v/>
      </c>
      <c r="M20" s="90" t="str">
        <f t="array" ref="M20">IF('Tests 1'!L20="","",INDEX('Tests 2'!$C$2:$C$19,MATCH('Tests 1'!L20,'Tests 2'!$B$2:$B$19,0)))</f>
        <v/>
      </c>
      <c r="N20" s="90" t="str">
        <f t="array" ref="N20">IF('Tests 1'!M20="","",INDEX('Tests 2'!$C$2:$C$19,MATCH('Tests 1'!M20,'Tests 2'!$B$2:$B$19,0)))</f>
        <v/>
      </c>
    </row>
    <row r="21">
      <c r="A21" s="86">
        <v>20.0</v>
      </c>
      <c r="B21" s="87" t="s">
        <v>139</v>
      </c>
      <c r="C21" s="88" t="s">
        <v>140</v>
      </c>
      <c r="D21" s="89">
        <f t="shared" si="1"/>
        <v>1</v>
      </c>
      <c r="E21" s="90" t="str">
        <f t="shared" si="2"/>
        <v>T13,T14</v>
      </c>
      <c r="F21" s="90" t="str">
        <f t="array" ref="F21">IF('Tests 1'!E21="","",INDEX('Tests 2'!$C$2:$C$19,MATCH('Tests 1'!E21,'Tests 2'!$B$2:$B$19,0)))</f>
        <v>T13</v>
      </c>
      <c r="G21" s="90" t="str">
        <f t="array" ref="G21">IF('Tests 1'!F21="","",INDEX('Tests 2'!$C$2:$C$19,MATCH('Tests 1'!F21,'Tests 2'!$B$2:$B$19,0)))</f>
        <v>T14</v>
      </c>
      <c r="H21" s="90" t="str">
        <f t="array" ref="H21">IF('Tests 1'!G21="","",INDEX('Tests 2'!$C$2:$C$19,MATCH('Tests 1'!G21,'Tests 2'!$B$2:$B$19,0)))</f>
        <v/>
      </c>
      <c r="I21" s="90" t="str">
        <f t="array" ref="I21">IF('Tests 1'!H21="","",INDEX('Tests 2'!$C$2:$C$19,MATCH('Tests 1'!H21,'Tests 2'!$B$2:$B$19,0)))</f>
        <v/>
      </c>
      <c r="J21" s="90" t="str">
        <f t="array" ref="J21">IF('Tests 1'!I21="","",INDEX('Tests 2'!$C$2:$C$19,MATCH('Tests 1'!I21,'Tests 2'!$B$2:$B$19,0)))</f>
        <v/>
      </c>
      <c r="K21" s="90" t="str">
        <f t="array" ref="K21">IF('Tests 1'!J21="","",INDEX('Tests 2'!$C$2:$C$19,MATCH('Tests 1'!J21,'Tests 2'!$B$2:$B$19,0)))</f>
        <v/>
      </c>
      <c r="L21" s="90" t="str">
        <f t="array" ref="L21">IF('Tests 1'!K21="","",INDEX('Tests 2'!$C$2:$C$19,MATCH('Tests 1'!K21,'Tests 2'!$B$2:$B$19,0)))</f>
        <v/>
      </c>
      <c r="M21" s="90" t="str">
        <f t="array" ref="M21">IF('Tests 1'!L21="","",INDEX('Tests 2'!$C$2:$C$19,MATCH('Tests 1'!L21,'Tests 2'!$B$2:$B$19,0)))</f>
        <v/>
      </c>
      <c r="N21" s="90" t="str">
        <f t="array" ref="N21">IF('Tests 1'!M21="","",INDEX('Tests 2'!$C$2:$C$19,MATCH('Tests 1'!M21,'Tests 2'!$B$2:$B$19,0)))</f>
        <v/>
      </c>
    </row>
    <row r="22">
      <c r="A22" s="86">
        <v>21.0</v>
      </c>
      <c r="B22" s="87" t="s">
        <v>141</v>
      </c>
      <c r="C22" s="88" t="s">
        <v>142</v>
      </c>
      <c r="D22" s="89">
        <f t="shared" si="1"/>
        <v>1</v>
      </c>
      <c r="E22" s="90" t="str">
        <f t="shared" si="2"/>
        <v>T1</v>
      </c>
      <c r="F22" s="90" t="str">
        <f t="array" ref="F22">IF('Tests 1'!E22="","",INDEX('Tests 2'!$C$2:$C$19,MATCH('Tests 1'!E22,'Tests 2'!$B$2:$B$19,0)))</f>
        <v>T1</v>
      </c>
      <c r="G22" s="90" t="str">
        <f t="array" ref="G22">IF('Tests 1'!F22="","",INDEX('Tests 2'!$C$2:$C$19,MATCH('Tests 1'!F22,'Tests 2'!$B$2:$B$19,0)))</f>
        <v/>
      </c>
      <c r="H22" s="90" t="str">
        <f t="array" ref="H22">IF('Tests 1'!G22="","",INDEX('Tests 2'!$C$2:$C$19,MATCH('Tests 1'!G22,'Tests 2'!$B$2:$B$19,0)))</f>
        <v/>
      </c>
      <c r="I22" s="90" t="str">
        <f t="array" ref="I22">IF('Tests 1'!H22="","",INDEX('Tests 2'!$C$2:$C$19,MATCH('Tests 1'!H22,'Tests 2'!$B$2:$B$19,0)))</f>
        <v/>
      </c>
      <c r="J22" s="90" t="str">
        <f t="array" ref="J22">IF('Tests 1'!I22="","",INDEX('Tests 2'!$C$2:$C$19,MATCH('Tests 1'!I22,'Tests 2'!$B$2:$B$19,0)))</f>
        <v/>
      </c>
      <c r="K22" s="90" t="str">
        <f t="array" ref="K22">IF('Tests 1'!J22="","",INDEX('Tests 2'!$C$2:$C$19,MATCH('Tests 1'!J22,'Tests 2'!$B$2:$B$19,0)))</f>
        <v/>
      </c>
      <c r="L22" s="90" t="str">
        <f t="array" ref="L22">IF('Tests 1'!K22="","",INDEX('Tests 2'!$C$2:$C$19,MATCH('Tests 1'!K22,'Tests 2'!$B$2:$B$19,0)))</f>
        <v/>
      </c>
      <c r="M22" s="90" t="str">
        <f t="array" ref="M22">IF('Tests 1'!L22="","",INDEX('Tests 2'!$C$2:$C$19,MATCH('Tests 1'!L22,'Tests 2'!$B$2:$B$19,0)))</f>
        <v/>
      </c>
      <c r="N22" s="90" t="str">
        <f t="array" ref="N22">IF('Tests 1'!M22="","",INDEX('Tests 2'!$C$2:$C$19,MATCH('Tests 1'!M22,'Tests 2'!$B$2:$B$19,0)))</f>
        <v/>
      </c>
    </row>
    <row r="23">
      <c r="A23" s="86">
        <v>22.0</v>
      </c>
      <c r="B23" s="87" t="s">
        <v>143</v>
      </c>
      <c r="C23" s="88" t="s">
        <v>144</v>
      </c>
      <c r="D23" s="89">
        <f t="shared" si="1"/>
        <v>1</v>
      </c>
      <c r="E23" s="90" t="str">
        <f t="shared" si="2"/>
        <v>T13,T14</v>
      </c>
      <c r="F23" s="90" t="str">
        <f t="array" ref="F23">IF('Tests 1'!E23="","",INDEX('Tests 2'!$C$2:$C$19,MATCH('Tests 1'!E23,'Tests 2'!$B$2:$B$19,0)))</f>
        <v>T13</v>
      </c>
      <c r="G23" s="90" t="str">
        <f t="array" ref="G23">IF('Tests 1'!F23="","",INDEX('Tests 2'!$C$2:$C$19,MATCH('Tests 1'!F23,'Tests 2'!$B$2:$B$19,0)))</f>
        <v>T14</v>
      </c>
      <c r="H23" s="90" t="str">
        <f t="array" ref="H23">IF('Tests 1'!G23="","",INDEX('Tests 2'!$C$2:$C$19,MATCH('Tests 1'!G23,'Tests 2'!$B$2:$B$19,0)))</f>
        <v/>
      </c>
      <c r="I23" s="90" t="str">
        <f t="array" ref="I23">IF('Tests 1'!H23="","",INDEX('Tests 2'!$C$2:$C$19,MATCH('Tests 1'!H23,'Tests 2'!$B$2:$B$19,0)))</f>
        <v/>
      </c>
      <c r="J23" s="90" t="str">
        <f t="array" ref="J23">IF('Tests 1'!I23="","",INDEX('Tests 2'!$C$2:$C$19,MATCH('Tests 1'!I23,'Tests 2'!$B$2:$B$19,0)))</f>
        <v/>
      </c>
      <c r="K23" s="90" t="str">
        <f t="array" ref="K23">IF('Tests 1'!J23="","",INDEX('Tests 2'!$C$2:$C$19,MATCH('Tests 1'!J23,'Tests 2'!$B$2:$B$19,0)))</f>
        <v/>
      </c>
      <c r="L23" s="90" t="str">
        <f t="array" ref="L23">IF('Tests 1'!K23="","",INDEX('Tests 2'!$C$2:$C$19,MATCH('Tests 1'!K23,'Tests 2'!$B$2:$B$19,0)))</f>
        <v/>
      </c>
      <c r="M23" s="90" t="str">
        <f t="array" ref="M23">IF('Tests 1'!L23="","",INDEX('Tests 2'!$C$2:$C$19,MATCH('Tests 1'!L23,'Tests 2'!$B$2:$B$19,0)))</f>
        <v/>
      </c>
      <c r="N23" s="90" t="str">
        <f t="array" ref="N23">IF('Tests 1'!M23="","",INDEX('Tests 2'!$C$2:$C$19,MATCH('Tests 1'!M23,'Tests 2'!$B$2:$B$19,0)))</f>
        <v/>
      </c>
    </row>
    <row r="24">
      <c r="A24" s="86">
        <v>23.0</v>
      </c>
      <c r="B24" s="87" t="s">
        <v>145</v>
      </c>
      <c r="C24" s="88" t="s">
        <v>146</v>
      </c>
      <c r="D24" s="89">
        <f t="shared" si="1"/>
        <v>1</v>
      </c>
      <c r="E24" s="90" t="str">
        <f t="shared" si="2"/>
        <v>T6</v>
      </c>
      <c r="F24" s="90" t="str">
        <f t="array" ref="F24">IF('Tests 1'!E24="","",INDEX('Tests 2'!$C$2:$C$19,MATCH('Tests 1'!E24,'Tests 2'!$B$2:$B$19,0)))</f>
        <v>T6</v>
      </c>
      <c r="G24" s="90" t="str">
        <f t="array" ref="G24">IF('Tests 1'!F24="","",INDEX('Tests 2'!$C$2:$C$19,MATCH('Tests 1'!F24,'Tests 2'!$B$2:$B$19,0)))</f>
        <v/>
      </c>
      <c r="H24" s="90" t="str">
        <f t="array" ref="H24">IF('Tests 1'!G24="","",INDEX('Tests 2'!$C$2:$C$19,MATCH('Tests 1'!G24,'Tests 2'!$B$2:$B$19,0)))</f>
        <v/>
      </c>
      <c r="I24" s="90" t="str">
        <f t="array" ref="I24">IF('Tests 1'!H24="","",INDEX('Tests 2'!$C$2:$C$19,MATCH('Tests 1'!H24,'Tests 2'!$B$2:$B$19,0)))</f>
        <v/>
      </c>
      <c r="J24" s="90" t="str">
        <f t="array" ref="J24">IF('Tests 1'!I24="","",INDEX('Tests 2'!$C$2:$C$19,MATCH('Tests 1'!I24,'Tests 2'!$B$2:$B$19,0)))</f>
        <v/>
      </c>
      <c r="K24" s="90" t="str">
        <f t="array" ref="K24">IF('Tests 1'!J24="","",INDEX('Tests 2'!$C$2:$C$19,MATCH('Tests 1'!J24,'Tests 2'!$B$2:$B$19,0)))</f>
        <v/>
      </c>
      <c r="L24" s="90" t="str">
        <f t="array" ref="L24">IF('Tests 1'!K24="","",INDEX('Tests 2'!$C$2:$C$19,MATCH('Tests 1'!K24,'Tests 2'!$B$2:$B$19,0)))</f>
        <v/>
      </c>
      <c r="M24" s="90" t="str">
        <f t="array" ref="M24">IF('Tests 1'!L24="","",INDEX('Tests 2'!$C$2:$C$19,MATCH('Tests 1'!L24,'Tests 2'!$B$2:$B$19,0)))</f>
        <v/>
      </c>
      <c r="N24" s="90" t="str">
        <f t="array" ref="N24">IF('Tests 1'!M24="","",INDEX('Tests 2'!$C$2:$C$19,MATCH('Tests 1'!M24,'Tests 2'!$B$2:$B$19,0)))</f>
        <v/>
      </c>
    </row>
    <row r="25">
      <c r="A25" s="86">
        <v>24.0</v>
      </c>
      <c r="B25" s="87" t="s">
        <v>147</v>
      </c>
      <c r="C25" s="88" t="s">
        <v>148</v>
      </c>
      <c r="D25" s="89">
        <f t="shared" si="1"/>
        <v>1</v>
      </c>
      <c r="E25" s="90" t="str">
        <f t="shared" si="2"/>
        <v>T8</v>
      </c>
      <c r="F25" s="90" t="str">
        <f t="array" ref="F25">IF('Tests 1'!E25="","",INDEX('Tests 2'!$C$2:$C$19,MATCH('Tests 1'!E25,'Tests 2'!$B$2:$B$19,0)))</f>
        <v>T8</v>
      </c>
      <c r="G25" s="90" t="str">
        <f t="array" ref="G25">IF('Tests 1'!F25="","",INDEX('Tests 2'!$C$2:$C$19,MATCH('Tests 1'!F25,'Tests 2'!$B$2:$B$19,0)))</f>
        <v/>
      </c>
      <c r="H25" s="90" t="str">
        <f t="array" ref="H25">IF('Tests 1'!G25="","",INDEX('Tests 2'!$C$2:$C$19,MATCH('Tests 1'!G25,'Tests 2'!$B$2:$B$19,0)))</f>
        <v/>
      </c>
      <c r="I25" s="90" t="str">
        <f t="array" ref="I25">IF('Tests 1'!H25="","",INDEX('Tests 2'!$C$2:$C$19,MATCH('Tests 1'!H25,'Tests 2'!$B$2:$B$19,0)))</f>
        <v/>
      </c>
      <c r="J25" s="90" t="str">
        <f t="array" ref="J25">IF('Tests 1'!I25="","",INDEX('Tests 2'!$C$2:$C$19,MATCH('Tests 1'!I25,'Tests 2'!$B$2:$B$19,0)))</f>
        <v/>
      </c>
      <c r="K25" s="90" t="str">
        <f t="array" ref="K25">IF('Tests 1'!J25="","",INDEX('Tests 2'!$C$2:$C$19,MATCH('Tests 1'!J25,'Tests 2'!$B$2:$B$19,0)))</f>
        <v/>
      </c>
      <c r="L25" s="90" t="str">
        <f t="array" ref="L25">IF('Tests 1'!K25="","",INDEX('Tests 2'!$C$2:$C$19,MATCH('Tests 1'!K25,'Tests 2'!$B$2:$B$19,0)))</f>
        <v/>
      </c>
      <c r="M25" s="90" t="str">
        <f t="array" ref="M25">IF('Tests 1'!L25="","",INDEX('Tests 2'!$C$2:$C$19,MATCH('Tests 1'!L25,'Tests 2'!$B$2:$B$19,0)))</f>
        <v/>
      </c>
      <c r="N25" s="90" t="str">
        <f t="array" ref="N25">IF('Tests 1'!M25="","",INDEX('Tests 2'!$C$2:$C$19,MATCH('Tests 1'!M25,'Tests 2'!$B$2:$B$19,0)))</f>
        <v/>
      </c>
    </row>
    <row r="26">
      <c r="A26" s="86">
        <v>25.0</v>
      </c>
      <c r="B26" s="87" t="s">
        <v>149</v>
      </c>
      <c r="C26" s="88" t="s">
        <v>150</v>
      </c>
      <c r="D26" s="89">
        <f t="shared" si="1"/>
        <v>1</v>
      </c>
      <c r="E26" s="90" t="str">
        <f t="shared" si="2"/>
        <v/>
      </c>
      <c r="F26" s="90" t="str">
        <f t="array" ref="F26">IF('Tests 1'!E26="","",INDEX('Tests 2'!$C$2:$C$19,MATCH('Tests 1'!E26,'Tests 2'!$B$2:$B$19,0)))</f>
        <v/>
      </c>
      <c r="G26" s="90" t="str">
        <f t="array" ref="G26">IF('Tests 1'!F26="","",INDEX('Tests 2'!$C$2:$C$19,MATCH('Tests 1'!F26,'Tests 2'!$B$2:$B$19,0)))</f>
        <v/>
      </c>
      <c r="H26" s="90" t="str">
        <f t="array" ref="H26">IF('Tests 1'!G26="","",INDEX('Tests 2'!$C$2:$C$19,MATCH('Tests 1'!G26,'Tests 2'!$B$2:$B$19,0)))</f>
        <v/>
      </c>
      <c r="I26" s="90" t="str">
        <f t="array" ref="I26">IF('Tests 1'!H26="","",INDEX('Tests 2'!$C$2:$C$19,MATCH('Tests 1'!H26,'Tests 2'!$B$2:$B$19,0)))</f>
        <v/>
      </c>
      <c r="J26" s="90" t="str">
        <f t="array" ref="J26">IF('Tests 1'!I26="","",INDEX('Tests 2'!$C$2:$C$19,MATCH('Tests 1'!I26,'Tests 2'!$B$2:$B$19,0)))</f>
        <v/>
      </c>
      <c r="K26" s="90" t="str">
        <f t="array" ref="K26">IF('Tests 1'!J26="","",INDEX('Tests 2'!$C$2:$C$19,MATCH('Tests 1'!J26,'Tests 2'!$B$2:$B$19,0)))</f>
        <v/>
      </c>
      <c r="L26" s="90" t="str">
        <f t="array" ref="L26">IF('Tests 1'!K26="","",INDEX('Tests 2'!$C$2:$C$19,MATCH('Tests 1'!K26,'Tests 2'!$B$2:$B$19,0)))</f>
        <v/>
      </c>
      <c r="M26" s="90" t="str">
        <f t="array" ref="M26">IF('Tests 1'!L26="","",INDEX('Tests 2'!$C$2:$C$19,MATCH('Tests 1'!L26,'Tests 2'!$B$2:$B$19,0)))</f>
        <v/>
      </c>
      <c r="N26" s="90" t="str">
        <f t="array" ref="N26">IF('Tests 1'!M26="","",INDEX('Tests 2'!$C$2:$C$19,MATCH('Tests 1'!M26,'Tests 2'!$B$2:$B$19,0)))</f>
        <v/>
      </c>
    </row>
    <row r="27">
      <c r="A27" s="86">
        <v>26.0</v>
      </c>
      <c r="B27" s="87" t="s">
        <v>151</v>
      </c>
      <c r="C27" s="88" t="s">
        <v>152</v>
      </c>
      <c r="D27" s="89">
        <f t="shared" si="1"/>
        <v>1</v>
      </c>
      <c r="E27" s="90" t="str">
        <f t="shared" si="2"/>
        <v>T13,T14</v>
      </c>
      <c r="F27" s="90" t="str">
        <f t="array" ref="F27">IF('Tests 1'!E27="","",INDEX('Tests 2'!$C$2:$C$19,MATCH('Tests 1'!E27,'Tests 2'!$B$2:$B$19,0)))</f>
        <v>T13</v>
      </c>
      <c r="G27" s="90" t="str">
        <f t="array" ref="G27">IF('Tests 1'!F27="","",INDEX('Tests 2'!$C$2:$C$19,MATCH('Tests 1'!F27,'Tests 2'!$B$2:$B$19,0)))</f>
        <v>T14</v>
      </c>
      <c r="H27" s="90" t="str">
        <f t="array" ref="H27">IF('Tests 1'!G27="","",INDEX('Tests 2'!$C$2:$C$19,MATCH('Tests 1'!G27,'Tests 2'!$B$2:$B$19,0)))</f>
        <v/>
      </c>
      <c r="I27" s="90" t="str">
        <f t="array" ref="I27">IF('Tests 1'!H27="","",INDEX('Tests 2'!$C$2:$C$19,MATCH('Tests 1'!H27,'Tests 2'!$B$2:$B$19,0)))</f>
        <v/>
      </c>
      <c r="J27" s="90" t="str">
        <f t="array" ref="J27">IF('Tests 1'!I27="","",INDEX('Tests 2'!$C$2:$C$19,MATCH('Tests 1'!I27,'Tests 2'!$B$2:$B$19,0)))</f>
        <v/>
      </c>
      <c r="K27" s="90" t="str">
        <f t="array" ref="K27">IF('Tests 1'!J27="","",INDEX('Tests 2'!$C$2:$C$19,MATCH('Tests 1'!J27,'Tests 2'!$B$2:$B$19,0)))</f>
        <v/>
      </c>
      <c r="L27" s="90" t="str">
        <f t="array" ref="L27">IF('Tests 1'!K27="","",INDEX('Tests 2'!$C$2:$C$19,MATCH('Tests 1'!K27,'Tests 2'!$B$2:$B$19,0)))</f>
        <v/>
      </c>
      <c r="M27" s="90" t="str">
        <f t="array" ref="M27">IF('Tests 1'!L27="","",INDEX('Tests 2'!$C$2:$C$19,MATCH('Tests 1'!L27,'Tests 2'!$B$2:$B$19,0)))</f>
        <v/>
      </c>
      <c r="N27" s="90" t="str">
        <f t="array" ref="N27">IF('Tests 1'!M27="","",INDEX('Tests 2'!$C$2:$C$19,MATCH('Tests 1'!M27,'Tests 2'!$B$2:$B$19,0)))</f>
        <v/>
      </c>
    </row>
    <row r="28">
      <c r="A28" s="86">
        <v>27.0</v>
      </c>
      <c r="B28" s="87" t="s">
        <v>153</v>
      </c>
      <c r="C28" s="88" t="s">
        <v>154</v>
      </c>
      <c r="D28" s="89">
        <f t="shared" si="1"/>
        <v>1</v>
      </c>
      <c r="E28" s="90" t="str">
        <f t="shared" si="2"/>
        <v>T14,T3,T17,T17</v>
      </c>
      <c r="F28" s="90" t="str">
        <f t="array" ref="F28">IF('Tests 1'!E28="","",INDEX('Tests 2'!$C$2:$C$19,MATCH('Tests 1'!E28,'Tests 2'!$B$2:$B$19,0)))</f>
        <v>T14</v>
      </c>
      <c r="G28" s="90" t="str">
        <f t="array" ref="G28">IF('Tests 1'!F28="","",INDEX('Tests 2'!$C$2:$C$19,MATCH('Tests 1'!F28,'Tests 2'!$B$2:$B$19,0)))</f>
        <v>T3</v>
      </c>
      <c r="H28" s="90" t="str">
        <f t="array" ref="H28">IF('Tests 1'!G28="","",INDEX('Tests 2'!$C$2:$C$19,MATCH('Tests 1'!G28,'Tests 2'!$B$2:$B$19,0)))</f>
        <v>T17</v>
      </c>
      <c r="I28" s="90" t="str">
        <f t="array" ref="I28">IF('Tests 1'!H28="","",INDEX('Tests 2'!$C$2:$C$19,MATCH('Tests 1'!H28,'Tests 2'!$B$2:$B$19,0)))</f>
        <v>T17</v>
      </c>
      <c r="J28" s="90" t="str">
        <f t="array" ref="J28">IF('Tests 1'!I28="","",INDEX('Tests 2'!$C$2:$C$19,MATCH('Tests 1'!I28,'Tests 2'!$B$2:$B$19,0)))</f>
        <v/>
      </c>
      <c r="K28" s="90" t="str">
        <f t="array" ref="K28">IF('Tests 1'!J28="","",INDEX('Tests 2'!$C$2:$C$19,MATCH('Tests 1'!J28,'Tests 2'!$B$2:$B$19,0)))</f>
        <v/>
      </c>
      <c r="L28" s="90" t="str">
        <f t="array" ref="L28">IF('Tests 1'!K28="","",INDEX('Tests 2'!$C$2:$C$19,MATCH('Tests 1'!K28,'Tests 2'!$B$2:$B$19,0)))</f>
        <v/>
      </c>
      <c r="M28" s="90" t="str">
        <f t="array" ref="M28">IF('Tests 1'!L28="","",INDEX('Tests 2'!$C$2:$C$19,MATCH('Tests 1'!L28,'Tests 2'!$B$2:$B$19,0)))</f>
        <v/>
      </c>
      <c r="N28" s="90" t="str">
        <f t="array" ref="N28">IF('Tests 1'!M28="","",INDEX('Tests 2'!$C$2:$C$19,MATCH('Tests 1'!M28,'Tests 2'!$B$2:$B$19,0)))</f>
        <v/>
      </c>
    </row>
    <row r="29">
      <c r="A29" s="86">
        <v>28.0</v>
      </c>
      <c r="B29" s="87" t="s">
        <v>155</v>
      </c>
      <c r="C29" s="88" t="s">
        <v>156</v>
      </c>
      <c r="D29" s="89">
        <f t="shared" si="1"/>
        <v>1</v>
      </c>
      <c r="E29" s="90" t="str">
        <f t="shared" si="2"/>
        <v>T14,T3,T17</v>
      </c>
      <c r="F29" s="90" t="str">
        <f t="array" ref="F29">IF('Tests 1'!E29="","",INDEX('Tests 2'!$C$2:$C$19,MATCH('Tests 1'!E29,'Tests 2'!$B$2:$B$19,0)))</f>
        <v>T14</v>
      </c>
      <c r="G29" s="90" t="str">
        <f t="array" ref="G29">IF('Tests 1'!F29="","",INDEX('Tests 2'!$C$2:$C$19,MATCH('Tests 1'!F29,'Tests 2'!$B$2:$B$19,0)))</f>
        <v>T3</v>
      </c>
      <c r="H29" s="90" t="str">
        <f t="array" ref="H29">IF('Tests 1'!G29="","",INDEX('Tests 2'!$C$2:$C$19,MATCH('Tests 1'!G29,'Tests 2'!$B$2:$B$19,0)))</f>
        <v>T17</v>
      </c>
      <c r="I29" s="90" t="str">
        <f t="array" ref="I29">IF('Tests 1'!H29="","",INDEX('Tests 2'!$C$2:$C$19,MATCH('Tests 1'!H29,'Tests 2'!$B$2:$B$19,0)))</f>
        <v/>
      </c>
      <c r="J29" s="90" t="str">
        <f t="array" ref="J29">IF('Tests 1'!I29="","",INDEX('Tests 2'!$C$2:$C$19,MATCH('Tests 1'!I29,'Tests 2'!$B$2:$B$19,0)))</f>
        <v/>
      </c>
      <c r="K29" s="90" t="str">
        <f t="array" ref="K29">IF('Tests 1'!J29="","",INDEX('Tests 2'!$C$2:$C$19,MATCH('Tests 1'!J29,'Tests 2'!$B$2:$B$19,0)))</f>
        <v/>
      </c>
      <c r="L29" s="90" t="str">
        <f t="array" ref="L29">IF('Tests 1'!K29="","",INDEX('Tests 2'!$C$2:$C$19,MATCH('Tests 1'!K29,'Tests 2'!$B$2:$B$19,0)))</f>
        <v/>
      </c>
      <c r="M29" s="90" t="str">
        <f t="array" ref="M29">IF('Tests 1'!L29="","",INDEX('Tests 2'!$C$2:$C$19,MATCH('Tests 1'!L29,'Tests 2'!$B$2:$B$19,0)))</f>
        <v/>
      </c>
      <c r="N29" s="90" t="str">
        <f t="array" ref="N29">IF('Tests 1'!M29="","",INDEX('Tests 2'!$C$2:$C$19,MATCH('Tests 1'!M29,'Tests 2'!$B$2:$B$19,0)))</f>
        <v/>
      </c>
    </row>
    <row r="30">
      <c r="A30" s="86">
        <v>29.0</v>
      </c>
      <c r="B30" s="87" t="s">
        <v>157</v>
      </c>
      <c r="C30" s="88" t="s">
        <v>158</v>
      </c>
      <c r="D30" s="89">
        <f t="shared" si="1"/>
        <v>1</v>
      </c>
      <c r="E30" s="90" t="str">
        <f t="shared" si="2"/>
        <v>T14,T15,T16,T3,T17,T17</v>
      </c>
      <c r="F30" s="90" t="str">
        <f t="array" ref="F30">IF('Tests 1'!E30="","",INDEX('Tests 2'!$C$2:$C$19,MATCH('Tests 1'!E30,'Tests 2'!$B$2:$B$19,0)))</f>
        <v>T14</v>
      </c>
      <c r="G30" s="90" t="str">
        <f t="array" ref="G30">IF('Tests 1'!F30="","",INDEX('Tests 2'!$C$2:$C$19,MATCH('Tests 1'!F30,'Tests 2'!$B$2:$B$19,0)))</f>
        <v>T15</v>
      </c>
      <c r="H30" s="90" t="str">
        <f t="array" ref="H30">IF('Tests 1'!G30="","",INDEX('Tests 2'!$C$2:$C$19,MATCH('Tests 1'!G30,'Tests 2'!$B$2:$B$19,0)))</f>
        <v>T16</v>
      </c>
      <c r="I30" s="90" t="str">
        <f t="array" ref="I30">IF('Tests 1'!H30="","",INDEX('Tests 2'!$C$2:$C$19,MATCH('Tests 1'!H30,'Tests 2'!$B$2:$B$19,0)))</f>
        <v>T3</v>
      </c>
      <c r="J30" s="90" t="str">
        <f t="array" ref="J30">IF('Tests 1'!I30="","",INDEX('Tests 2'!$C$2:$C$19,MATCH('Tests 1'!I30,'Tests 2'!$B$2:$B$19,0)))</f>
        <v>T17</v>
      </c>
      <c r="K30" s="90" t="str">
        <f t="array" ref="K30">IF('Tests 1'!J30="","",INDEX('Tests 2'!$C$2:$C$19,MATCH('Tests 1'!J30,'Tests 2'!$B$2:$B$19,0)))</f>
        <v>T17</v>
      </c>
      <c r="L30" s="90" t="str">
        <f t="array" ref="L30">IF('Tests 1'!K30="","",INDEX('Tests 2'!$C$2:$C$19,MATCH('Tests 1'!K30,'Tests 2'!$B$2:$B$19,0)))</f>
        <v/>
      </c>
      <c r="M30" s="90" t="str">
        <f t="array" ref="M30">IF('Tests 1'!L30="","",INDEX('Tests 2'!$C$2:$C$19,MATCH('Tests 1'!L30,'Tests 2'!$B$2:$B$19,0)))</f>
        <v/>
      </c>
      <c r="N30" s="90" t="str">
        <f t="array" ref="N30">IF('Tests 1'!M30="","",INDEX('Tests 2'!$C$2:$C$19,MATCH('Tests 1'!M30,'Tests 2'!$B$2:$B$19,0)))</f>
        <v/>
      </c>
    </row>
    <row r="31">
      <c r="A31" s="86">
        <v>30.0</v>
      </c>
      <c r="B31" s="87" t="s">
        <v>161</v>
      </c>
      <c r="C31" s="88" t="s">
        <v>162</v>
      </c>
      <c r="D31" s="89">
        <f t="shared" si="1"/>
        <v>1</v>
      </c>
      <c r="E31" s="90" t="str">
        <f t="shared" si="2"/>
        <v>T14,T3,T17,T4,T5,T15,T6,T8</v>
      </c>
      <c r="F31" s="90" t="str">
        <f t="array" ref="F31">IF('Tests 1'!E31="","",INDEX('Tests 2'!$C$2:$C$19,MATCH('Tests 1'!E31,'Tests 2'!$B$2:$B$19,0)))</f>
        <v>T14</v>
      </c>
      <c r="G31" s="90" t="str">
        <f t="array" ref="G31">IF('Tests 1'!F31="","",INDEX('Tests 2'!$C$2:$C$19,MATCH('Tests 1'!F31,'Tests 2'!$B$2:$B$19,0)))</f>
        <v>T3</v>
      </c>
      <c r="H31" s="90" t="str">
        <f t="array" ref="H31">IF('Tests 1'!G31="","",INDEX('Tests 2'!$C$2:$C$19,MATCH('Tests 1'!G31,'Tests 2'!$B$2:$B$19,0)))</f>
        <v>T17</v>
      </c>
      <c r="I31" s="90" t="str">
        <f t="array" ref="I31">IF('Tests 1'!H31="","",INDEX('Tests 2'!$C$2:$C$19,MATCH('Tests 1'!H31,'Tests 2'!$B$2:$B$19,0)))</f>
        <v>T4</v>
      </c>
      <c r="J31" s="90" t="str">
        <f t="array" ref="J31">IF('Tests 1'!I31="","",INDEX('Tests 2'!$C$2:$C$19,MATCH('Tests 1'!I31,'Tests 2'!$B$2:$B$19,0)))</f>
        <v>T5</v>
      </c>
      <c r="K31" s="90" t="str">
        <f t="array" ref="K31">IF('Tests 1'!J31="","",INDEX('Tests 2'!$C$2:$C$19,MATCH('Tests 1'!J31,'Tests 2'!$B$2:$B$19,0)))</f>
        <v>T15</v>
      </c>
      <c r="L31" s="90" t="str">
        <f t="array" ref="L31">IF('Tests 1'!K31="","",INDEX('Tests 2'!$C$2:$C$19,MATCH('Tests 1'!K31,'Tests 2'!$B$2:$B$19,0)))</f>
        <v>T6</v>
      </c>
      <c r="M31" s="90" t="str">
        <f t="array" ref="M31">IF('Tests 1'!L31="","",INDEX('Tests 2'!$C$2:$C$19,MATCH('Tests 1'!L31,'Tests 2'!$B$2:$B$19,0)))</f>
        <v>T8</v>
      </c>
      <c r="N31" s="90" t="str">
        <f t="array" ref="N31">IF('Tests 1'!M31="","",INDEX('Tests 2'!$C$2:$C$19,MATCH('Tests 1'!M31,'Tests 2'!$B$2:$B$19,0)))</f>
        <v/>
      </c>
    </row>
    <row r="32">
      <c r="A32" s="86">
        <v>31.0</v>
      </c>
      <c r="B32" s="87" t="s">
        <v>163</v>
      </c>
      <c r="C32" s="88" t="s">
        <v>164</v>
      </c>
      <c r="D32" s="89">
        <f t="shared" si="1"/>
        <v>1</v>
      </c>
      <c r="E32" s="90" t="str">
        <f t="shared" si="2"/>
        <v>T14,T10,T11,T4,T5,T17</v>
      </c>
      <c r="F32" s="90" t="str">
        <f t="array" ref="F32">IF('Tests 1'!E32="","",INDEX('Tests 2'!$C$2:$C$19,MATCH('Tests 1'!E32,'Tests 2'!$B$2:$B$19,0)))</f>
        <v>T14</v>
      </c>
      <c r="G32" s="90" t="str">
        <f t="array" ref="G32">IF('Tests 1'!F32="","",INDEX('Tests 2'!$C$2:$C$19,MATCH('Tests 1'!F32,'Tests 2'!$B$2:$B$19,0)))</f>
        <v>T10</v>
      </c>
      <c r="H32" s="90" t="str">
        <f t="array" ref="H32">IF('Tests 1'!G32="","",INDEX('Tests 2'!$C$2:$C$19,MATCH('Tests 1'!G32,'Tests 2'!$B$2:$B$19,0)))</f>
        <v>T11</v>
      </c>
      <c r="I32" s="90" t="str">
        <f t="array" ref="I32">IF('Tests 1'!H32="","",INDEX('Tests 2'!$C$2:$C$19,MATCH('Tests 1'!H32,'Tests 2'!$B$2:$B$19,0)))</f>
        <v>T4</v>
      </c>
      <c r="J32" s="90" t="str">
        <f t="array" ref="J32">IF('Tests 1'!I32="","",INDEX('Tests 2'!$C$2:$C$19,MATCH('Tests 1'!I32,'Tests 2'!$B$2:$B$19,0)))</f>
        <v>T5</v>
      </c>
      <c r="K32" s="90" t="str">
        <f t="array" ref="K32">IF('Tests 1'!J32="","",INDEX('Tests 2'!$C$2:$C$19,MATCH('Tests 1'!J32,'Tests 2'!$B$2:$B$19,0)))</f>
        <v>T17</v>
      </c>
      <c r="L32" s="90" t="str">
        <f t="array" ref="L32">IF('Tests 1'!K32="","",INDEX('Tests 2'!$C$2:$C$19,MATCH('Tests 1'!K32,'Tests 2'!$B$2:$B$19,0)))</f>
        <v/>
      </c>
      <c r="M32" s="90" t="str">
        <f t="array" ref="M32">IF('Tests 1'!L32="","",INDEX('Tests 2'!$C$2:$C$19,MATCH('Tests 1'!L32,'Tests 2'!$B$2:$B$19,0)))</f>
        <v/>
      </c>
      <c r="N32" s="90" t="str">
        <f t="array" ref="N32">IF('Tests 1'!M32="","",INDEX('Tests 2'!$C$2:$C$19,MATCH('Tests 1'!M32,'Tests 2'!$B$2:$B$19,0)))</f>
        <v/>
      </c>
    </row>
    <row r="33">
      <c r="A33" s="86">
        <v>32.0</v>
      </c>
      <c r="B33" s="87" t="s">
        <v>165</v>
      </c>
      <c r="C33" s="88" t="s">
        <v>166</v>
      </c>
      <c r="D33" s="89">
        <f t="shared" si="1"/>
        <v>1</v>
      </c>
      <c r="E33" s="90" t="str">
        <f t="shared" si="2"/>
        <v>T14,T3,T17,T9,T5,T4,T17</v>
      </c>
      <c r="F33" s="90" t="str">
        <f t="array" ref="F33">IF('Tests 1'!E33="","",INDEX('Tests 2'!$C$2:$C$19,MATCH('Tests 1'!E33,'Tests 2'!$B$2:$B$19,0)))</f>
        <v>T14</v>
      </c>
      <c r="G33" s="90" t="str">
        <f t="array" ref="G33">IF('Tests 1'!F33="","",INDEX('Tests 2'!$C$2:$C$19,MATCH('Tests 1'!F33,'Tests 2'!$B$2:$B$19,0)))</f>
        <v>T3</v>
      </c>
      <c r="H33" s="90" t="str">
        <f t="array" ref="H33">IF('Tests 1'!G33="","",INDEX('Tests 2'!$C$2:$C$19,MATCH('Tests 1'!G33,'Tests 2'!$B$2:$B$19,0)))</f>
        <v>T17</v>
      </c>
      <c r="I33" s="90" t="str">
        <f t="array" ref="I33">IF('Tests 1'!H33="","",INDEX('Tests 2'!$C$2:$C$19,MATCH('Tests 1'!H33,'Tests 2'!$B$2:$B$19,0)))</f>
        <v>T9</v>
      </c>
      <c r="J33" s="90" t="str">
        <f t="array" ref="J33">IF('Tests 1'!I33="","",INDEX('Tests 2'!$C$2:$C$19,MATCH('Tests 1'!I33,'Tests 2'!$B$2:$B$19,0)))</f>
        <v>T5</v>
      </c>
      <c r="K33" s="90" t="str">
        <f t="array" ref="K33">IF('Tests 1'!J33="","",INDEX('Tests 2'!$C$2:$C$19,MATCH('Tests 1'!J33,'Tests 2'!$B$2:$B$19,0)))</f>
        <v>T4</v>
      </c>
      <c r="L33" s="90" t="str">
        <f t="array" ref="L33">IF('Tests 1'!K33="","",INDEX('Tests 2'!$C$2:$C$19,MATCH('Tests 1'!K33,'Tests 2'!$B$2:$B$19,0)))</f>
        <v>T17</v>
      </c>
      <c r="M33" s="90" t="str">
        <f t="array" ref="M33">IF('Tests 1'!L33="","",INDEX('Tests 2'!$C$2:$C$19,MATCH('Tests 1'!L33,'Tests 2'!$B$2:$B$19,0)))</f>
        <v/>
      </c>
      <c r="N33" s="90" t="str">
        <f t="array" ref="N33">IF('Tests 1'!M33="","",INDEX('Tests 2'!$C$2:$C$19,MATCH('Tests 1'!M33,'Tests 2'!$B$2:$B$19,0)))</f>
        <v/>
      </c>
    </row>
    <row r="34">
      <c r="A34" s="86">
        <v>33.0</v>
      </c>
      <c r="B34" s="87" t="s">
        <v>167</v>
      </c>
      <c r="C34" s="88" t="s">
        <v>168</v>
      </c>
      <c r="D34" s="89">
        <f t="shared" si="1"/>
        <v>1</v>
      </c>
      <c r="E34" s="90" t="str">
        <f t="shared" si="2"/>
        <v>T14,T3,T17,T4,T5,T15,T6,T8</v>
      </c>
      <c r="F34" s="90" t="str">
        <f t="array" ref="F34">IF('Tests 1'!E34="","",INDEX('Tests 2'!$C$2:$C$19,MATCH('Tests 1'!E34,'Tests 2'!$B$2:$B$19,0)))</f>
        <v>T14</v>
      </c>
      <c r="G34" s="90" t="str">
        <f t="array" ref="G34">IF('Tests 1'!F34="","",INDEX('Tests 2'!$C$2:$C$19,MATCH('Tests 1'!F34,'Tests 2'!$B$2:$B$19,0)))</f>
        <v>T3</v>
      </c>
      <c r="H34" s="90" t="str">
        <f t="array" ref="H34">IF('Tests 1'!G34="","",INDEX('Tests 2'!$C$2:$C$19,MATCH('Tests 1'!G34,'Tests 2'!$B$2:$B$19,0)))</f>
        <v>T17</v>
      </c>
      <c r="I34" s="90" t="str">
        <f t="array" ref="I34">IF('Tests 1'!H34="","",INDEX('Tests 2'!$C$2:$C$19,MATCH('Tests 1'!H34,'Tests 2'!$B$2:$B$19,0)))</f>
        <v>T4</v>
      </c>
      <c r="J34" s="90" t="str">
        <f t="array" ref="J34">IF('Tests 1'!I34="","",INDEX('Tests 2'!$C$2:$C$19,MATCH('Tests 1'!I34,'Tests 2'!$B$2:$B$19,0)))</f>
        <v>T5</v>
      </c>
      <c r="K34" s="90" t="str">
        <f t="array" ref="K34">IF('Tests 1'!J34="","",INDEX('Tests 2'!$C$2:$C$19,MATCH('Tests 1'!J34,'Tests 2'!$B$2:$B$19,0)))</f>
        <v>T15</v>
      </c>
      <c r="L34" s="90" t="str">
        <f t="array" ref="L34">IF('Tests 1'!K34="","",INDEX('Tests 2'!$C$2:$C$19,MATCH('Tests 1'!K34,'Tests 2'!$B$2:$B$19,0)))</f>
        <v>T6</v>
      </c>
      <c r="M34" s="90" t="str">
        <f t="array" ref="M34">IF('Tests 1'!L34="","",INDEX('Tests 2'!$C$2:$C$19,MATCH('Tests 1'!L34,'Tests 2'!$B$2:$B$19,0)))</f>
        <v>T8</v>
      </c>
      <c r="N34" s="90" t="str">
        <f t="array" ref="N34">IF('Tests 1'!M34="","",INDEX('Tests 2'!$C$2:$C$19,MATCH('Tests 1'!M34,'Tests 2'!$B$2:$B$19,0)))</f>
        <v/>
      </c>
    </row>
    <row r="35">
      <c r="A35" s="86">
        <v>34.0</v>
      </c>
      <c r="B35" s="87" t="s">
        <v>169</v>
      </c>
      <c r="C35" s="88" t="s">
        <v>170</v>
      </c>
      <c r="D35" s="89">
        <f t="shared" si="1"/>
        <v>1</v>
      </c>
      <c r="E35" s="90" t="str">
        <f t="shared" si="2"/>
        <v/>
      </c>
      <c r="F35" s="90" t="str">
        <f t="array" ref="F35">IF('Tests 1'!E35="","",INDEX('Tests 2'!$C$2:$C$19,MATCH('Tests 1'!E35,'Tests 2'!$B$2:$B$19,0)))</f>
        <v/>
      </c>
      <c r="G35" s="90" t="str">
        <f t="array" ref="G35">IF('Tests 1'!F35="","",INDEX('Tests 2'!$C$2:$C$19,MATCH('Tests 1'!F35,'Tests 2'!$B$2:$B$19,0)))</f>
        <v/>
      </c>
      <c r="H35" s="90" t="str">
        <f t="array" ref="H35">IF('Tests 1'!G35="","",INDEX('Tests 2'!$C$2:$C$19,MATCH('Tests 1'!G35,'Tests 2'!$B$2:$B$19,0)))</f>
        <v/>
      </c>
      <c r="I35" s="90" t="str">
        <f t="array" ref="I35">IF('Tests 1'!H35="","",INDEX('Tests 2'!$C$2:$C$19,MATCH('Tests 1'!H35,'Tests 2'!$B$2:$B$19,0)))</f>
        <v/>
      </c>
      <c r="J35" s="90" t="str">
        <f t="array" ref="J35">IF('Tests 1'!I35="","",INDEX('Tests 2'!$C$2:$C$19,MATCH('Tests 1'!I35,'Tests 2'!$B$2:$B$19,0)))</f>
        <v/>
      </c>
      <c r="K35" s="90" t="str">
        <f t="array" ref="K35">IF('Tests 1'!J35="","",INDEX('Tests 2'!$C$2:$C$19,MATCH('Tests 1'!J35,'Tests 2'!$B$2:$B$19,0)))</f>
        <v/>
      </c>
      <c r="L35" s="90" t="str">
        <f t="array" ref="L35">IF('Tests 1'!K35="","",INDEX('Tests 2'!$C$2:$C$19,MATCH('Tests 1'!K35,'Tests 2'!$B$2:$B$19,0)))</f>
        <v/>
      </c>
      <c r="M35" s="90" t="str">
        <f t="array" ref="M35">IF('Tests 1'!L35="","",INDEX('Tests 2'!$C$2:$C$19,MATCH('Tests 1'!L35,'Tests 2'!$B$2:$B$19,0)))</f>
        <v/>
      </c>
      <c r="N35" s="90" t="str">
        <f t="array" ref="N35">IF('Tests 1'!M35="","",INDEX('Tests 2'!$C$2:$C$19,MATCH('Tests 1'!M35,'Tests 2'!$B$2:$B$19,0)))</f>
        <v/>
      </c>
    </row>
    <row r="36">
      <c r="A36" s="86">
        <v>35.0</v>
      </c>
      <c r="B36" s="87" t="s">
        <v>171</v>
      </c>
      <c r="C36" s="88" t="s">
        <v>172</v>
      </c>
      <c r="D36" s="89">
        <f t="shared" si="1"/>
        <v>1</v>
      </c>
      <c r="E36" s="90" t="str">
        <f t="shared" si="2"/>
        <v/>
      </c>
      <c r="F36" s="90" t="str">
        <f t="array" ref="F36">IF('Tests 1'!E36="","",INDEX('Tests 2'!$C$2:$C$19,MATCH('Tests 1'!E36,'Tests 2'!$B$2:$B$19,0)))</f>
        <v/>
      </c>
      <c r="G36" s="90" t="str">
        <f t="array" ref="G36">IF('Tests 1'!F36="","",INDEX('Tests 2'!$C$2:$C$19,MATCH('Tests 1'!F36,'Tests 2'!$B$2:$B$19,0)))</f>
        <v/>
      </c>
      <c r="H36" s="90" t="str">
        <f t="array" ref="H36">IF('Tests 1'!G36="","",INDEX('Tests 2'!$C$2:$C$19,MATCH('Tests 1'!G36,'Tests 2'!$B$2:$B$19,0)))</f>
        <v/>
      </c>
      <c r="I36" s="90" t="str">
        <f t="array" ref="I36">IF('Tests 1'!H36="","",INDEX('Tests 2'!$C$2:$C$19,MATCH('Tests 1'!H36,'Tests 2'!$B$2:$B$19,0)))</f>
        <v/>
      </c>
      <c r="J36" s="90" t="str">
        <f t="array" ref="J36">IF('Tests 1'!I36="","",INDEX('Tests 2'!$C$2:$C$19,MATCH('Tests 1'!I36,'Tests 2'!$B$2:$B$19,0)))</f>
        <v/>
      </c>
      <c r="K36" s="90" t="str">
        <f t="array" ref="K36">IF('Tests 1'!J36="","",INDEX('Tests 2'!$C$2:$C$19,MATCH('Tests 1'!J36,'Tests 2'!$B$2:$B$19,0)))</f>
        <v/>
      </c>
      <c r="L36" s="90" t="str">
        <f t="array" ref="L36">IF('Tests 1'!K36="","",INDEX('Tests 2'!$C$2:$C$19,MATCH('Tests 1'!K36,'Tests 2'!$B$2:$B$19,0)))</f>
        <v/>
      </c>
      <c r="M36" s="90" t="str">
        <f t="array" ref="M36">IF('Tests 1'!L36="","",INDEX('Tests 2'!$C$2:$C$19,MATCH('Tests 1'!L36,'Tests 2'!$B$2:$B$19,0)))</f>
        <v/>
      </c>
      <c r="N36" s="90" t="str">
        <f t="array" ref="N36">IF('Tests 1'!M36="","",INDEX('Tests 2'!$C$2:$C$19,MATCH('Tests 1'!M36,'Tests 2'!$B$2:$B$19,0)))</f>
        <v/>
      </c>
    </row>
  </sheetData>
  <mergeCells count="2">
    <mergeCell ref="C1:D1"/>
    <mergeCell ref="F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3.25"/>
    <col customWidth="1" min="2" max="2" width="14.25"/>
    <col customWidth="1" min="3" max="3" width="11.5"/>
    <col customWidth="1" min="4" max="4" width="3.75"/>
    <col customWidth="1" min="5" max="6" width="2.88"/>
    <col customWidth="1" min="7" max="7" width="3.75"/>
    <col customWidth="1" min="8" max="8" width="2.88"/>
    <col customWidth="1" min="9" max="30" width="3.75"/>
  </cols>
  <sheetData>
    <row r="1">
      <c r="A1" s="100"/>
      <c r="B1" s="38" t="s">
        <v>72</v>
      </c>
      <c r="C1" s="101"/>
      <c r="D1" s="102" t="str">
        <f>IFERROR(__xludf.DUMMYFUNCTION("IF(COUNTBLANK(D7:F41)&lt;&gt;560,
TRANSPOSE(FILTER(UNIQUE({
TRANSPOSE(D7:S7);TRANSPOSE(D8:S8);TRANSPOSE(D9:S9);TRANSPOSE(D10:S10);TRANSPOSE(D11:S11);TRANSPOSE(D12:S12);TRANSPOSE(D13:S13);TRANSPOSE(D14:S14);TRANSPOSE(D15:S15);TRANSPOSE(D16:S16);TRANSPOSE(D17:S17"&amp;");TRANSPOSE(D18:S18);TRANSPOSE(D19:S19);TRANSPOSE(D20:S20);TRANSPOSE(D21:S21);TRANSPOSE(D22:S22);TRANSPOSE(D23:S23);TRANSPOSE(D24:S24);TRANSPOSE(D25:S25);TRANSPOSE(D26:S26);TRANSPOSE(D27:S27);TRANSPOSE(D28:S28);TRANSPOSE(D29:S29);TRANSPOSE(D30:S30);TRANSP"&amp;"OSE(D31:S31);TRANSPOSE(D32:S32);TRANSPOSE(D33:S33);TRANSPOSE(D34:S34);TRANSPOSE(D35:S35);TRANSPOSE(D36:S36);TRANSPOSE(D37:S37);TRANSPOSE(D38:S38);TRANSPOSE(D39:S39);TRANSPOSE(D40:S40);TRANSPOSE(D41:S41)
}),
NOT(ISBLANK(UNIQUE({
TRANSPOSE(D7:S7);TRANSPOSE("&amp;"D8:S8);TRANSPOSE(D9:S9);TRANSPOSE(D10:S10);TRANSPOSE(D11:S11);TRANSPOSE(D12:S12);TRANSPOSE(D13:S13);TRANSPOSE(D14:S14);TRANSPOSE(D15:S15);TRANSPOSE(D16:S16);TRANSPOSE(D17:S17);TRANSPOSE(D18:S18);TRANSPOSE(D19:S19);TRANSPOSE(D20:S20);TRANSPOSE(D21:S21);TRA"&amp;"NSPOSE(D22:S22);TRANSPOSE(D23:S23);TRANSPOSE(D24:S24);TRANSPOSE(D25:S25);TRANSPOSE(D26:S26);TRANSPOSE(D27:S27);TRANSPOSE(D28:S28);TRANSPOSE(D29:S29);TRANSPOSE(D30:S30);TRANSPOSE(D31:S31);TRANSPOSE(D32:S32);TRANSPOSE(D33:S33);TRANSPOSE(D34:S34);TRANSPOSE(D"&amp;"35:S35);TRANSPOSE(D36:S36);TRANSPOSE(D37:S37);TRANSPOSE(D38:S38);TRANSPOSE(D39:S39);TRANSPOSE(D40:S40);TRANSPOSE(D41:S41)}))))),
"""")"),"T9")</f>
        <v>T9</v>
      </c>
      <c r="E1" s="102" t="str">
        <f>IFERROR(__xludf.DUMMYFUNCTION("""COMPUTED_VALUE"""),"T5")</f>
        <v>T5</v>
      </c>
      <c r="F1" s="102" t="str">
        <f>IFERROR(__xludf.DUMMYFUNCTION("""COMPUTED_VALUE"""),"T4")</f>
        <v>T4</v>
      </c>
      <c r="G1" s="102" t="str">
        <f>IFERROR(__xludf.DUMMYFUNCTION("""COMPUTED_VALUE"""),"T17")</f>
        <v>T17</v>
      </c>
      <c r="H1" s="102" t="str">
        <f>IFERROR(__xludf.DUMMYFUNCTION("""COMPUTED_VALUE"""),"T6")</f>
        <v>T6</v>
      </c>
      <c r="I1" s="102" t="str">
        <f>IFERROR(__xludf.DUMMYFUNCTION("""COMPUTED_VALUE"""),"T7")</f>
        <v>T7</v>
      </c>
      <c r="J1" s="102" t="str">
        <f>IFERROR(__xludf.DUMMYFUNCTION("""COMPUTED_VALUE"""),"T1")</f>
        <v>T1</v>
      </c>
      <c r="K1" s="102" t="str">
        <f>IFERROR(__xludf.DUMMYFUNCTION("""COMPUTED_VALUE"""),"T10")</f>
        <v>T10</v>
      </c>
      <c r="L1" s="102" t="str">
        <f>IFERROR(__xludf.DUMMYFUNCTION("""COMPUTED_VALUE"""),"T11")</f>
        <v>T11</v>
      </c>
      <c r="M1" s="102" t="str">
        <f>IFERROR(__xludf.DUMMYFUNCTION("""COMPUTED_VALUE"""),"T14")</f>
        <v>T14</v>
      </c>
      <c r="N1" s="102" t="str">
        <f>IFERROR(__xludf.DUMMYFUNCTION("""COMPUTED_VALUE"""),"")</f>
        <v/>
      </c>
      <c r="O1" s="102" t="str">
        <f>IFERROR(__xludf.DUMMYFUNCTION("""COMPUTED_VALUE"""),"T12")</f>
        <v>T12</v>
      </c>
      <c r="P1" s="102" t="str">
        <f>IFERROR(__xludf.DUMMYFUNCTION("""COMPUTED_VALUE"""),"T13")</f>
        <v>T13</v>
      </c>
      <c r="Q1" s="102" t="str">
        <f>IFERROR(__xludf.DUMMYFUNCTION("""COMPUTED_VALUE"""),"T8")</f>
        <v>T8</v>
      </c>
      <c r="R1" s="102" t="str">
        <f>IFERROR(__xludf.DUMMYFUNCTION("""COMPUTED_VALUE"""),"T18")</f>
        <v>T18</v>
      </c>
      <c r="S1" s="103" t="str">
        <f>IFERROR(__xludf.DUMMYFUNCTION("""COMPUTED_VALUE"""),"T3")</f>
        <v>T3</v>
      </c>
      <c r="T1" s="104" t="str">
        <f>IFERROR(__xludf.DUMMYFUNCTION("""COMPUTED_VALUE"""),"T2")</f>
        <v>T2</v>
      </c>
      <c r="U1" s="104" t="str">
        <f>IFERROR(__xludf.DUMMYFUNCTION("""COMPUTED_VALUE"""),"T15")</f>
        <v>T15</v>
      </c>
      <c r="V1" s="104" t="str">
        <f>IFERROR(__xludf.DUMMYFUNCTION("""COMPUTED_VALUE"""),"T16")</f>
        <v>T16</v>
      </c>
      <c r="W1" s="104"/>
      <c r="X1" s="104"/>
      <c r="Y1" s="104"/>
      <c r="Z1" s="104"/>
      <c r="AA1" s="104"/>
      <c r="AB1" s="104"/>
      <c r="AC1" s="104"/>
      <c r="AD1" s="104"/>
    </row>
    <row r="2">
      <c r="A2" s="100"/>
      <c r="B2" s="105"/>
      <c r="D2" s="106">
        <f>IF(D1="","",IF(COUNTA(D1:S1)=0,"",COUNTIF($D$7:$S$41,D1)))</f>
        <v>2</v>
      </c>
      <c r="E2" s="106">
        <f t="shared" ref="E2:S2" si="1">IF(E1="","",IF(COUNTA(E1:AE1)=0,"",COUNTIF($D$7:$S$41,E1)))</f>
        <v>6</v>
      </c>
      <c r="F2" s="106">
        <f t="shared" si="1"/>
        <v>8</v>
      </c>
      <c r="G2" s="106">
        <f t="shared" si="1"/>
        <v>15</v>
      </c>
      <c r="H2" s="106">
        <f t="shared" si="1"/>
        <v>5</v>
      </c>
      <c r="I2" s="106">
        <f t="shared" si="1"/>
        <v>1</v>
      </c>
      <c r="J2" s="106">
        <f t="shared" si="1"/>
        <v>2</v>
      </c>
      <c r="K2" s="106">
        <f t="shared" si="1"/>
        <v>2</v>
      </c>
      <c r="L2" s="106">
        <f t="shared" si="1"/>
        <v>2</v>
      </c>
      <c r="M2" s="106">
        <f t="shared" si="1"/>
        <v>18</v>
      </c>
      <c r="N2" s="106" t="str">
        <f t="shared" si="1"/>
        <v/>
      </c>
      <c r="O2" s="106">
        <f t="shared" si="1"/>
        <v>1</v>
      </c>
      <c r="P2" s="106">
        <f t="shared" si="1"/>
        <v>6</v>
      </c>
      <c r="Q2" s="106">
        <f t="shared" si="1"/>
        <v>5</v>
      </c>
      <c r="R2" s="106">
        <f t="shared" si="1"/>
        <v>2</v>
      </c>
      <c r="S2" s="107">
        <f t="shared" si="1"/>
        <v>8</v>
      </c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</row>
    <row r="3">
      <c r="A3" s="100"/>
      <c r="B3" s="49" t="s">
        <v>74</v>
      </c>
      <c r="C3" s="108"/>
      <c r="D3" s="109" t="str">
        <f>IFERROR(__xludf.DUMMYFUNCTION("TRANSPOSE(SORT(FILTER(TRANSPOSE(D1:S2),TRANSPOSE(D2:S2)&lt;&gt;""""),2,FALSE))"),"T14")</f>
        <v>T14</v>
      </c>
      <c r="E3" s="109" t="str">
        <f>IFERROR(__xludf.DUMMYFUNCTION("""COMPUTED_VALUE"""),"T17")</f>
        <v>T17</v>
      </c>
      <c r="F3" s="109" t="str">
        <f>IFERROR(__xludf.DUMMYFUNCTION("""COMPUTED_VALUE"""),"T4")</f>
        <v>T4</v>
      </c>
      <c r="G3" s="109" t="str">
        <f>IFERROR(__xludf.DUMMYFUNCTION("""COMPUTED_VALUE"""),"T3")</f>
        <v>T3</v>
      </c>
      <c r="H3" s="109" t="str">
        <f>IFERROR(__xludf.DUMMYFUNCTION("""COMPUTED_VALUE"""),"T5")</f>
        <v>T5</v>
      </c>
      <c r="I3" s="109" t="str">
        <f>IFERROR(__xludf.DUMMYFUNCTION("""COMPUTED_VALUE"""),"T13")</f>
        <v>T13</v>
      </c>
      <c r="J3" s="109" t="str">
        <f>IFERROR(__xludf.DUMMYFUNCTION("""COMPUTED_VALUE"""),"T6")</f>
        <v>T6</v>
      </c>
      <c r="K3" s="109" t="str">
        <f>IFERROR(__xludf.DUMMYFUNCTION("""COMPUTED_VALUE"""),"T8")</f>
        <v>T8</v>
      </c>
      <c r="L3" s="109" t="str">
        <f>IFERROR(__xludf.DUMMYFUNCTION("""COMPUTED_VALUE"""),"T9")</f>
        <v>T9</v>
      </c>
      <c r="M3" s="109" t="str">
        <f>IFERROR(__xludf.DUMMYFUNCTION("""COMPUTED_VALUE"""),"T1")</f>
        <v>T1</v>
      </c>
      <c r="N3" s="109" t="str">
        <f>IFERROR(__xludf.DUMMYFUNCTION("""COMPUTED_VALUE"""),"T10")</f>
        <v>T10</v>
      </c>
      <c r="O3" s="109" t="str">
        <f>IFERROR(__xludf.DUMMYFUNCTION("""COMPUTED_VALUE"""),"T11")</f>
        <v>T11</v>
      </c>
      <c r="P3" s="109" t="str">
        <f>IFERROR(__xludf.DUMMYFUNCTION("""COMPUTED_VALUE"""),"T18")</f>
        <v>T18</v>
      </c>
      <c r="Q3" s="109" t="str">
        <f>IFERROR(__xludf.DUMMYFUNCTION("""COMPUTED_VALUE"""),"T7")</f>
        <v>T7</v>
      </c>
      <c r="R3" s="109" t="str">
        <f>IFERROR(__xludf.DUMMYFUNCTION("""COMPUTED_VALUE"""),"T12")</f>
        <v>T12</v>
      </c>
      <c r="S3" s="110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>
      <c r="A4" s="100"/>
      <c r="B4" s="54"/>
      <c r="C4" s="111"/>
      <c r="D4" s="112">
        <f>IFERROR(__xludf.DUMMYFUNCTION("""COMPUTED_VALUE"""),18.0)</f>
        <v>18</v>
      </c>
      <c r="E4" s="112">
        <f>IFERROR(__xludf.DUMMYFUNCTION("""COMPUTED_VALUE"""),15.0)</f>
        <v>15</v>
      </c>
      <c r="F4" s="112">
        <f>IFERROR(__xludf.DUMMYFUNCTION("""COMPUTED_VALUE"""),8.0)</f>
        <v>8</v>
      </c>
      <c r="G4" s="112">
        <f>IFERROR(__xludf.DUMMYFUNCTION("""COMPUTED_VALUE"""),8.0)</f>
        <v>8</v>
      </c>
      <c r="H4" s="112">
        <f>IFERROR(__xludf.DUMMYFUNCTION("""COMPUTED_VALUE"""),6.0)</f>
        <v>6</v>
      </c>
      <c r="I4" s="112">
        <f>IFERROR(__xludf.DUMMYFUNCTION("""COMPUTED_VALUE"""),6.0)</f>
        <v>6</v>
      </c>
      <c r="J4" s="112">
        <f>IFERROR(__xludf.DUMMYFUNCTION("""COMPUTED_VALUE"""),5.0)</f>
        <v>5</v>
      </c>
      <c r="K4" s="113">
        <f>IFERROR(__xludf.DUMMYFUNCTION("""COMPUTED_VALUE"""),5.0)</f>
        <v>5</v>
      </c>
      <c r="L4" s="113">
        <f>IFERROR(__xludf.DUMMYFUNCTION("""COMPUTED_VALUE"""),2.0)</f>
        <v>2</v>
      </c>
      <c r="M4" s="113">
        <f>IFERROR(__xludf.DUMMYFUNCTION("""COMPUTED_VALUE"""),2.0)</f>
        <v>2</v>
      </c>
      <c r="N4" s="113">
        <f>IFERROR(__xludf.DUMMYFUNCTION("""COMPUTED_VALUE"""),2.0)</f>
        <v>2</v>
      </c>
      <c r="O4" s="113">
        <f>IFERROR(__xludf.DUMMYFUNCTION("""COMPUTED_VALUE"""),2.0)</f>
        <v>2</v>
      </c>
      <c r="P4" s="113">
        <f>IFERROR(__xludf.DUMMYFUNCTION("""COMPUTED_VALUE"""),2.0)</f>
        <v>2</v>
      </c>
      <c r="Q4" s="113">
        <f>IFERROR(__xludf.DUMMYFUNCTION("""COMPUTED_VALUE"""),1.0)</f>
        <v>1</v>
      </c>
      <c r="R4" s="113">
        <f>IFERROR(__xludf.DUMMYFUNCTION("""COMPUTED_VALUE"""),1.0)</f>
        <v>1</v>
      </c>
      <c r="S4" s="11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>
      <c r="A5" s="100"/>
      <c r="B5" s="115"/>
      <c r="C5" s="115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>
      <c r="A6" s="116" t="s">
        <v>80</v>
      </c>
      <c r="B6" s="99" t="s">
        <v>194</v>
      </c>
      <c r="C6" s="99" t="s">
        <v>195</v>
      </c>
      <c r="D6" s="84" t="s">
        <v>193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3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</row>
    <row r="7">
      <c r="A7" s="118">
        <f t="shared" ref="A7:A41" si="2">IF(B7="","",COUNTA($B$7:B7))</f>
        <v>1</v>
      </c>
      <c r="B7" s="119" t="str">
        <f t="array" ref="B7:B49">IFERROR(TRANSPOSE('Obsv 2'!F31:AV31))</f>
        <v>DN</v>
      </c>
      <c r="C7" s="120" t="str">
        <f t="array" ref="C7">IF(B7="","", INDEX('Tests 3'!$E$2:$E41,MATCH(B7,'Tests 3'!$C$2:$C41,0)))</f>
        <v>T9,T5,T4,T17,T6,T7,T1</v>
      </c>
      <c r="D7" s="121" t="str">
        <f>IFERROR(__xludf.DUMMYFUNCTION("IF(C7="""","""",SPLIT(C7,"",""))"),"T9")</f>
        <v>T9</v>
      </c>
      <c r="E7" s="120" t="str">
        <f>IFERROR(__xludf.DUMMYFUNCTION("""COMPUTED_VALUE"""),"T5")</f>
        <v>T5</v>
      </c>
      <c r="F7" s="120" t="str">
        <f>IFERROR(__xludf.DUMMYFUNCTION("""COMPUTED_VALUE"""),"T4")</f>
        <v>T4</v>
      </c>
      <c r="G7" s="120" t="str">
        <f>IFERROR(__xludf.DUMMYFUNCTION("""COMPUTED_VALUE"""),"T17")</f>
        <v>T17</v>
      </c>
      <c r="H7" s="120" t="str">
        <f>IFERROR(__xludf.DUMMYFUNCTION("""COMPUTED_VALUE"""),"T6")</f>
        <v>T6</v>
      </c>
      <c r="I7" s="120" t="str">
        <f>IFERROR(__xludf.DUMMYFUNCTION("""COMPUTED_VALUE"""),"T7")</f>
        <v>T7</v>
      </c>
      <c r="J7" s="120" t="str">
        <f>IFERROR(__xludf.DUMMYFUNCTION("""COMPUTED_VALUE"""),"T1")</f>
        <v>T1</v>
      </c>
    </row>
    <row r="8">
      <c r="A8" s="118">
        <f t="shared" si="2"/>
        <v>2</v>
      </c>
      <c r="B8" s="119" t="s">
        <v>94</v>
      </c>
      <c r="C8" s="120" t="str">
        <f t="array" ref="C8">IF(B8="","", INDEX('Tests 3'!$E$2:$E41,MATCH(B8,'Tests 3'!$C$2:$C41,0)))</f>
        <v>T10,T11,T5,T4,T14</v>
      </c>
      <c r="D8" s="121" t="str">
        <f>IFERROR(__xludf.DUMMYFUNCTION("IF(C8="""","""",SPLIT(C8,"",""))"),"T10")</f>
        <v>T10</v>
      </c>
      <c r="E8" s="120" t="str">
        <f>IFERROR(__xludf.DUMMYFUNCTION("""COMPUTED_VALUE"""),"T11")</f>
        <v>T11</v>
      </c>
      <c r="F8" s="120" t="str">
        <f>IFERROR(__xludf.DUMMYFUNCTION("""COMPUTED_VALUE"""),"T5")</f>
        <v>T5</v>
      </c>
      <c r="G8" s="120" t="str">
        <f>IFERROR(__xludf.DUMMYFUNCTION("""COMPUTED_VALUE"""),"T4")</f>
        <v>T4</v>
      </c>
      <c r="H8" s="120" t="str">
        <f>IFERROR(__xludf.DUMMYFUNCTION("""COMPUTED_VALUE"""),"T14")</f>
        <v>T14</v>
      </c>
    </row>
    <row r="9">
      <c r="A9" s="118">
        <f t="shared" si="2"/>
        <v>3</v>
      </c>
      <c r="B9" s="119" t="s">
        <v>99</v>
      </c>
      <c r="C9" s="120" t="str">
        <f t="array" ref="C9">IF(B9="","", INDEX('Tests 3'!$E$2:$E41,MATCH(B9,'Tests 3'!$C$2:$C41,0)))</f>
        <v/>
      </c>
      <c r="D9" s="121" t="str">
        <f>IFERROR(__xludf.DUMMYFUNCTION("IF(C9="""","""",SPLIT(C9,"",""))"),"")</f>
        <v/>
      </c>
    </row>
    <row r="10">
      <c r="A10" s="118">
        <f t="shared" si="2"/>
        <v>4</v>
      </c>
      <c r="B10" s="119" t="s">
        <v>101</v>
      </c>
      <c r="C10" s="120" t="str">
        <f t="array" ref="C10">IF(B10="","", INDEX('Tests 3'!$E$2:$E41,MATCH(B10,'Tests 3'!$C$2:$C41,0)))</f>
        <v>T12</v>
      </c>
      <c r="D10" s="121" t="str">
        <f>IFERROR(__xludf.DUMMYFUNCTION("IF(C10="""","""",SPLIT(C10,"",""))"),"T12")</f>
        <v>T12</v>
      </c>
    </row>
    <row r="11">
      <c r="A11" s="118">
        <f t="shared" si="2"/>
        <v>5</v>
      </c>
      <c r="B11" s="119" t="s">
        <v>104</v>
      </c>
      <c r="C11" s="120" t="str">
        <f t="array" ref="C11">IF(B11="","", INDEX('Tests 3'!$E$2:$E41,MATCH(B11,'Tests 3'!$C$2:$C41,0)))</f>
        <v>T13,T14</v>
      </c>
      <c r="D11" s="121" t="str">
        <f>IFERROR(__xludf.DUMMYFUNCTION("IF(C11="""","""",SPLIT(C11,"",""))"),"T13")</f>
        <v>T13</v>
      </c>
      <c r="E11" s="120" t="str">
        <f>IFERROR(__xludf.DUMMYFUNCTION("""COMPUTED_VALUE"""),"T14")</f>
        <v>T14</v>
      </c>
    </row>
    <row r="12">
      <c r="A12" s="118">
        <f t="shared" si="2"/>
        <v>6</v>
      </c>
      <c r="B12" s="119" t="s">
        <v>126</v>
      </c>
      <c r="C12" s="120" t="str">
        <f t="array" ref="C12">IF(B12="","", INDEX('Tests 3'!$E$2:$E41,MATCH(B12,'Tests 3'!$C$2:$C41,0)))</f>
        <v>T13,T14,T6,T8</v>
      </c>
      <c r="D12" s="121" t="str">
        <f>IFERROR(__xludf.DUMMYFUNCTION("IF(C12="""","""",SPLIT(C12,"",""))"),"T13")</f>
        <v>T13</v>
      </c>
      <c r="E12" s="120" t="str">
        <f>IFERROR(__xludf.DUMMYFUNCTION("""COMPUTED_VALUE"""),"T14")</f>
        <v>T14</v>
      </c>
      <c r="F12" s="120" t="str">
        <f>IFERROR(__xludf.DUMMYFUNCTION("""COMPUTED_VALUE"""),"T6")</f>
        <v>T6</v>
      </c>
      <c r="G12" s="120" t="str">
        <f>IFERROR(__xludf.DUMMYFUNCTION("""COMPUTED_VALUE"""),"T8")</f>
        <v>T8</v>
      </c>
    </row>
    <row r="13">
      <c r="A13" s="118">
        <f t="shared" si="2"/>
        <v>7</v>
      </c>
      <c r="B13" s="119" t="s">
        <v>109</v>
      </c>
      <c r="C13" s="120" t="str">
        <f t="array" ref="C13">IF(B13="","", INDEX('Tests 3'!$E$2:$E41,MATCH(B13,'Tests 3'!$C$2:$C41,0)))</f>
        <v>T17,T14</v>
      </c>
      <c r="D13" s="121" t="str">
        <f>IFERROR(__xludf.DUMMYFUNCTION("IF(C13="""","""",SPLIT(C13,"",""))"),"T17")</f>
        <v>T17</v>
      </c>
      <c r="E13" s="120" t="str">
        <f>IFERROR(__xludf.DUMMYFUNCTION("""COMPUTED_VALUE"""),"T14")</f>
        <v>T14</v>
      </c>
    </row>
    <row r="14">
      <c r="A14" s="118">
        <f t="shared" si="2"/>
        <v>8</v>
      </c>
      <c r="B14" s="119" t="s">
        <v>111</v>
      </c>
      <c r="C14" s="120" t="str">
        <f t="array" ref="C14">IF(B14="","", INDEX('Tests 3'!$E$2:$E41,MATCH(B14,'Tests 3'!$C$2:$C41,0)))</f>
        <v>T17,T14</v>
      </c>
      <c r="D14" s="121" t="str">
        <f>IFERROR(__xludf.DUMMYFUNCTION("IF(C14="""","""",SPLIT(C14,"",""))"),"T17")</f>
        <v>T17</v>
      </c>
      <c r="E14" s="120" t="str">
        <f>IFERROR(__xludf.DUMMYFUNCTION("""COMPUTED_VALUE"""),"T14")</f>
        <v>T14</v>
      </c>
    </row>
    <row r="15">
      <c r="A15" s="118">
        <f t="shared" si="2"/>
        <v>9</v>
      </c>
      <c r="B15" s="119" t="s">
        <v>113</v>
      </c>
      <c r="C15" s="120" t="str">
        <f t="array" ref="C15">IF(B15="","", INDEX('Tests 3'!$E$2:$E41,MATCH(B15,'Tests 3'!$C$2:$C41,0)))</f>
        <v>T17,T8</v>
      </c>
      <c r="D15" s="121" t="str">
        <f>IFERROR(__xludf.DUMMYFUNCTION("IF(C15="""","""",SPLIT(C15,"",""))"),"T17")</f>
        <v>T17</v>
      </c>
      <c r="E15" s="120" t="str">
        <f>IFERROR(__xludf.DUMMYFUNCTION("""COMPUTED_VALUE"""),"T8")</f>
        <v>T8</v>
      </c>
    </row>
    <row r="16">
      <c r="A16" s="118">
        <f t="shared" si="2"/>
        <v>10</v>
      </c>
      <c r="B16" s="119" t="s">
        <v>117</v>
      </c>
      <c r="C16" s="120" t="str">
        <f t="array" ref="C16">IF(B16="","", INDEX('Tests 3'!$E$2:$E41,MATCH(B16,'Tests 3'!$C$2:$C41,0)))</f>
        <v>T18,T17</v>
      </c>
      <c r="D16" s="121" t="str">
        <f>IFERROR(__xludf.DUMMYFUNCTION("IF(C16="""","""",SPLIT(C16,"",""))"),"T18")</f>
        <v>T18</v>
      </c>
      <c r="E16" s="120" t="str">
        <f>IFERROR(__xludf.DUMMYFUNCTION("""COMPUTED_VALUE"""),"T17")</f>
        <v>T17</v>
      </c>
    </row>
    <row r="17">
      <c r="A17" s="118">
        <f t="shared" si="2"/>
        <v>11</v>
      </c>
      <c r="B17" s="119" t="s">
        <v>120</v>
      </c>
      <c r="C17" s="120" t="str">
        <f t="array" ref="C17">IF(B17="","", INDEX('Tests 3'!$E$2:$E41,MATCH(B17,'Tests 3'!$C$2:$C41,0)))</f>
        <v>T18</v>
      </c>
      <c r="D17" s="121" t="str">
        <f>IFERROR(__xludf.DUMMYFUNCTION("IF(C17="""","""",SPLIT(C17,"",""))"),"T18")</f>
        <v>T18</v>
      </c>
    </row>
    <row r="18">
      <c r="A18" s="118">
        <f t="shared" si="2"/>
        <v>12</v>
      </c>
      <c r="B18" s="119" t="s">
        <v>136</v>
      </c>
      <c r="C18" s="120" t="str">
        <f t="array" ref="C18">IF(B18="","", INDEX('Tests 3'!$E$2:$E41,MATCH(B18,'Tests 3'!$C$2:$C41,0)))</f>
        <v>T4,T14</v>
      </c>
      <c r="D18" s="121" t="str">
        <f>IFERROR(__xludf.DUMMYFUNCTION("IF(C18="""","""",SPLIT(C18,"",""))"),"T4")</f>
        <v>T4</v>
      </c>
      <c r="E18" s="120" t="str">
        <f>IFERROR(__xludf.DUMMYFUNCTION("""COMPUTED_VALUE"""),"T14")</f>
        <v>T14</v>
      </c>
    </row>
    <row r="19">
      <c r="A19" s="118">
        <f t="shared" si="2"/>
        <v>13</v>
      </c>
      <c r="B19" s="119" t="s">
        <v>122</v>
      </c>
      <c r="C19" s="120" t="str">
        <f t="array" ref="C19">IF(B19="","", INDEX('Tests 3'!$E$2:$E41,MATCH(B19,'Tests 3'!$C$2:$C41,0)))</f>
        <v/>
      </c>
      <c r="D19" s="121" t="str">
        <f>IFERROR(__xludf.DUMMYFUNCTION("IF(C19="""","""",SPLIT(C19,"",""))"),"")</f>
        <v/>
      </c>
    </row>
    <row r="20">
      <c r="A20" s="118">
        <f t="shared" si="2"/>
        <v>14</v>
      </c>
      <c r="B20" s="119" t="s">
        <v>124</v>
      </c>
      <c r="C20" s="120" t="str">
        <f t="array" ref="C20">IF(B20="","", INDEX('Tests 3'!$E$2:$E41,MATCH(B20,'Tests 3'!$C$2:$C41,0)))</f>
        <v>T13,T14</v>
      </c>
      <c r="D20" s="121" t="str">
        <f>IFERROR(__xludf.DUMMYFUNCTION("IF(C20="""","""",SPLIT(C20,"",""))"),"T13")</f>
        <v>T13</v>
      </c>
      <c r="E20" s="120" t="str">
        <f>IFERROR(__xludf.DUMMYFUNCTION("""COMPUTED_VALUE"""),"T14")</f>
        <v>T14</v>
      </c>
    </row>
    <row r="21">
      <c r="A21" s="118">
        <f t="shared" si="2"/>
        <v>15</v>
      </c>
      <c r="B21" s="119" t="s">
        <v>107</v>
      </c>
      <c r="C21" s="120" t="str">
        <f t="array" ref="C21">IF(B21="","", INDEX('Tests 3'!$E$2:$E41,MATCH(B21,'Tests 3'!$C$2:$C41,0)))</f>
        <v/>
      </c>
      <c r="D21" s="121" t="str">
        <f>IFERROR(__xludf.DUMMYFUNCTION("IF(C21="""","""",SPLIT(C21,"",""))"),"")</f>
        <v/>
      </c>
    </row>
    <row r="22">
      <c r="A22" s="118">
        <f t="shared" si="2"/>
        <v>16</v>
      </c>
      <c r="B22" s="119" t="s">
        <v>138</v>
      </c>
      <c r="C22" s="120" t="str">
        <f t="array" ref="C22">IF(B22="","", INDEX('Tests 3'!$E$2:$E41,MATCH(B22,'Tests 3'!$C$2:$C41,0)))</f>
        <v>T4,T14</v>
      </c>
      <c r="D22" s="121" t="str">
        <f>IFERROR(__xludf.DUMMYFUNCTION("IF(C22="""","""",SPLIT(C22,"",""))"),"T4")</f>
        <v>T4</v>
      </c>
      <c r="E22" s="120" t="str">
        <f>IFERROR(__xludf.DUMMYFUNCTION("""COMPUTED_VALUE"""),"T14")</f>
        <v>T14</v>
      </c>
    </row>
    <row r="23">
      <c r="A23" s="118">
        <f t="shared" si="2"/>
        <v>17</v>
      </c>
      <c r="B23" s="119" t="s">
        <v>140</v>
      </c>
      <c r="C23" s="120" t="str">
        <f t="array" ref="C23">IF(B23="","", INDEX('Tests 3'!$E$2:$E41,MATCH(B23,'Tests 3'!$C$2:$C41,0)))</f>
        <v>T13,T14</v>
      </c>
      <c r="D23" s="121" t="str">
        <f>IFERROR(__xludf.DUMMYFUNCTION("IF(C23="""","""",SPLIT(C23,"",""))"),"T13")</f>
        <v>T13</v>
      </c>
      <c r="E23" s="120" t="str">
        <f>IFERROR(__xludf.DUMMYFUNCTION("""COMPUTED_VALUE"""),"T14")</f>
        <v>T14</v>
      </c>
    </row>
    <row r="24">
      <c r="A24" s="118">
        <f t="shared" si="2"/>
        <v>18</v>
      </c>
      <c r="B24" s="119" t="s">
        <v>142</v>
      </c>
      <c r="C24" s="120" t="str">
        <f t="array" ref="C24">IF(B24="","", INDEX('Tests 3'!$E$2:$E41,MATCH(B24,'Tests 3'!$C$2:$C41,0)))</f>
        <v>T1</v>
      </c>
      <c r="D24" s="121" t="str">
        <f>IFERROR(__xludf.DUMMYFUNCTION("IF(C24="""","""",SPLIT(C24,"",""))"),"T1")</f>
        <v>T1</v>
      </c>
    </row>
    <row r="25">
      <c r="A25" s="118">
        <f t="shared" si="2"/>
        <v>19</v>
      </c>
      <c r="B25" s="119" t="s">
        <v>144</v>
      </c>
      <c r="C25" s="120" t="str">
        <f t="array" ref="C25">IF(B25="","", INDEX('Tests 3'!$E$2:$E41,MATCH(B25,'Tests 3'!$C$2:$C41,0)))</f>
        <v>T13,T14</v>
      </c>
      <c r="D25" s="121" t="str">
        <f>IFERROR(__xludf.DUMMYFUNCTION("IF(C25="""","""",SPLIT(C25,"",""))"),"T13")</f>
        <v>T13</v>
      </c>
      <c r="E25" s="120" t="str">
        <f>IFERROR(__xludf.DUMMYFUNCTION("""COMPUTED_VALUE"""),"T14")</f>
        <v>T14</v>
      </c>
    </row>
    <row r="26">
      <c r="A26" s="118">
        <f t="shared" si="2"/>
        <v>20</v>
      </c>
      <c r="B26" s="119" t="s">
        <v>146</v>
      </c>
      <c r="C26" s="120" t="str">
        <f t="array" ref="C26">IF(B26="","", INDEX('Tests 3'!$E$2:$E41,MATCH(B26,'Tests 3'!$C$2:$C41,0)))</f>
        <v>T6</v>
      </c>
      <c r="D26" s="121" t="str">
        <f>IFERROR(__xludf.DUMMYFUNCTION("IF(C26="""","""",SPLIT(C26,"",""))"),"T6")</f>
        <v>T6</v>
      </c>
    </row>
    <row r="27">
      <c r="A27" s="118">
        <f t="shared" si="2"/>
        <v>21</v>
      </c>
      <c r="B27" s="119" t="s">
        <v>148</v>
      </c>
      <c r="C27" s="120" t="str">
        <f t="array" ref="C27">IF(B27="","", INDEX('Tests 3'!$E$2:$E41,MATCH(B27,'Tests 3'!$C$2:$C41,0)))</f>
        <v>T8</v>
      </c>
      <c r="D27" s="121" t="str">
        <f>IFERROR(__xludf.DUMMYFUNCTION("IF(C27="""","""",SPLIT(C27,"",""))"),"T8")</f>
        <v>T8</v>
      </c>
    </row>
    <row r="28">
      <c r="A28" s="118">
        <f t="shared" si="2"/>
        <v>22</v>
      </c>
      <c r="B28" s="119" t="s">
        <v>150</v>
      </c>
      <c r="C28" s="120" t="str">
        <f t="array" ref="C28">IF(B28="","", INDEX('Tests 3'!$E$2:$E41,MATCH(B28,'Tests 3'!$C$2:$C41,0)))</f>
        <v/>
      </c>
      <c r="D28" s="121" t="str">
        <f>IFERROR(__xludf.DUMMYFUNCTION("IF(C28="""","""",SPLIT(C28,"",""))"),"")</f>
        <v/>
      </c>
    </row>
    <row r="29">
      <c r="A29" s="118">
        <f t="shared" si="2"/>
        <v>23</v>
      </c>
      <c r="B29" s="119" t="s">
        <v>152</v>
      </c>
      <c r="C29" s="120" t="str">
        <f t="array" ref="C29">IF(B29="","", INDEX('Tests 3'!$E$2:$E41,MATCH(B29,'Tests 3'!$C$2:$C41,0)))</f>
        <v>T13,T14</v>
      </c>
      <c r="D29" s="121" t="str">
        <f>IFERROR(__xludf.DUMMYFUNCTION("IF(C29="""","""",SPLIT(C29,"",""))"),"T13")</f>
        <v>T13</v>
      </c>
      <c r="E29" s="120" t="str">
        <f>IFERROR(__xludf.DUMMYFUNCTION("""COMPUTED_VALUE"""),"T14")</f>
        <v>T14</v>
      </c>
    </row>
    <row r="30">
      <c r="A30" s="118">
        <f t="shared" si="2"/>
        <v>24</v>
      </c>
      <c r="B30" s="119" t="s">
        <v>128</v>
      </c>
      <c r="C30" s="120" t="str">
        <f t="array" ref="C30">IF(B30="","", INDEX('Tests 3'!$E$2:$E41,MATCH(B30,'Tests 3'!$C$2:$C41,0)))</f>
        <v>T3</v>
      </c>
      <c r="D30" s="121" t="str">
        <f>IFERROR(__xludf.DUMMYFUNCTION("IF(C30="""","""",SPLIT(C30,"",""))"),"T3")</f>
        <v>T3</v>
      </c>
    </row>
    <row r="31">
      <c r="A31" s="118">
        <f t="shared" si="2"/>
        <v>25</v>
      </c>
      <c r="B31" s="119" t="s">
        <v>131</v>
      </c>
      <c r="C31" s="120" t="str">
        <f t="array" ref="C31">IF(B31="","", INDEX('Tests 3'!$E$2:$E41,MATCH(B31,'Tests 3'!$C$2:$C41,0)))</f>
        <v>T3</v>
      </c>
      <c r="D31" s="121" t="str">
        <f>IFERROR(__xludf.DUMMYFUNCTION("IF(C31="""","""",SPLIT(C31,"",""))"),"T3")</f>
        <v>T3</v>
      </c>
    </row>
    <row r="32">
      <c r="A32" s="118">
        <f t="shared" si="2"/>
        <v>26</v>
      </c>
      <c r="B32" s="119" t="s">
        <v>133</v>
      </c>
      <c r="C32" s="120" t="str">
        <f t="array" ref="C32">IF(B32="","", INDEX('Tests 3'!$E$2:$E41,MATCH(B32,'Tests 3'!$C$2:$C41,0)))</f>
        <v>T2</v>
      </c>
      <c r="D32" s="121" t="str">
        <f>IFERROR(__xludf.DUMMYFUNCTION("IF(C32="""","""",SPLIT(C32,"",""))"),"T2")</f>
        <v>T2</v>
      </c>
    </row>
    <row r="33">
      <c r="A33" s="118">
        <f t="shared" si="2"/>
        <v>27</v>
      </c>
      <c r="B33" s="119" t="s">
        <v>154</v>
      </c>
      <c r="C33" s="120" t="str">
        <f t="array" ref="C33">IF(B33="","", INDEX('Tests 3'!$E$2:$E41,MATCH(B33,'Tests 3'!$C$2:$C41,0)))</f>
        <v>T14,T3,T17,T17</v>
      </c>
      <c r="D33" s="121" t="str">
        <f>IFERROR(__xludf.DUMMYFUNCTION("IF(C33="""","""",SPLIT(C33,"",""))"),"T14")</f>
        <v>T14</v>
      </c>
      <c r="E33" s="120" t="str">
        <f>IFERROR(__xludf.DUMMYFUNCTION("""COMPUTED_VALUE"""),"T3")</f>
        <v>T3</v>
      </c>
      <c r="F33" s="120" t="str">
        <f>IFERROR(__xludf.DUMMYFUNCTION("""COMPUTED_VALUE"""),"T17")</f>
        <v>T17</v>
      </c>
      <c r="G33" s="120" t="str">
        <f>IFERROR(__xludf.DUMMYFUNCTION("""COMPUTED_VALUE"""),"T17")</f>
        <v>T17</v>
      </c>
    </row>
    <row r="34">
      <c r="A34" s="118">
        <f t="shared" si="2"/>
        <v>28</v>
      </c>
      <c r="B34" s="119" t="s">
        <v>156</v>
      </c>
      <c r="C34" s="120" t="str">
        <f t="array" ref="C34">IF(B34="","", INDEX('Tests 3'!$E$2:$E41,MATCH(B34,'Tests 3'!$C$2:$C41,0)))</f>
        <v>T14,T3,T17</v>
      </c>
      <c r="D34" s="121" t="str">
        <f>IFERROR(__xludf.DUMMYFUNCTION("IF(C34="""","""",SPLIT(C34,"",""))"),"T14")</f>
        <v>T14</v>
      </c>
      <c r="E34" s="120" t="str">
        <f>IFERROR(__xludf.DUMMYFUNCTION("""COMPUTED_VALUE"""),"T3")</f>
        <v>T3</v>
      </c>
      <c r="F34" s="120" t="str">
        <f>IFERROR(__xludf.DUMMYFUNCTION("""COMPUTED_VALUE"""),"T17")</f>
        <v>T17</v>
      </c>
    </row>
    <row r="35">
      <c r="A35" s="118">
        <f t="shared" si="2"/>
        <v>29</v>
      </c>
      <c r="B35" s="119" t="s">
        <v>158</v>
      </c>
      <c r="C35" s="120" t="str">
        <f t="array" ref="C35">IF(B35="","", INDEX('Tests 3'!$E$2:$E41,MATCH(B35,'Tests 3'!$C$2:$C41,0)))</f>
        <v>T14,T15,T16,T3,T17,T17</v>
      </c>
      <c r="D35" s="121" t="str">
        <f>IFERROR(__xludf.DUMMYFUNCTION("IF(C35="""","""",SPLIT(C35,"",""))"),"T14")</f>
        <v>T14</v>
      </c>
      <c r="E35" s="120" t="str">
        <f>IFERROR(__xludf.DUMMYFUNCTION("""COMPUTED_VALUE"""),"T15")</f>
        <v>T15</v>
      </c>
      <c r="F35" s="120" t="str">
        <f>IFERROR(__xludf.DUMMYFUNCTION("""COMPUTED_VALUE"""),"T16")</f>
        <v>T16</v>
      </c>
      <c r="G35" s="120" t="str">
        <f>IFERROR(__xludf.DUMMYFUNCTION("""COMPUTED_VALUE"""),"T3")</f>
        <v>T3</v>
      </c>
      <c r="H35" s="120" t="str">
        <f>IFERROR(__xludf.DUMMYFUNCTION("""COMPUTED_VALUE"""),"T17")</f>
        <v>T17</v>
      </c>
      <c r="I35" s="120" t="str">
        <f>IFERROR(__xludf.DUMMYFUNCTION("""COMPUTED_VALUE"""),"T17")</f>
        <v>T17</v>
      </c>
    </row>
    <row r="36">
      <c r="A36" s="118">
        <f t="shared" si="2"/>
        <v>30</v>
      </c>
      <c r="B36" s="119" t="s">
        <v>162</v>
      </c>
      <c r="C36" s="120" t="str">
        <f t="array" ref="C36">IF(B36="","", INDEX('Tests 3'!$E$2:$E41,MATCH(B36,'Tests 3'!$C$2:$C41,0)))</f>
        <v>T14,T3,T17,T4,T5,T15,T6,T8</v>
      </c>
      <c r="D36" s="121" t="str">
        <f>IFERROR(__xludf.DUMMYFUNCTION("IF(C36="""","""",SPLIT(C36,"",""))"),"T14")</f>
        <v>T14</v>
      </c>
      <c r="E36" s="120" t="str">
        <f>IFERROR(__xludf.DUMMYFUNCTION("""COMPUTED_VALUE"""),"T3")</f>
        <v>T3</v>
      </c>
      <c r="F36" s="120" t="str">
        <f>IFERROR(__xludf.DUMMYFUNCTION("""COMPUTED_VALUE"""),"T17")</f>
        <v>T17</v>
      </c>
      <c r="G36" s="120" t="str">
        <f>IFERROR(__xludf.DUMMYFUNCTION("""COMPUTED_VALUE"""),"T4")</f>
        <v>T4</v>
      </c>
      <c r="H36" s="120" t="str">
        <f>IFERROR(__xludf.DUMMYFUNCTION("""COMPUTED_VALUE"""),"T5")</f>
        <v>T5</v>
      </c>
      <c r="I36" s="120" t="str">
        <f>IFERROR(__xludf.DUMMYFUNCTION("""COMPUTED_VALUE"""),"T15")</f>
        <v>T15</v>
      </c>
      <c r="J36" s="120" t="str">
        <f>IFERROR(__xludf.DUMMYFUNCTION("""COMPUTED_VALUE"""),"T6")</f>
        <v>T6</v>
      </c>
      <c r="K36" s="120" t="str">
        <f>IFERROR(__xludf.DUMMYFUNCTION("""COMPUTED_VALUE"""),"T8")</f>
        <v>T8</v>
      </c>
    </row>
    <row r="37">
      <c r="A37" s="118">
        <f t="shared" si="2"/>
        <v>31</v>
      </c>
      <c r="B37" s="119" t="s">
        <v>164</v>
      </c>
      <c r="C37" s="120" t="str">
        <f t="array" ref="C37">IF(B37="","", INDEX('Tests 3'!$E$2:$E41,MATCH(B37,'Tests 3'!$C$2:$C41,0)))</f>
        <v>T14,T10,T11,T4,T5,T17</v>
      </c>
      <c r="D37" s="121" t="str">
        <f>IFERROR(__xludf.DUMMYFUNCTION("IF(C37="""","""",SPLIT(C37,"",""))"),"T14")</f>
        <v>T14</v>
      </c>
      <c r="E37" s="120" t="str">
        <f>IFERROR(__xludf.DUMMYFUNCTION("""COMPUTED_VALUE"""),"T10")</f>
        <v>T10</v>
      </c>
      <c r="F37" s="120" t="str">
        <f>IFERROR(__xludf.DUMMYFUNCTION("""COMPUTED_VALUE"""),"T11")</f>
        <v>T11</v>
      </c>
      <c r="G37" s="120" t="str">
        <f>IFERROR(__xludf.DUMMYFUNCTION("""COMPUTED_VALUE"""),"T4")</f>
        <v>T4</v>
      </c>
      <c r="H37" s="120" t="str">
        <f>IFERROR(__xludf.DUMMYFUNCTION("""COMPUTED_VALUE"""),"T5")</f>
        <v>T5</v>
      </c>
      <c r="I37" s="120" t="str">
        <f>IFERROR(__xludf.DUMMYFUNCTION("""COMPUTED_VALUE"""),"T17")</f>
        <v>T17</v>
      </c>
    </row>
    <row r="38">
      <c r="A38" s="118">
        <f t="shared" si="2"/>
        <v>32</v>
      </c>
      <c r="B38" s="119" t="s">
        <v>166</v>
      </c>
      <c r="C38" s="120" t="str">
        <f t="array" ref="C38">IF(B38="","", INDEX('Tests 3'!$E$2:$E41,MATCH(B38,'Tests 3'!$C$2:$C41,0)))</f>
        <v>T14,T3,T17,T9,T5,T4,T17</v>
      </c>
      <c r="D38" s="121" t="str">
        <f>IFERROR(__xludf.DUMMYFUNCTION("IF(C38="""","""",SPLIT(C38,"",""))"),"T14")</f>
        <v>T14</v>
      </c>
      <c r="E38" s="120" t="str">
        <f>IFERROR(__xludf.DUMMYFUNCTION("""COMPUTED_VALUE"""),"T3")</f>
        <v>T3</v>
      </c>
      <c r="F38" s="120" t="str">
        <f>IFERROR(__xludf.DUMMYFUNCTION("""COMPUTED_VALUE"""),"T17")</f>
        <v>T17</v>
      </c>
      <c r="G38" s="120" t="str">
        <f>IFERROR(__xludf.DUMMYFUNCTION("""COMPUTED_VALUE"""),"T9")</f>
        <v>T9</v>
      </c>
      <c r="H38" s="120" t="str">
        <f>IFERROR(__xludf.DUMMYFUNCTION("""COMPUTED_VALUE"""),"T5")</f>
        <v>T5</v>
      </c>
      <c r="I38" s="120" t="str">
        <f>IFERROR(__xludf.DUMMYFUNCTION("""COMPUTED_VALUE"""),"T4")</f>
        <v>T4</v>
      </c>
      <c r="J38" s="120" t="str">
        <f>IFERROR(__xludf.DUMMYFUNCTION("""COMPUTED_VALUE"""),"T17")</f>
        <v>T17</v>
      </c>
    </row>
    <row r="39">
      <c r="A39" s="118">
        <f t="shared" si="2"/>
        <v>33</v>
      </c>
      <c r="B39" s="119" t="s">
        <v>168</v>
      </c>
      <c r="C39" s="120" t="str">
        <f t="array" ref="C39">IF(B39="","", INDEX('Tests 3'!$E$2:$E41,MATCH(B39,'Tests 3'!$C$2:$C41,0)))</f>
        <v>T14,T3,T17,T4,T5,T15,T6,T8</v>
      </c>
      <c r="D39" s="121" t="str">
        <f>IFERROR(__xludf.DUMMYFUNCTION("IF(C39="""","""",SPLIT(C39,"",""))"),"T14")</f>
        <v>T14</v>
      </c>
      <c r="E39" s="120" t="str">
        <f>IFERROR(__xludf.DUMMYFUNCTION("""COMPUTED_VALUE"""),"T3")</f>
        <v>T3</v>
      </c>
      <c r="F39" s="120" t="str">
        <f>IFERROR(__xludf.DUMMYFUNCTION("""COMPUTED_VALUE"""),"T17")</f>
        <v>T17</v>
      </c>
      <c r="G39" s="120" t="str">
        <f>IFERROR(__xludf.DUMMYFUNCTION("""COMPUTED_VALUE"""),"T4")</f>
        <v>T4</v>
      </c>
      <c r="H39" s="120" t="str">
        <f>IFERROR(__xludf.DUMMYFUNCTION("""COMPUTED_VALUE"""),"T5")</f>
        <v>T5</v>
      </c>
      <c r="I39" s="120" t="str">
        <f>IFERROR(__xludf.DUMMYFUNCTION("""COMPUTED_VALUE"""),"T15")</f>
        <v>T15</v>
      </c>
      <c r="J39" s="120" t="str">
        <f>IFERROR(__xludf.DUMMYFUNCTION("""COMPUTED_VALUE"""),"T6")</f>
        <v>T6</v>
      </c>
      <c r="K39" s="120" t="str">
        <f>IFERROR(__xludf.DUMMYFUNCTION("""COMPUTED_VALUE"""),"T8")</f>
        <v>T8</v>
      </c>
    </row>
    <row r="40">
      <c r="A40" s="118">
        <f t="shared" si="2"/>
        <v>34</v>
      </c>
      <c r="B40" s="119" t="s">
        <v>170</v>
      </c>
      <c r="C40" s="120" t="str">
        <f t="array" ref="C40">IF(B40="","", INDEX('Tests 3'!$E$2:$E41,MATCH(B40,'Tests 3'!$C$2:$C41,0)))</f>
        <v/>
      </c>
      <c r="D40" s="121" t="str">
        <f>IFERROR(__xludf.DUMMYFUNCTION("IF(C40="""","""",SPLIT(C40,"",""))"),"")</f>
        <v/>
      </c>
    </row>
    <row r="41">
      <c r="A41" s="118">
        <f t="shared" si="2"/>
        <v>35</v>
      </c>
      <c r="B41" s="119" t="s">
        <v>172</v>
      </c>
      <c r="C41" s="120" t="str">
        <f t="array" ref="C41">IF(B41="","", INDEX('Tests 3'!$E$2:$E41,MATCH(B41,'Tests 3'!$C$2:$C41,0)))</f>
        <v/>
      </c>
      <c r="D41" s="121" t="str">
        <f>IFERROR(__xludf.DUMMYFUNCTION("IF(C41="""","""",SPLIT(C41,"",""))"),"")</f>
        <v/>
      </c>
    </row>
  </sheetData>
  <mergeCells count="3">
    <mergeCell ref="B1:B2"/>
    <mergeCell ref="B3:B4"/>
    <mergeCell ref="D6:S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.25"/>
    <col customWidth="1" min="3" max="3" width="22.25"/>
    <col customWidth="1" min="4" max="4" width="10.5"/>
    <col customWidth="1" min="5" max="5" width="15.5"/>
    <col customWidth="1" min="6" max="6" width="17.5"/>
  </cols>
  <sheetData>
    <row r="1">
      <c r="A1" s="122" t="s">
        <v>196</v>
      </c>
    </row>
    <row r="2">
      <c r="A2" s="122" t="s">
        <v>197</v>
      </c>
    </row>
    <row r="3">
      <c r="A3" s="122"/>
      <c r="B3" s="123"/>
    </row>
    <row r="4">
      <c r="A4" s="124" t="s">
        <v>82</v>
      </c>
      <c r="B4" s="124" t="s">
        <v>80</v>
      </c>
      <c r="C4" s="125" t="s">
        <v>198</v>
      </c>
      <c r="D4" s="126" t="s">
        <v>199</v>
      </c>
      <c r="E4" s="127" t="s">
        <v>200</v>
      </c>
      <c r="F4" s="83"/>
    </row>
    <row r="5">
      <c r="A5" s="128"/>
      <c r="B5" s="128"/>
      <c r="C5" s="128"/>
      <c r="D5" s="128"/>
      <c r="E5" s="129" t="s">
        <v>201</v>
      </c>
      <c r="F5" s="129" t="s">
        <v>202</v>
      </c>
    </row>
    <row r="6">
      <c r="A6" s="118" t="str">
        <f t="array" ref="A6:A21">TRANSPOSE('Tests 4'!D3:S3)</f>
        <v>T14</v>
      </c>
      <c r="B6" s="118">
        <f t="shared" ref="B6:B25" si="1">IF(C6="","",COUNTA($C$6:C6))</f>
        <v>1</v>
      </c>
      <c r="C6" s="120" t="str">
        <f t="array" ref="C6">IF(A6="","",INDEX('Tests 2'!$B$2:$B25,MATCH(A6,'Tests 2'!$C$2:$C25,0)))</f>
        <v>Microscopic Evaluation</v>
      </c>
      <c r="D6" s="130" t="s">
        <v>203</v>
      </c>
      <c r="E6" s="131" t="str">
        <f t="shared" ref="E6:E25" si="2">IF(D6="Yes",A6,"")</f>
        <v>T14</v>
      </c>
      <c r="F6" s="131" t="str">
        <f>TEXTJOIN("|",TRUE,E6:E25)</f>
        <v>T14|T17|T5|T13|T6</v>
      </c>
    </row>
    <row r="7">
      <c r="A7" s="118" t="s">
        <v>190</v>
      </c>
      <c r="B7" s="118">
        <f t="shared" si="1"/>
        <v>2</v>
      </c>
      <c r="C7" s="120" t="str">
        <f t="array" ref="C7">IF(A7="","",INDEX('Tests 2'!$B$2:$B25,MATCH(A7,'Tests 2'!$C$2:$C25,0)))</f>
        <v>Settleometer test</v>
      </c>
      <c r="D7" s="130" t="s">
        <v>203</v>
      </c>
      <c r="E7" s="131" t="str">
        <f t="shared" si="2"/>
        <v>T17</v>
      </c>
      <c r="F7" s="131"/>
    </row>
    <row r="8">
      <c r="A8" s="118" t="s">
        <v>177</v>
      </c>
      <c r="B8" s="118">
        <f t="shared" si="1"/>
        <v>3</v>
      </c>
      <c r="C8" s="120" t="str">
        <f t="array" ref="C8">IF(A8="","",INDEX('Tests 2'!$B$2:$B25,MATCH(A8,'Tests 2'!$C$2:$C25,0)))</f>
        <v>DO measurement</v>
      </c>
      <c r="D8" s="132"/>
      <c r="E8" s="131" t="str">
        <f t="shared" si="2"/>
        <v/>
      </c>
      <c r="F8" s="131"/>
    </row>
    <row r="9">
      <c r="A9" s="118" t="s">
        <v>176</v>
      </c>
      <c r="B9" s="118">
        <f t="shared" si="1"/>
        <v>4</v>
      </c>
      <c r="C9" s="120" t="str">
        <f t="array" ref="C9">IF(A9="","",INDEX('Tests 2'!$B$2:$B25,MATCH(A9,'Tests 2'!$C$2:$C25,0)))</f>
        <v>BOD5 &amp; TSS measurement</v>
      </c>
      <c r="D9" s="132"/>
      <c r="E9" s="131" t="str">
        <f t="shared" si="2"/>
        <v/>
      </c>
      <c r="F9" s="131"/>
    </row>
    <row r="10">
      <c r="A10" s="118" t="s">
        <v>178</v>
      </c>
      <c r="B10" s="118">
        <f t="shared" si="1"/>
        <v>5</v>
      </c>
      <c r="C10" s="120" t="str">
        <f t="array" ref="C10">IF(A10="","",INDEX('Tests 2'!$B$2:$B25,MATCH(A10,'Tests 2'!$C$2:$C25,0)))</f>
        <v>ORP measurement</v>
      </c>
      <c r="D10" s="130" t="s">
        <v>203</v>
      </c>
      <c r="E10" s="131" t="str">
        <f t="shared" si="2"/>
        <v>T5</v>
      </c>
      <c r="F10" s="131"/>
    </row>
    <row r="11">
      <c r="A11" s="118" t="s">
        <v>186</v>
      </c>
      <c r="B11" s="118">
        <f t="shared" si="1"/>
        <v>6</v>
      </c>
      <c r="C11" s="120" t="str">
        <f t="array" ref="C11">IF(A11="","",INDEX('Tests 2'!$B$2:$B25,MATCH(A11,'Tests 2'!$C$2:$C25,0)))</f>
        <v>SOUR / OUR</v>
      </c>
      <c r="D11" s="130" t="s">
        <v>203</v>
      </c>
      <c r="E11" s="131" t="str">
        <f t="shared" si="2"/>
        <v>T13</v>
      </c>
      <c r="F11" s="131"/>
    </row>
    <row r="12">
      <c r="A12" s="118" t="s">
        <v>179</v>
      </c>
      <c r="B12" s="118">
        <f t="shared" si="1"/>
        <v>7</v>
      </c>
      <c r="C12" s="120" t="str">
        <f t="array" ref="C12">IF(A12="","",INDEX('Tests 2'!$B$2:$B25,MATCH(A12,'Tests 2'!$C$2:$C25,0)))</f>
        <v>pH measurement</v>
      </c>
      <c r="D12" s="130" t="s">
        <v>203</v>
      </c>
      <c r="E12" s="131" t="str">
        <f t="shared" si="2"/>
        <v>T6</v>
      </c>
      <c r="F12" s="131"/>
    </row>
    <row r="13">
      <c r="A13" s="118" t="s">
        <v>181</v>
      </c>
      <c r="B13" s="118">
        <f t="shared" si="1"/>
        <v>8</v>
      </c>
      <c r="C13" s="120" t="str">
        <f t="array" ref="C13">IF(A13="","",INDEX('Tests 2'!$B$2:$B25,MATCH(A13,'Tests 2'!$C$2:$C25,0)))</f>
        <v>Temperature measurement</v>
      </c>
      <c r="D13" s="132"/>
      <c r="E13" s="131" t="str">
        <f t="shared" si="2"/>
        <v/>
      </c>
      <c r="F13" s="131"/>
    </row>
    <row r="14">
      <c r="A14" s="118" t="s">
        <v>182</v>
      </c>
      <c r="B14" s="118">
        <f t="shared" si="1"/>
        <v>9</v>
      </c>
      <c r="C14" s="120" t="str">
        <f t="array" ref="C14">IF(A14="","",INDEX('Tests 2'!$B$2:$B25,MATCH(A14,'Tests 2'!$C$2:$C25,0)))</f>
        <v>Test for Nitrate</v>
      </c>
      <c r="D14" s="132"/>
      <c r="E14" s="131" t="str">
        <f t="shared" si="2"/>
        <v/>
      </c>
      <c r="F14" s="131"/>
    </row>
    <row r="15">
      <c r="A15" s="118" t="s">
        <v>174</v>
      </c>
      <c r="B15" s="118">
        <f t="shared" si="1"/>
        <v>10</v>
      </c>
      <c r="C15" s="120" t="str">
        <f t="array" ref="C15">IF(A15="","",INDEX('Tests 2'!$B$2:$B25,MATCH(A15,'Tests 2'!$C$2:$C25,0)))</f>
        <v>BOD5 measurement</v>
      </c>
      <c r="D15" s="132"/>
      <c r="E15" s="131" t="str">
        <f t="shared" si="2"/>
        <v/>
      </c>
      <c r="F15" s="131"/>
    </row>
    <row r="16">
      <c r="A16" s="118" t="s">
        <v>183</v>
      </c>
      <c r="B16" s="118">
        <f t="shared" si="1"/>
        <v>11</v>
      </c>
      <c r="C16" s="120" t="str">
        <f t="array" ref="C16">IF(A16="","",INDEX('Tests 2'!$B$2:$B25,MATCH(A16,'Tests 2'!$C$2:$C25,0)))</f>
        <v>Test for Organic Acids</v>
      </c>
      <c r="D16" s="132"/>
      <c r="E16" s="131" t="str">
        <f t="shared" si="2"/>
        <v/>
      </c>
      <c r="F16" s="131"/>
    </row>
    <row r="17">
      <c r="A17" s="118" t="s">
        <v>184</v>
      </c>
      <c r="B17" s="118">
        <f t="shared" si="1"/>
        <v>12</v>
      </c>
      <c r="C17" s="120" t="str">
        <f t="array" ref="C17">IF(A17="","",INDEX('Tests 2'!$B$2:$B25,MATCH(A17,'Tests 2'!$C$2:$C25,0)))</f>
        <v>Test for H2S</v>
      </c>
      <c r="D17" s="132"/>
      <c r="E17" s="131" t="str">
        <f t="shared" si="2"/>
        <v/>
      </c>
      <c r="F17" s="131"/>
    </row>
    <row r="18">
      <c r="A18" s="118" t="s">
        <v>191</v>
      </c>
      <c r="B18" s="118">
        <f t="shared" si="1"/>
        <v>13</v>
      </c>
      <c r="C18" s="120" t="str">
        <f t="array" ref="C18">IF(A18="","",INDEX('Tests 2'!$B$2:$B25,MATCH(A18,'Tests 2'!$C$2:$C25,0)))</f>
        <v>Core Sampler (Sludge Judge)</v>
      </c>
      <c r="D18" s="132"/>
      <c r="E18" s="131" t="str">
        <f t="shared" si="2"/>
        <v/>
      </c>
      <c r="F18" s="131"/>
    </row>
    <row r="19">
      <c r="A19" s="118" t="s">
        <v>180</v>
      </c>
      <c r="B19" s="118">
        <f t="shared" si="1"/>
        <v>14</v>
      </c>
      <c r="C19" s="120" t="str">
        <f t="array" ref="C19">IF(A19="","",INDEX('Tests 2'!$B$2:$B25,MATCH(A19,'Tests 2'!$C$2:$C25,0)))</f>
        <v>Alkalinity measurement</v>
      </c>
      <c r="D19" s="132"/>
      <c r="E19" s="131" t="str">
        <f t="shared" si="2"/>
        <v/>
      </c>
      <c r="F19" s="131"/>
    </row>
    <row r="20">
      <c r="A20" s="118" t="s">
        <v>185</v>
      </c>
      <c r="B20" s="118">
        <f t="shared" si="1"/>
        <v>15</v>
      </c>
      <c r="C20" s="120" t="str">
        <f t="array" ref="C20">IF(A20="","",INDEX('Tests 2'!$B$2:$B25,MATCH(A20,'Tests 2'!$C$2:$C25,0)))</f>
        <v>Grease analysis - EPA 1664A</v>
      </c>
      <c r="D20" s="132"/>
      <c r="E20" s="131" t="str">
        <f t="shared" si="2"/>
        <v/>
      </c>
      <c r="F20" s="131"/>
    </row>
    <row r="21">
      <c r="A21" s="118"/>
      <c r="B21" s="118" t="str">
        <f t="shared" si="1"/>
        <v/>
      </c>
      <c r="C21" s="120" t="str">
        <f t="array" ref="C21">IF(A21="","",INDEX('Tests 2'!$B$2:$B25,MATCH(A21,'Tests 2'!$C$2:$C25,0)))</f>
        <v/>
      </c>
      <c r="D21" s="132"/>
      <c r="E21" s="131" t="str">
        <f t="shared" si="2"/>
        <v/>
      </c>
      <c r="F21" s="131"/>
    </row>
    <row r="22">
      <c r="A22" s="118"/>
      <c r="B22" s="118" t="str">
        <f t="shared" si="1"/>
        <v/>
      </c>
      <c r="C22" s="120" t="str">
        <f t="array" ref="C22">IF(A22="","",INDEX('Tests 2'!$B$2:$B25,MATCH(A22,'Tests 2'!$C$2:$C25,0)))</f>
        <v/>
      </c>
      <c r="D22" s="132"/>
      <c r="E22" s="131" t="str">
        <f t="shared" si="2"/>
        <v/>
      </c>
      <c r="F22" s="131"/>
    </row>
    <row r="23">
      <c r="A23" s="118"/>
      <c r="B23" s="118" t="str">
        <f t="shared" si="1"/>
        <v/>
      </c>
      <c r="C23" s="120" t="str">
        <f t="array" ref="C23">IF(A23="","",INDEX('Tests 2'!$B$2:$B25,MATCH(A23,'Tests 2'!$C$2:$C25,0)))</f>
        <v/>
      </c>
      <c r="D23" s="132"/>
      <c r="E23" s="131" t="str">
        <f t="shared" si="2"/>
        <v/>
      </c>
      <c r="F23" s="131"/>
    </row>
    <row r="24">
      <c r="A24" s="118"/>
      <c r="B24" s="118" t="str">
        <f t="shared" si="1"/>
        <v/>
      </c>
      <c r="C24" s="120" t="str">
        <f t="array" ref="C24">IF(A24="","",INDEX('Tests 2'!$B$2:$B25,MATCH(A24,'Tests 2'!$C$2:$C25,0)))</f>
        <v/>
      </c>
      <c r="D24" s="132"/>
      <c r="E24" s="131" t="str">
        <f t="shared" si="2"/>
        <v/>
      </c>
      <c r="F24" s="131"/>
    </row>
    <row r="25">
      <c r="A25" s="118"/>
      <c r="B25" s="118" t="str">
        <f t="shared" si="1"/>
        <v/>
      </c>
      <c r="C25" s="120" t="str">
        <f t="array" ref="C25">IF(A25="","",INDEX('Tests 2'!$B$2:$B25,MATCH(A25,'Tests 2'!$C$2:$C25,0)))</f>
        <v/>
      </c>
      <c r="D25" s="132"/>
      <c r="E25" s="131" t="str">
        <f t="shared" si="2"/>
        <v/>
      </c>
      <c r="F25" s="131"/>
    </row>
  </sheetData>
  <mergeCells count="7">
    <mergeCell ref="A1:F1"/>
    <mergeCell ref="A2:F2"/>
    <mergeCell ref="A4:A5"/>
    <mergeCell ref="B4:B5"/>
    <mergeCell ref="C4:C5"/>
    <mergeCell ref="D4:D5"/>
    <mergeCell ref="E4:F4"/>
  </mergeCells>
  <dataValidations>
    <dataValidation type="list" allowBlank="1" showDropDown="1" showInputMessage="1" showErrorMessage="1" prompt="Answer Yes/No" sqref="D6:D25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23.38"/>
    <col customWidth="1" min="3" max="3" width="4.63"/>
    <col customWidth="1" min="4" max="4" width="2.88"/>
    <col customWidth="1" min="5" max="5" width="22.25"/>
    <col customWidth="1" min="6" max="6" width="21.0"/>
    <col customWidth="1" min="7" max="7" width="14.88"/>
    <col customWidth="1" min="8" max="8" width="21.0"/>
    <col customWidth="1" min="9" max="9" width="17.63"/>
    <col customWidth="1" min="10" max="10" width="17.75"/>
    <col customWidth="1" min="11" max="11" width="13.88"/>
    <col customWidth="1" min="12" max="13" width="20.5"/>
  </cols>
  <sheetData>
    <row r="1">
      <c r="A1" s="80" t="s">
        <v>80</v>
      </c>
      <c r="B1" s="81" t="s">
        <v>81</v>
      </c>
      <c r="C1" s="82" t="s">
        <v>82</v>
      </c>
      <c r="D1" s="83"/>
      <c r="E1" s="84" t="s">
        <v>204</v>
      </c>
      <c r="F1" s="85"/>
      <c r="G1" s="85"/>
      <c r="H1" s="85"/>
      <c r="I1" s="85"/>
      <c r="J1" s="85"/>
      <c r="K1" s="85"/>
      <c r="L1" s="85"/>
      <c r="M1" s="83"/>
    </row>
    <row r="2">
      <c r="A2" s="86">
        <v>1.0</v>
      </c>
      <c r="B2" s="87" t="s">
        <v>84</v>
      </c>
      <c r="C2" s="88" t="s">
        <v>85</v>
      </c>
      <c r="D2" s="89">
        <f t="shared" ref="D2:D36" si="1">COUNTIF(C2,$C$2:$C$36)</f>
        <v>1</v>
      </c>
      <c r="E2" s="90" t="s">
        <v>205</v>
      </c>
      <c r="F2" s="90" t="s">
        <v>206</v>
      </c>
      <c r="G2" s="90" t="s">
        <v>207</v>
      </c>
      <c r="H2" s="90" t="s">
        <v>208</v>
      </c>
      <c r="I2" s="90" t="s">
        <v>209</v>
      </c>
      <c r="J2" s="90"/>
      <c r="K2" s="91"/>
      <c r="L2" s="91"/>
      <c r="M2" s="91"/>
    </row>
    <row r="3">
      <c r="A3" s="86">
        <v>2.0</v>
      </c>
      <c r="B3" s="87" t="s">
        <v>93</v>
      </c>
      <c r="C3" s="88" t="s">
        <v>94</v>
      </c>
      <c r="D3" s="89">
        <f t="shared" si="1"/>
        <v>1</v>
      </c>
      <c r="E3" s="90"/>
      <c r="F3" s="90"/>
      <c r="G3" s="90"/>
      <c r="H3" s="90"/>
      <c r="I3" s="90"/>
      <c r="J3" s="91"/>
      <c r="K3" s="91"/>
      <c r="L3" s="91"/>
      <c r="M3" s="91"/>
    </row>
    <row r="4">
      <c r="A4" s="86">
        <v>3.0</v>
      </c>
      <c r="B4" s="87" t="s">
        <v>98</v>
      </c>
      <c r="C4" s="88" t="s">
        <v>99</v>
      </c>
      <c r="D4" s="89">
        <f t="shared" si="1"/>
        <v>1</v>
      </c>
      <c r="E4" s="90"/>
      <c r="F4" s="91"/>
      <c r="G4" s="91"/>
      <c r="H4" s="91"/>
      <c r="I4" s="91"/>
      <c r="J4" s="91"/>
      <c r="K4" s="91"/>
      <c r="L4" s="91"/>
      <c r="M4" s="91"/>
    </row>
    <row r="5">
      <c r="A5" s="86">
        <v>4.0</v>
      </c>
      <c r="B5" s="87" t="s">
        <v>100</v>
      </c>
      <c r="C5" s="88" t="s">
        <v>101</v>
      </c>
      <c r="D5" s="89">
        <f t="shared" si="1"/>
        <v>1</v>
      </c>
      <c r="E5" s="90"/>
      <c r="F5" s="91"/>
      <c r="G5" s="91"/>
      <c r="H5" s="91"/>
      <c r="I5" s="91"/>
      <c r="J5" s="91"/>
      <c r="K5" s="91"/>
      <c r="L5" s="91"/>
      <c r="M5" s="91"/>
    </row>
    <row r="6">
      <c r="A6" s="86">
        <v>5.0</v>
      </c>
      <c r="B6" s="87" t="s">
        <v>103</v>
      </c>
      <c r="C6" s="88" t="s">
        <v>104</v>
      </c>
      <c r="D6" s="89">
        <f t="shared" si="1"/>
        <v>1</v>
      </c>
      <c r="E6" s="90"/>
      <c r="F6" s="90"/>
      <c r="G6" s="91"/>
      <c r="H6" s="91"/>
      <c r="I6" s="91"/>
      <c r="J6" s="91"/>
      <c r="K6" s="91"/>
      <c r="L6" s="91"/>
      <c r="M6" s="91"/>
    </row>
    <row r="7">
      <c r="A7" s="86">
        <v>6.0</v>
      </c>
      <c r="B7" s="92" t="s">
        <v>106</v>
      </c>
      <c r="C7" s="88" t="s">
        <v>107</v>
      </c>
      <c r="D7" s="89">
        <f t="shared" si="1"/>
        <v>1</v>
      </c>
      <c r="E7" s="90"/>
      <c r="F7" s="90"/>
      <c r="G7" s="90"/>
      <c r="H7" s="90"/>
      <c r="I7" s="90"/>
      <c r="J7" s="90"/>
      <c r="K7" s="90"/>
      <c r="L7" s="90"/>
      <c r="M7" s="90"/>
    </row>
    <row r="8">
      <c r="A8" s="86">
        <v>7.0</v>
      </c>
      <c r="B8" s="87" t="s">
        <v>108</v>
      </c>
      <c r="C8" s="88" t="s">
        <v>109</v>
      </c>
      <c r="D8" s="89">
        <f t="shared" si="1"/>
        <v>1</v>
      </c>
      <c r="E8" s="90"/>
      <c r="F8" s="90"/>
      <c r="G8" s="90"/>
      <c r="H8" s="90"/>
      <c r="I8" s="91"/>
      <c r="J8" s="91"/>
      <c r="K8" s="91"/>
      <c r="L8" s="91"/>
      <c r="M8" s="91"/>
    </row>
    <row r="9">
      <c r="A9" s="86">
        <v>8.0</v>
      </c>
      <c r="B9" s="87" t="s">
        <v>110</v>
      </c>
      <c r="C9" s="88" t="s">
        <v>111</v>
      </c>
      <c r="D9" s="89">
        <f t="shared" si="1"/>
        <v>1</v>
      </c>
      <c r="E9" s="90"/>
      <c r="F9" s="90"/>
      <c r="G9" s="90"/>
      <c r="H9" s="90"/>
      <c r="I9" s="91"/>
      <c r="J9" s="91"/>
      <c r="K9" s="91"/>
      <c r="L9" s="91"/>
      <c r="M9" s="91"/>
    </row>
    <row r="10">
      <c r="A10" s="86">
        <v>9.0</v>
      </c>
      <c r="B10" s="87" t="s">
        <v>112</v>
      </c>
      <c r="C10" s="88" t="s">
        <v>113</v>
      </c>
      <c r="D10" s="89">
        <f t="shared" si="1"/>
        <v>1</v>
      </c>
      <c r="E10" s="90"/>
      <c r="F10" s="90"/>
      <c r="H10" s="90"/>
      <c r="I10" s="90"/>
      <c r="J10" s="90"/>
      <c r="K10" s="90"/>
      <c r="L10" s="90"/>
      <c r="M10" s="90"/>
    </row>
    <row r="11">
      <c r="A11" s="86">
        <v>10.0</v>
      </c>
      <c r="B11" s="92" t="s">
        <v>116</v>
      </c>
      <c r="C11" s="88" t="s">
        <v>117</v>
      </c>
      <c r="D11" s="89">
        <f t="shared" si="1"/>
        <v>1</v>
      </c>
      <c r="E11" s="90"/>
      <c r="F11" s="90"/>
      <c r="G11" s="90"/>
      <c r="H11" s="90"/>
      <c r="I11" s="90"/>
      <c r="J11" s="90"/>
      <c r="K11" s="91"/>
      <c r="L11" s="91"/>
      <c r="M11" s="91"/>
    </row>
    <row r="12">
      <c r="A12" s="86">
        <v>11.0</v>
      </c>
      <c r="B12" s="87" t="s">
        <v>119</v>
      </c>
      <c r="C12" s="88" t="s">
        <v>120</v>
      </c>
      <c r="D12" s="89">
        <f t="shared" si="1"/>
        <v>1</v>
      </c>
      <c r="E12" s="90"/>
      <c r="G12" s="90"/>
      <c r="H12" s="90"/>
      <c r="I12" s="90"/>
      <c r="J12" s="91"/>
      <c r="K12" s="91"/>
      <c r="L12" s="91"/>
      <c r="M12" s="91"/>
    </row>
    <row r="13">
      <c r="A13" s="86">
        <v>12.0</v>
      </c>
      <c r="B13" s="87" t="s">
        <v>121</v>
      </c>
      <c r="C13" s="88" t="s">
        <v>122</v>
      </c>
      <c r="D13" s="89">
        <f t="shared" si="1"/>
        <v>1</v>
      </c>
      <c r="E13" s="90"/>
      <c r="F13" s="91"/>
      <c r="G13" s="91"/>
      <c r="H13" s="91"/>
      <c r="I13" s="91"/>
      <c r="J13" s="91"/>
      <c r="K13" s="91"/>
      <c r="L13" s="91"/>
      <c r="M13" s="91"/>
    </row>
    <row r="14">
      <c r="A14" s="86">
        <v>13.0</v>
      </c>
      <c r="B14" s="87" t="s">
        <v>123</v>
      </c>
      <c r="C14" s="88" t="s">
        <v>124</v>
      </c>
      <c r="D14" s="89">
        <f t="shared" si="1"/>
        <v>1</v>
      </c>
      <c r="E14" s="90"/>
      <c r="F14" s="90"/>
      <c r="G14" s="90"/>
      <c r="H14" s="91"/>
      <c r="I14" s="91"/>
      <c r="J14" s="91"/>
      <c r="K14" s="91"/>
      <c r="L14" s="91"/>
      <c r="M14" s="91"/>
    </row>
    <row r="15">
      <c r="A15" s="86">
        <v>14.0</v>
      </c>
      <c r="B15" s="87" t="s">
        <v>125</v>
      </c>
      <c r="C15" s="88" t="s">
        <v>126</v>
      </c>
      <c r="D15" s="89">
        <f t="shared" si="1"/>
        <v>1</v>
      </c>
      <c r="E15" s="90"/>
      <c r="F15" s="90"/>
      <c r="G15" s="90"/>
      <c r="H15" s="90"/>
      <c r="I15" s="91"/>
      <c r="J15" s="91"/>
      <c r="K15" s="91"/>
      <c r="L15" s="91"/>
      <c r="M15" s="91"/>
    </row>
    <row r="16">
      <c r="A16" s="86">
        <v>15.0</v>
      </c>
      <c r="B16" s="87" t="s">
        <v>127</v>
      </c>
      <c r="C16" s="88" t="s">
        <v>128</v>
      </c>
      <c r="D16" s="89">
        <f t="shared" si="1"/>
        <v>1</v>
      </c>
      <c r="E16" s="90"/>
      <c r="F16" s="90"/>
      <c r="G16" s="90"/>
      <c r="H16" s="91"/>
      <c r="I16" s="91"/>
      <c r="J16" s="91"/>
      <c r="K16" s="91"/>
      <c r="L16" s="91"/>
      <c r="M16" s="91"/>
    </row>
    <row r="17">
      <c r="A17" s="86">
        <v>16.0</v>
      </c>
      <c r="B17" s="87" t="s">
        <v>130</v>
      </c>
      <c r="C17" s="88" t="s">
        <v>131</v>
      </c>
      <c r="D17" s="89">
        <f t="shared" si="1"/>
        <v>1</v>
      </c>
      <c r="E17" s="90"/>
      <c r="F17" s="90"/>
      <c r="G17" s="90"/>
      <c r="H17" s="91"/>
      <c r="I17" s="91"/>
      <c r="J17" s="91"/>
      <c r="K17" s="91"/>
      <c r="L17" s="91"/>
      <c r="M17" s="91"/>
    </row>
    <row r="18">
      <c r="A18" s="86">
        <v>17.0</v>
      </c>
      <c r="B18" s="92" t="s">
        <v>132</v>
      </c>
      <c r="C18" s="88" t="s">
        <v>133</v>
      </c>
      <c r="D18" s="89">
        <f t="shared" si="1"/>
        <v>1</v>
      </c>
      <c r="E18" s="90"/>
      <c r="F18" s="90"/>
      <c r="G18" s="91"/>
      <c r="H18" s="91"/>
      <c r="I18" s="91"/>
      <c r="J18" s="91"/>
      <c r="K18" s="91"/>
      <c r="L18" s="91"/>
      <c r="M18" s="91"/>
    </row>
    <row r="19">
      <c r="A19" s="86">
        <v>18.0</v>
      </c>
      <c r="B19" s="87" t="s">
        <v>135</v>
      </c>
      <c r="C19" s="88" t="s">
        <v>136</v>
      </c>
      <c r="D19" s="89">
        <f t="shared" si="1"/>
        <v>1</v>
      </c>
      <c r="E19" s="90"/>
      <c r="F19" s="90"/>
      <c r="G19" s="91"/>
      <c r="H19" s="91"/>
      <c r="I19" s="91"/>
      <c r="J19" s="91"/>
      <c r="K19" s="91"/>
      <c r="L19" s="91"/>
      <c r="M19" s="91"/>
    </row>
    <row r="20">
      <c r="A20" s="86">
        <v>19.0</v>
      </c>
      <c r="B20" s="87" t="s">
        <v>137</v>
      </c>
      <c r="C20" s="88" t="s">
        <v>138</v>
      </c>
      <c r="D20" s="89">
        <f t="shared" si="1"/>
        <v>1</v>
      </c>
      <c r="E20" s="90"/>
      <c r="F20" s="90"/>
      <c r="G20" s="91"/>
      <c r="H20" s="91"/>
      <c r="I20" s="91"/>
      <c r="J20" s="91"/>
      <c r="K20" s="91"/>
      <c r="L20" s="91"/>
      <c r="M20" s="91"/>
    </row>
    <row r="21">
      <c r="A21" s="86">
        <v>20.0</v>
      </c>
      <c r="B21" s="87" t="s">
        <v>139</v>
      </c>
      <c r="C21" s="88" t="s">
        <v>140</v>
      </c>
      <c r="D21" s="89">
        <f t="shared" si="1"/>
        <v>1</v>
      </c>
      <c r="E21" s="90"/>
      <c r="F21" s="90"/>
      <c r="G21" s="90"/>
      <c r="H21" s="90"/>
      <c r="I21" s="91"/>
      <c r="J21" s="91"/>
      <c r="K21" s="91"/>
      <c r="L21" s="91"/>
      <c r="M21" s="91"/>
    </row>
    <row r="22">
      <c r="A22" s="86">
        <v>21.0</v>
      </c>
      <c r="B22" s="87" t="s">
        <v>141</v>
      </c>
      <c r="C22" s="88" t="s">
        <v>142</v>
      </c>
      <c r="D22" s="89">
        <f t="shared" si="1"/>
        <v>1</v>
      </c>
      <c r="E22" s="90"/>
      <c r="F22" s="90"/>
      <c r="G22" s="90"/>
      <c r="H22" s="91"/>
      <c r="I22" s="91"/>
      <c r="J22" s="91"/>
      <c r="K22" s="91"/>
      <c r="L22" s="91"/>
      <c r="M22" s="91"/>
    </row>
    <row r="23">
      <c r="A23" s="86">
        <v>22.0</v>
      </c>
      <c r="B23" s="87" t="s">
        <v>143</v>
      </c>
      <c r="C23" s="88" t="s">
        <v>144</v>
      </c>
      <c r="D23" s="89">
        <f t="shared" si="1"/>
        <v>1</v>
      </c>
      <c r="E23" s="90"/>
      <c r="F23" s="90"/>
      <c r="G23" s="91"/>
      <c r="H23" s="91"/>
      <c r="I23" s="91"/>
      <c r="J23" s="91"/>
      <c r="K23" s="91"/>
      <c r="L23" s="91"/>
      <c r="M23" s="91"/>
    </row>
    <row r="24">
      <c r="A24" s="86">
        <v>23.0</v>
      </c>
      <c r="B24" s="87" t="s">
        <v>145</v>
      </c>
      <c r="C24" s="88" t="s">
        <v>146</v>
      </c>
      <c r="D24" s="89">
        <f t="shared" si="1"/>
        <v>1</v>
      </c>
      <c r="E24" s="90"/>
      <c r="F24" s="91"/>
      <c r="G24" s="91"/>
      <c r="H24" s="91"/>
      <c r="I24" s="91"/>
      <c r="J24" s="91"/>
      <c r="K24" s="91"/>
      <c r="L24" s="91"/>
      <c r="M24" s="91"/>
    </row>
    <row r="25">
      <c r="A25" s="86">
        <v>24.0</v>
      </c>
      <c r="B25" s="87" t="s">
        <v>147</v>
      </c>
      <c r="C25" s="88" t="s">
        <v>148</v>
      </c>
      <c r="D25" s="89">
        <f t="shared" si="1"/>
        <v>1</v>
      </c>
      <c r="E25" s="90"/>
      <c r="F25" s="91"/>
      <c r="G25" s="91"/>
      <c r="H25" s="91"/>
      <c r="I25" s="91"/>
      <c r="J25" s="91"/>
      <c r="K25" s="91"/>
      <c r="L25" s="91"/>
      <c r="M25" s="91"/>
    </row>
    <row r="26">
      <c r="A26" s="86">
        <v>25.0</v>
      </c>
      <c r="B26" s="87" t="s">
        <v>149</v>
      </c>
      <c r="C26" s="88" t="s">
        <v>150</v>
      </c>
      <c r="D26" s="89">
        <f t="shared" si="1"/>
        <v>1</v>
      </c>
      <c r="E26" s="90"/>
      <c r="F26" s="91"/>
      <c r="G26" s="91"/>
      <c r="H26" s="91"/>
      <c r="I26" s="91"/>
      <c r="J26" s="91"/>
      <c r="K26" s="91"/>
      <c r="L26" s="91"/>
      <c r="M26" s="91"/>
    </row>
    <row r="27">
      <c r="A27" s="86">
        <v>26.0</v>
      </c>
      <c r="B27" s="87" t="s">
        <v>151</v>
      </c>
      <c r="C27" s="88" t="s">
        <v>152</v>
      </c>
      <c r="D27" s="89">
        <f t="shared" si="1"/>
        <v>1</v>
      </c>
      <c r="E27" s="90"/>
      <c r="F27" s="90"/>
      <c r="G27" s="91"/>
      <c r="H27" s="91"/>
      <c r="I27" s="91"/>
      <c r="J27" s="91"/>
      <c r="K27" s="91"/>
      <c r="L27" s="91"/>
      <c r="M27" s="91"/>
    </row>
    <row r="28">
      <c r="A28" s="86">
        <v>27.0</v>
      </c>
      <c r="B28" s="87" t="s">
        <v>153</v>
      </c>
      <c r="C28" s="88" t="s">
        <v>154</v>
      </c>
      <c r="D28" s="89">
        <f t="shared" si="1"/>
        <v>1</v>
      </c>
      <c r="E28" s="90"/>
      <c r="F28" s="90"/>
      <c r="G28" s="90"/>
      <c r="H28" s="90"/>
      <c r="I28" s="90"/>
      <c r="J28" s="91"/>
      <c r="K28" s="91"/>
      <c r="L28" s="91"/>
      <c r="M28" s="91"/>
    </row>
    <row r="29">
      <c r="A29" s="86">
        <v>28.0</v>
      </c>
      <c r="B29" s="87" t="s">
        <v>155</v>
      </c>
      <c r="C29" s="88" t="s">
        <v>156</v>
      </c>
      <c r="D29" s="89">
        <f t="shared" si="1"/>
        <v>1</v>
      </c>
      <c r="E29" s="90"/>
      <c r="F29" s="90"/>
      <c r="G29" s="90"/>
      <c r="H29" s="90"/>
      <c r="I29" s="91"/>
      <c r="J29" s="91"/>
      <c r="K29" s="91"/>
      <c r="L29" s="91"/>
      <c r="M29" s="91"/>
    </row>
    <row r="30">
      <c r="A30" s="86">
        <v>29.0</v>
      </c>
      <c r="B30" s="87" t="s">
        <v>157</v>
      </c>
      <c r="C30" s="88" t="s">
        <v>158</v>
      </c>
      <c r="D30" s="89">
        <f t="shared" si="1"/>
        <v>1</v>
      </c>
      <c r="E30" s="90"/>
      <c r="F30" s="90"/>
      <c r="G30" s="90"/>
      <c r="H30" s="90"/>
      <c r="I30" s="90"/>
      <c r="J30" s="90"/>
      <c r="K30" s="91"/>
      <c r="L30" s="91"/>
      <c r="M30" s="91"/>
    </row>
    <row r="31">
      <c r="A31" s="86">
        <v>30.0</v>
      </c>
      <c r="B31" s="87" t="s">
        <v>161</v>
      </c>
      <c r="C31" s="88" t="s">
        <v>162</v>
      </c>
      <c r="D31" s="89">
        <f t="shared" si="1"/>
        <v>1</v>
      </c>
      <c r="E31" s="90"/>
      <c r="F31" s="90"/>
      <c r="G31" s="90"/>
      <c r="H31" s="90"/>
      <c r="I31" s="90"/>
      <c r="J31" s="90"/>
      <c r="K31" s="90"/>
      <c r="L31" s="90"/>
    </row>
    <row r="32">
      <c r="A32" s="86">
        <v>31.0</v>
      </c>
      <c r="B32" s="87" t="s">
        <v>163</v>
      </c>
      <c r="C32" s="88" t="s">
        <v>164</v>
      </c>
      <c r="D32" s="89">
        <f t="shared" si="1"/>
        <v>1</v>
      </c>
      <c r="E32" s="90"/>
      <c r="F32" s="90"/>
      <c r="G32" s="90"/>
      <c r="H32" s="90"/>
      <c r="I32" s="90"/>
      <c r="J32" s="90"/>
      <c r="K32" s="91"/>
      <c r="L32" s="91"/>
      <c r="M32" s="91"/>
    </row>
    <row r="33">
      <c r="A33" s="86">
        <v>32.0</v>
      </c>
      <c r="B33" s="87" t="s">
        <v>165</v>
      </c>
      <c r="C33" s="88" t="s">
        <v>166</v>
      </c>
      <c r="D33" s="89">
        <f t="shared" si="1"/>
        <v>1</v>
      </c>
      <c r="E33" s="90"/>
      <c r="F33" s="90"/>
      <c r="G33" s="90"/>
      <c r="H33" s="90"/>
      <c r="I33" s="90"/>
      <c r="J33" s="90"/>
      <c r="K33" s="90"/>
      <c r="L33" s="90"/>
    </row>
    <row r="34">
      <c r="A34" s="86">
        <v>33.0</v>
      </c>
      <c r="B34" s="87" t="s">
        <v>167</v>
      </c>
      <c r="C34" s="88" t="s">
        <v>168</v>
      </c>
      <c r="D34" s="89">
        <f t="shared" si="1"/>
        <v>1</v>
      </c>
      <c r="E34" s="90"/>
      <c r="F34" s="90"/>
      <c r="G34" s="90"/>
      <c r="H34" s="90"/>
      <c r="I34" s="90"/>
      <c r="J34" s="90"/>
      <c r="K34" s="90"/>
      <c r="L34" s="90"/>
    </row>
    <row r="35">
      <c r="A35" s="86">
        <v>34.0</v>
      </c>
      <c r="B35" s="87" t="s">
        <v>169</v>
      </c>
      <c r="C35" s="88" t="s">
        <v>170</v>
      </c>
      <c r="D35" s="89">
        <f t="shared" si="1"/>
        <v>1</v>
      </c>
      <c r="E35" s="90"/>
      <c r="F35" s="91"/>
      <c r="G35" s="91"/>
      <c r="H35" s="90"/>
      <c r="I35" s="90"/>
      <c r="J35" s="90"/>
      <c r="K35" s="90"/>
      <c r="L35" s="91"/>
      <c r="M35" s="91"/>
    </row>
    <row r="36">
      <c r="A36" s="86">
        <v>35.0</v>
      </c>
      <c r="B36" s="87" t="s">
        <v>171</v>
      </c>
      <c r="C36" s="88" t="s">
        <v>172</v>
      </c>
      <c r="D36" s="89">
        <f t="shared" si="1"/>
        <v>1</v>
      </c>
      <c r="E36" s="90"/>
      <c r="F36" s="91"/>
      <c r="G36" s="91"/>
      <c r="H36" s="91"/>
      <c r="I36" s="91"/>
      <c r="J36" s="91"/>
      <c r="K36" s="91"/>
      <c r="L36" s="91"/>
      <c r="M36" s="91"/>
    </row>
  </sheetData>
  <mergeCells count="2">
    <mergeCell ref="C1:D1"/>
    <mergeCell ref="E1:M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23.38"/>
    <col customWidth="1" min="3" max="3" width="4.63"/>
    <col customWidth="1" min="4" max="4" width="2.88"/>
    <col customWidth="1" min="5" max="5" width="22.25"/>
    <col customWidth="1" min="6" max="6" width="21.0"/>
    <col customWidth="1" min="7" max="7" width="20.0"/>
    <col customWidth="1" min="8" max="8" width="21.0"/>
    <col customWidth="1" min="9" max="9" width="17.63"/>
    <col customWidth="1" min="10" max="10" width="17.75"/>
    <col customWidth="1" min="11" max="11" width="13.88"/>
    <col customWidth="1" min="12" max="13" width="20.5"/>
  </cols>
  <sheetData>
    <row r="1">
      <c r="A1" s="80" t="s">
        <v>80</v>
      </c>
      <c r="B1" s="81" t="s">
        <v>81</v>
      </c>
      <c r="C1" s="82" t="s">
        <v>82</v>
      </c>
      <c r="D1" s="83"/>
      <c r="E1" s="84" t="s">
        <v>210</v>
      </c>
      <c r="F1" s="85"/>
      <c r="G1" s="85"/>
      <c r="H1" s="85"/>
      <c r="I1" s="85"/>
      <c r="J1" s="85"/>
      <c r="K1" s="85"/>
      <c r="L1" s="85"/>
      <c r="M1" s="83"/>
    </row>
    <row r="2">
      <c r="A2" s="86">
        <v>1.0</v>
      </c>
      <c r="B2" s="87" t="s">
        <v>84</v>
      </c>
      <c r="C2" s="88" t="s">
        <v>85</v>
      </c>
      <c r="D2" s="89">
        <f t="shared" ref="D2:D36" si="1">COUNTIF(C2,$C$2:$C$36)</f>
        <v>1</v>
      </c>
      <c r="E2" s="90" t="s">
        <v>211</v>
      </c>
      <c r="F2" s="90" t="s">
        <v>212</v>
      </c>
      <c r="G2" s="98" t="s">
        <v>213</v>
      </c>
      <c r="H2" s="90" t="s">
        <v>214</v>
      </c>
      <c r="I2" s="90" t="s">
        <v>215</v>
      </c>
      <c r="J2" s="90" t="s">
        <v>216</v>
      </c>
      <c r="K2" s="98" t="s">
        <v>217</v>
      </c>
      <c r="L2" s="98" t="s">
        <v>218</v>
      </c>
      <c r="M2" s="91"/>
    </row>
    <row r="3">
      <c r="A3" s="86">
        <v>2.0</v>
      </c>
      <c r="B3" s="87" t="s">
        <v>93</v>
      </c>
      <c r="C3" s="88" t="s">
        <v>94</v>
      </c>
      <c r="D3" s="89">
        <f t="shared" si="1"/>
        <v>1</v>
      </c>
      <c r="E3" s="90" t="s">
        <v>211</v>
      </c>
      <c r="F3" s="90" t="s">
        <v>212</v>
      </c>
      <c r="G3" s="90" t="s">
        <v>214</v>
      </c>
      <c r="H3" s="90" t="s">
        <v>215</v>
      </c>
      <c r="I3" s="90" t="s">
        <v>216</v>
      </c>
      <c r="J3" s="98" t="s">
        <v>219</v>
      </c>
      <c r="K3" s="91"/>
      <c r="L3" s="91"/>
      <c r="M3" s="91"/>
    </row>
    <row r="4">
      <c r="A4" s="86">
        <v>3.0</v>
      </c>
      <c r="B4" s="87" t="s">
        <v>98</v>
      </c>
      <c r="C4" s="88" t="s">
        <v>99</v>
      </c>
      <c r="D4" s="89">
        <f t="shared" si="1"/>
        <v>1</v>
      </c>
      <c r="E4" s="90" t="s">
        <v>211</v>
      </c>
      <c r="F4" s="90" t="s">
        <v>212</v>
      </c>
      <c r="G4" s="91"/>
      <c r="H4" s="91"/>
      <c r="I4" s="91"/>
      <c r="J4" s="91"/>
      <c r="K4" s="91"/>
      <c r="L4" s="91"/>
      <c r="M4" s="91"/>
    </row>
    <row r="5">
      <c r="A5" s="86">
        <v>4.0</v>
      </c>
      <c r="B5" s="87" t="s">
        <v>100</v>
      </c>
      <c r="C5" s="88" t="s">
        <v>101</v>
      </c>
      <c r="D5" s="89">
        <f t="shared" si="1"/>
        <v>1</v>
      </c>
      <c r="E5" s="90" t="s">
        <v>211</v>
      </c>
      <c r="F5" s="90" t="s">
        <v>212</v>
      </c>
      <c r="G5" s="90" t="s">
        <v>220</v>
      </c>
      <c r="H5" s="91"/>
      <c r="I5" s="91"/>
      <c r="J5" s="91"/>
      <c r="K5" s="91"/>
      <c r="L5" s="91"/>
      <c r="M5" s="91"/>
    </row>
    <row r="6">
      <c r="A6" s="86">
        <v>5.0</v>
      </c>
      <c r="B6" s="87" t="s">
        <v>103</v>
      </c>
      <c r="C6" s="88" t="s">
        <v>104</v>
      </c>
      <c r="D6" s="89">
        <f t="shared" si="1"/>
        <v>1</v>
      </c>
      <c r="E6" s="90" t="s">
        <v>211</v>
      </c>
      <c r="F6" s="90" t="s">
        <v>212</v>
      </c>
      <c r="G6" s="90" t="s">
        <v>221</v>
      </c>
      <c r="H6" s="90" t="s">
        <v>222</v>
      </c>
      <c r="I6" s="90" t="s">
        <v>223</v>
      </c>
      <c r="J6" s="91"/>
      <c r="K6" s="91"/>
      <c r="L6" s="91"/>
      <c r="M6" s="91"/>
    </row>
    <row r="7">
      <c r="A7" s="86">
        <v>6.0</v>
      </c>
      <c r="B7" s="92" t="s">
        <v>106</v>
      </c>
      <c r="C7" s="88" t="s">
        <v>107</v>
      </c>
      <c r="D7" s="89">
        <f t="shared" si="1"/>
        <v>1</v>
      </c>
      <c r="E7" s="90" t="s">
        <v>211</v>
      </c>
      <c r="F7" s="90" t="s">
        <v>212</v>
      </c>
      <c r="G7" s="90"/>
      <c r="H7" s="90"/>
      <c r="I7" s="90"/>
      <c r="J7" s="90"/>
      <c r="K7" s="90"/>
      <c r="L7" s="90"/>
      <c r="M7" s="90"/>
    </row>
    <row r="8">
      <c r="A8" s="86">
        <v>7.0</v>
      </c>
      <c r="B8" s="87" t="s">
        <v>108</v>
      </c>
      <c r="C8" s="88" t="s">
        <v>109</v>
      </c>
      <c r="D8" s="89">
        <f t="shared" si="1"/>
        <v>1</v>
      </c>
      <c r="E8" s="90"/>
      <c r="F8" s="90"/>
      <c r="G8" s="90"/>
      <c r="H8" s="90"/>
      <c r="I8" s="91"/>
      <c r="J8" s="91"/>
      <c r="K8" s="91"/>
      <c r="L8" s="91"/>
      <c r="M8" s="91"/>
    </row>
    <row r="9">
      <c r="A9" s="86">
        <v>8.0</v>
      </c>
      <c r="B9" s="87" t="s">
        <v>110</v>
      </c>
      <c r="C9" s="88" t="s">
        <v>111</v>
      </c>
      <c r="D9" s="89">
        <f t="shared" si="1"/>
        <v>1</v>
      </c>
      <c r="E9" s="90"/>
      <c r="F9" s="90"/>
      <c r="G9" s="90"/>
      <c r="H9" s="90"/>
      <c r="I9" s="91"/>
      <c r="J9" s="91"/>
      <c r="K9" s="91"/>
      <c r="L9" s="91"/>
      <c r="M9" s="91"/>
    </row>
    <row r="10">
      <c r="A10" s="86">
        <v>9.0</v>
      </c>
      <c r="B10" s="87" t="s">
        <v>112</v>
      </c>
      <c r="C10" s="88" t="s">
        <v>113</v>
      </c>
      <c r="D10" s="89">
        <f t="shared" si="1"/>
        <v>1</v>
      </c>
      <c r="E10" s="90"/>
      <c r="F10" s="90"/>
      <c r="H10" s="90"/>
      <c r="I10" s="90"/>
      <c r="J10" s="90"/>
      <c r="K10" s="90"/>
      <c r="L10" s="90"/>
      <c r="M10" s="90"/>
    </row>
    <row r="11">
      <c r="A11" s="86">
        <v>10.0</v>
      </c>
      <c r="B11" s="92" t="s">
        <v>116</v>
      </c>
      <c r="C11" s="88" t="s">
        <v>117</v>
      </c>
      <c r="D11" s="89">
        <f t="shared" si="1"/>
        <v>1</v>
      </c>
      <c r="E11" s="90"/>
      <c r="F11" s="90"/>
      <c r="G11" s="90"/>
      <c r="H11" s="90"/>
      <c r="I11" s="90"/>
      <c r="J11" s="90"/>
      <c r="K11" s="91"/>
      <c r="L11" s="91"/>
      <c r="M11" s="91"/>
    </row>
    <row r="12">
      <c r="A12" s="86">
        <v>11.0</v>
      </c>
      <c r="B12" s="87" t="s">
        <v>119</v>
      </c>
      <c r="C12" s="88" t="s">
        <v>120</v>
      </c>
      <c r="D12" s="89">
        <f t="shared" si="1"/>
        <v>1</v>
      </c>
      <c r="E12" s="90"/>
      <c r="G12" s="90"/>
      <c r="H12" s="90"/>
      <c r="I12" s="90"/>
      <c r="J12" s="91"/>
      <c r="K12" s="91"/>
      <c r="L12" s="91"/>
      <c r="M12" s="91"/>
    </row>
    <row r="13">
      <c r="A13" s="86">
        <v>12.0</v>
      </c>
      <c r="B13" s="87" t="s">
        <v>121</v>
      </c>
      <c r="C13" s="88" t="s">
        <v>122</v>
      </c>
      <c r="D13" s="89">
        <f t="shared" si="1"/>
        <v>1</v>
      </c>
      <c r="E13" s="90"/>
      <c r="F13" s="91"/>
      <c r="G13" s="91"/>
      <c r="H13" s="91"/>
      <c r="I13" s="91"/>
      <c r="J13" s="91"/>
      <c r="K13" s="91"/>
      <c r="L13" s="91"/>
      <c r="M13" s="91"/>
    </row>
    <row r="14">
      <c r="A14" s="86">
        <v>13.0</v>
      </c>
      <c r="B14" s="87" t="s">
        <v>123</v>
      </c>
      <c r="C14" s="88" t="s">
        <v>124</v>
      </c>
      <c r="D14" s="89">
        <f t="shared" si="1"/>
        <v>1</v>
      </c>
      <c r="E14" s="90"/>
      <c r="F14" s="90"/>
      <c r="G14" s="90"/>
      <c r="H14" s="91"/>
      <c r="I14" s="91"/>
      <c r="J14" s="91"/>
      <c r="K14" s="91"/>
      <c r="L14" s="91"/>
      <c r="M14" s="91"/>
    </row>
    <row r="15">
      <c r="A15" s="86">
        <v>14.0</v>
      </c>
      <c r="B15" s="87" t="s">
        <v>125</v>
      </c>
      <c r="C15" s="88" t="s">
        <v>126</v>
      </c>
      <c r="D15" s="89">
        <f t="shared" si="1"/>
        <v>1</v>
      </c>
      <c r="E15" s="90"/>
      <c r="F15" s="90"/>
      <c r="G15" s="90"/>
      <c r="H15" s="90"/>
      <c r="I15" s="91"/>
      <c r="J15" s="91"/>
      <c r="K15" s="91"/>
      <c r="L15" s="91"/>
      <c r="M15" s="91"/>
    </row>
    <row r="16">
      <c r="A16" s="86">
        <v>15.0</v>
      </c>
      <c r="B16" s="87" t="s">
        <v>127</v>
      </c>
      <c r="C16" s="88" t="s">
        <v>128</v>
      </c>
      <c r="D16" s="89">
        <f t="shared" si="1"/>
        <v>1</v>
      </c>
      <c r="E16" s="90"/>
      <c r="F16" s="90"/>
      <c r="G16" s="90"/>
      <c r="H16" s="91"/>
      <c r="I16" s="91"/>
      <c r="J16" s="91"/>
      <c r="K16" s="91"/>
      <c r="L16" s="91"/>
      <c r="M16" s="91"/>
    </row>
    <row r="17">
      <c r="A17" s="86">
        <v>16.0</v>
      </c>
      <c r="B17" s="87" t="s">
        <v>130</v>
      </c>
      <c r="C17" s="88" t="s">
        <v>131</v>
      </c>
      <c r="D17" s="89">
        <f t="shared" si="1"/>
        <v>1</v>
      </c>
      <c r="E17" s="90"/>
      <c r="F17" s="90"/>
      <c r="G17" s="90"/>
      <c r="H17" s="91"/>
      <c r="I17" s="91"/>
      <c r="J17" s="91"/>
      <c r="K17" s="91"/>
      <c r="L17" s="91"/>
      <c r="M17" s="91"/>
    </row>
    <row r="18">
      <c r="A18" s="86">
        <v>17.0</v>
      </c>
      <c r="B18" s="92" t="s">
        <v>132</v>
      </c>
      <c r="C18" s="88" t="s">
        <v>133</v>
      </c>
      <c r="D18" s="89">
        <f t="shared" si="1"/>
        <v>1</v>
      </c>
      <c r="E18" s="90"/>
      <c r="F18" s="90"/>
      <c r="G18" s="91"/>
      <c r="H18" s="91"/>
      <c r="I18" s="91"/>
      <c r="J18" s="91"/>
      <c r="K18" s="91"/>
      <c r="L18" s="91"/>
      <c r="M18" s="91"/>
    </row>
    <row r="19">
      <c r="A19" s="86">
        <v>18.0</v>
      </c>
      <c r="B19" s="87" t="s">
        <v>135</v>
      </c>
      <c r="C19" s="88" t="s">
        <v>136</v>
      </c>
      <c r="D19" s="89">
        <f t="shared" si="1"/>
        <v>1</v>
      </c>
      <c r="E19" s="90"/>
      <c r="F19" s="90"/>
      <c r="G19" s="91"/>
      <c r="H19" s="91"/>
      <c r="I19" s="91"/>
      <c r="J19" s="91"/>
      <c r="K19" s="91"/>
      <c r="L19" s="91"/>
      <c r="M19" s="91"/>
    </row>
    <row r="20">
      <c r="A20" s="86">
        <v>19.0</v>
      </c>
      <c r="B20" s="87" t="s">
        <v>137</v>
      </c>
      <c r="C20" s="88" t="s">
        <v>138</v>
      </c>
      <c r="D20" s="89">
        <f t="shared" si="1"/>
        <v>1</v>
      </c>
      <c r="E20" s="90"/>
      <c r="F20" s="90"/>
      <c r="G20" s="91"/>
      <c r="H20" s="91"/>
      <c r="I20" s="91"/>
      <c r="J20" s="91"/>
      <c r="K20" s="91"/>
      <c r="L20" s="91"/>
      <c r="M20" s="91"/>
    </row>
    <row r="21">
      <c r="A21" s="86">
        <v>20.0</v>
      </c>
      <c r="B21" s="87" t="s">
        <v>139</v>
      </c>
      <c r="C21" s="88" t="s">
        <v>140</v>
      </c>
      <c r="D21" s="89">
        <f t="shared" si="1"/>
        <v>1</v>
      </c>
      <c r="E21" s="90"/>
      <c r="F21" s="90"/>
      <c r="G21" s="90"/>
      <c r="H21" s="90"/>
      <c r="I21" s="91"/>
      <c r="J21" s="91"/>
      <c r="K21" s="91"/>
      <c r="L21" s="91"/>
      <c r="M21" s="91"/>
    </row>
    <row r="22">
      <c r="A22" s="86">
        <v>21.0</v>
      </c>
      <c r="B22" s="87" t="s">
        <v>141</v>
      </c>
      <c r="C22" s="88" t="s">
        <v>142</v>
      </c>
      <c r="D22" s="89">
        <f t="shared" si="1"/>
        <v>1</v>
      </c>
      <c r="E22" s="90"/>
      <c r="F22" s="90"/>
      <c r="G22" s="90"/>
      <c r="H22" s="91"/>
      <c r="I22" s="91"/>
      <c r="J22" s="91"/>
      <c r="K22" s="91"/>
      <c r="L22" s="91"/>
      <c r="M22" s="91"/>
    </row>
    <row r="23">
      <c r="A23" s="86">
        <v>22.0</v>
      </c>
      <c r="B23" s="87" t="s">
        <v>143</v>
      </c>
      <c r="C23" s="88" t="s">
        <v>144</v>
      </c>
      <c r="D23" s="89">
        <f t="shared" si="1"/>
        <v>1</v>
      </c>
      <c r="E23" s="90"/>
      <c r="F23" s="90"/>
      <c r="G23" s="91"/>
      <c r="H23" s="91"/>
      <c r="I23" s="91"/>
      <c r="J23" s="91"/>
      <c r="K23" s="91"/>
      <c r="L23" s="91"/>
      <c r="M23" s="91"/>
    </row>
    <row r="24">
      <c r="A24" s="86">
        <v>23.0</v>
      </c>
      <c r="B24" s="87" t="s">
        <v>145</v>
      </c>
      <c r="C24" s="88" t="s">
        <v>146</v>
      </c>
      <c r="D24" s="89">
        <f t="shared" si="1"/>
        <v>1</v>
      </c>
      <c r="E24" s="90"/>
      <c r="F24" s="91"/>
      <c r="G24" s="91"/>
      <c r="H24" s="91"/>
      <c r="I24" s="91"/>
      <c r="J24" s="91"/>
      <c r="K24" s="91"/>
      <c r="L24" s="91"/>
      <c r="M24" s="91"/>
    </row>
    <row r="25">
      <c r="A25" s="86">
        <v>24.0</v>
      </c>
      <c r="B25" s="87" t="s">
        <v>147</v>
      </c>
      <c r="C25" s="88" t="s">
        <v>148</v>
      </c>
      <c r="D25" s="89">
        <f t="shared" si="1"/>
        <v>1</v>
      </c>
      <c r="E25" s="90"/>
      <c r="F25" s="91"/>
      <c r="G25" s="91"/>
      <c r="H25" s="91"/>
      <c r="I25" s="91"/>
      <c r="J25" s="91"/>
      <c r="K25" s="91"/>
      <c r="L25" s="91"/>
      <c r="M25" s="91"/>
    </row>
    <row r="26">
      <c r="A26" s="86">
        <v>25.0</v>
      </c>
      <c r="B26" s="87" t="s">
        <v>149</v>
      </c>
      <c r="C26" s="88" t="s">
        <v>150</v>
      </c>
      <c r="D26" s="89">
        <f t="shared" si="1"/>
        <v>1</v>
      </c>
      <c r="E26" s="90"/>
      <c r="F26" s="91"/>
      <c r="G26" s="91"/>
      <c r="H26" s="91"/>
      <c r="I26" s="91"/>
      <c r="J26" s="91"/>
      <c r="K26" s="91"/>
      <c r="L26" s="91"/>
      <c r="M26" s="91"/>
    </row>
    <row r="27">
      <c r="A27" s="86">
        <v>26.0</v>
      </c>
      <c r="B27" s="87" t="s">
        <v>151</v>
      </c>
      <c r="C27" s="88" t="s">
        <v>152</v>
      </c>
      <c r="D27" s="89">
        <f t="shared" si="1"/>
        <v>1</v>
      </c>
      <c r="E27" s="90"/>
      <c r="F27" s="90"/>
      <c r="G27" s="91"/>
      <c r="H27" s="91"/>
      <c r="I27" s="91"/>
      <c r="J27" s="91"/>
      <c r="K27" s="91"/>
      <c r="L27" s="91"/>
      <c r="M27" s="91"/>
    </row>
    <row r="28">
      <c r="A28" s="86">
        <v>27.0</v>
      </c>
      <c r="B28" s="87" t="s">
        <v>153</v>
      </c>
      <c r="C28" s="88" t="s">
        <v>154</v>
      </c>
      <c r="D28" s="89">
        <f t="shared" si="1"/>
        <v>1</v>
      </c>
      <c r="E28" s="90"/>
      <c r="F28" s="90"/>
      <c r="G28" s="90"/>
      <c r="H28" s="90"/>
      <c r="I28" s="90"/>
      <c r="J28" s="91"/>
      <c r="K28" s="91"/>
      <c r="L28" s="91"/>
      <c r="M28" s="91"/>
    </row>
    <row r="29">
      <c r="A29" s="86">
        <v>28.0</v>
      </c>
      <c r="B29" s="87" t="s">
        <v>155</v>
      </c>
      <c r="C29" s="88" t="s">
        <v>156</v>
      </c>
      <c r="D29" s="89">
        <f t="shared" si="1"/>
        <v>1</v>
      </c>
      <c r="E29" s="90"/>
      <c r="F29" s="90"/>
      <c r="G29" s="90"/>
      <c r="H29" s="90"/>
      <c r="I29" s="91"/>
      <c r="J29" s="91"/>
      <c r="K29" s="91"/>
      <c r="L29" s="91"/>
      <c r="M29" s="91"/>
    </row>
    <row r="30">
      <c r="A30" s="86">
        <v>29.0</v>
      </c>
      <c r="B30" s="87" t="s">
        <v>157</v>
      </c>
      <c r="C30" s="88" t="s">
        <v>158</v>
      </c>
      <c r="D30" s="89">
        <f t="shared" si="1"/>
        <v>1</v>
      </c>
      <c r="E30" s="90"/>
      <c r="F30" s="90"/>
      <c r="G30" s="90"/>
      <c r="H30" s="90"/>
      <c r="I30" s="90"/>
      <c r="J30" s="90"/>
      <c r="K30" s="91"/>
      <c r="L30" s="91"/>
      <c r="M30" s="91"/>
    </row>
    <row r="31">
      <c r="A31" s="86">
        <v>30.0</v>
      </c>
      <c r="B31" s="87" t="s">
        <v>161</v>
      </c>
      <c r="C31" s="88" t="s">
        <v>162</v>
      </c>
      <c r="D31" s="89">
        <f t="shared" si="1"/>
        <v>1</v>
      </c>
      <c r="E31" s="90"/>
      <c r="F31" s="90"/>
      <c r="G31" s="90"/>
      <c r="H31" s="90"/>
      <c r="I31" s="90"/>
      <c r="J31" s="90"/>
      <c r="K31" s="90"/>
      <c r="L31" s="90"/>
    </row>
    <row r="32">
      <c r="A32" s="86">
        <v>31.0</v>
      </c>
      <c r="B32" s="87" t="s">
        <v>163</v>
      </c>
      <c r="C32" s="88" t="s">
        <v>164</v>
      </c>
      <c r="D32" s="89">
        <f t="shared" si="1"/>
        <v>1</v>
      </c>
      <c r="E32" s="90"/>
      <c r="F32" s="90"/>
      <c r="G32" s="90"/>
      <c r="H32" s="90"/>
      <c r="I32" s="90"/>
      <c r="J32" s="90"/>
      <c r="K32" s="91"/>
      <c r="L32" s="91"/>
      <c r="M32" s="91"/>
    </row>
    <row r="33">
      <c r="A33" s="86">
        <v>32.0</v>
      </c>
      <c r="B33" s="87" t="s">
        <v>165</v>
      </c>
      <c r="C33" s="88" t="s">
        <v>166</v>
      </c>
      <c r="D33" s="89">
        <f t="shared" si="1"/>
        <v>1</v>
      </c>
      <c r="E33" s="90"/>
      <c r="F33" s="90"/>
      <c r="G33" s="90"/>
      <c r="H33" s="90"/>
      <c r="I33" s="90"/>
      <c r="J33" s="90"/>
      <c r="K33" s="90"/>
      <c r="L33" s="90"/>
    </row>
    <row r="34">
      <c r="A34" s="86">
        <v>33.0</v>
      </c>
      <c r="B34" s="87" t="s">
        <v>167</v>
      </c>
      <c r="C34" s="88" t="s">
        <v>168</v>
      </c>
      <c r="D34" s="89">
        <f t="shared" si="1"/>
        <v>1</v>
      </c>
      <c r="E34" s="90"/>
      <c r="F34" s="90"/>
      <c r="G34" s="90"/>
      <c r="H34" s="90"/>
      <c r="I34" s="90"/>
      <c r="J34" s="90"/>
      <c r="K34" s="90"/>
      <c r="L34" s="90"/>
    </row>
    <row r="35">
      <c r="A35" s="86">
        <v>34.0</v>
      </c>
      <c r="B35" s="87" t="s">
        <v>169</v>
      </c>
      <c r="C35" s="88" t="s">
        <v>170</v>
      </c>
      <c r="D35" s="89">
        <f t="shared" si="1"/>
        <v>1</v>
      </c>
      <c r="E35" s="90"/>
      <c r="F35" s="91"/>
      <c r="G35" s="91"/>
      <c r="H35" s="90"/>
      <c r="I35" s="90"/>
      <c r="J35" s="90"/>
      <c r="K35" s="90"/>
      <c r="L35" s="91"/>
      <c r="M35" s="91"/>
    </row>
    <row r="36">
      <c r="A36" s="86">
        <v>35.0</v>
      </c>
      <c r="B36" s="87" t="s">
        <v>171</v>
      </c>
      <c r="C36" s="88" t="s">
        <v>172</v>
      </c>
      <c r="D36" s="89">
        <f t="shared" si="1"/>
        <v>1</v>
      </c>
      <c r="E36" s="90"/>
      <c r="F36" s="91"/>
      <c r="G36" s="91"/>
      <c r="H36" s="91"/>
      <c r="I36" s="91"/>
      <c r="J36" s="91"/>
      <c r="K36" s="91"/>
      <c r="L36" s="91"/>
      <c r="M36" s="91"/>
    </row>
  </sheetData>
  <mergeCells count="2">
    <mergeCell ref="C1:D1"/>
    <mergeCell ref="E1:M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23.38"/>
    <col customWidth="1" min="3" max="3" width="4.63"/>
    <col customWidth="1" min="4" max="4" width="2.88"/>
    <col customWidth="1" min="5" max="5" width="22.25"/>
    <col customWidth="1" min="6" max="6" width="21.0"/>
    <col customWidth="1" min="7" max="7" width="20.0"/>
    <col customWidth="1" min="8" max="8" width="21.0"/>
    <col customWidth="1" min="9" max="9" width="17.63"/>
    <col customWidth="1" min="10" max="10" width="17.75"/>
    <col customWidth="1" min="11" max="11" width="13.88"/>
    <col customWidth="1" min="12" max="13" width="20.5"/>
  </cols>
  <sheetData>
    <row r="1">
      <c r="A1" s="80" t="s">
        <v>80</v>
      </c>
      <c r="B1" s="81" t="s">
        <v>81</v>
      </c>
      <c r="C1" s="82" t="s">
        <v>82</v>
      </c>
      <c r="D1" s="83"/>
      <c r="E1" s="84" t="s">
        <v>224</v>
      </c>
      <c r="F1" s="85"/>
      <c r="G1" s="85"/>
      <c r="H1" s="85"/>
      <c r="I1" s="85"/>
      <c r="J1" s="85"/>
      <c r="K1" s="85"/>
      <c r="L1" s="85"/>
      <c r="M1" s="83"/>
    </row>
    <row r="2">
      <c r="A2" s="86">
        <v>1.0</v>
      </c>
      <c r="B2" s="87" t="s">
        <v>84</v>
      </c>
      <c r="C2" s="88" t="s">
        <v>85</v>
      </c>
      <c r="D2" s="89">
        <f t="shared" ref="D2:D36" si="1">COUNTIF(C2,$C$2:$C$36)</f>
        <v>1</v>
      </c>
      <c r="E2" s="90" t="s">
        <v>225</v>
      </c>
      <c r="F2" s="90" t="s">
        <v>226</v>
      </c>
      <c r="H2" s="90"/>
      <c r="I2" s="90"/>
      <c r="J2" s="90"/>
      <c r="L2" s="91"/>
      <c r="M2" s="91"/>
    </row>
    <row r="3">
      <c r="A3" s="86">
        <v>2.0</v>
      </c>
      <c r="B3" s="87" t="s">
        <v>93</v>
      </c>
      <c r="C3" s="88" t="s">
        <v>94</v>
      </c>
      <c r="D3" s="89">
        <f t="shared" si="1"/>
        <v>1</v>
      </c>
      <c r="E3" s="90"/>
      <c r="F3" s="90"/>
      <c r="G3" s="90"/>
      <c r="H3" s="90"/>
      <c r="I3" s="90"/>
      <c r="J3" s="91"/>
      <c r="K3" s="91"/>
      <c r="L3" s="91"/>
      <c r="M3" s="91"/>
    </row>
    <row r="4">
      <c r="A4" s="86">
        <v>3.0</v>
      </c>
      <c r="B4" s="87" t="s">
        <v>98</v>
      </c>
      <c r="C4" s="88" t="s">
        <v>99</v>
      </c>
      <c r="D4" s="89">
        <f t="shared" si="1"/>
        <v>1</v>
      </c>
      <c r="E4" s="90"/>
      <c r="F4" s="91"/>
      <c r="G4" s="91"/>
      <c r="H4" s="91"/>
      <c r="I4" s="91"/>
      <c r="J4" s="91"/>
      <c r="K4" s="91"/>
      <c r="L4" s="91"/>
      <c r="M4" s="91"/>
    </row>
    <row r="5">
      <c r="A5" s="86">
        <v>4.0</v>
      </c>
      <c r="B5" s="87" t="s">
        <v>100</v>
      </c>
      <c r="C5" s="88" t="s">
        <v>101</v>
      </c>
      <c r="D5" s="89">
        <f t="shared" si="1"/>
        <v>1</v>
      </c>
      <c r="E5" s="90"/>
      <c r="F5" s="91"/>
      <c r="G5" s="91"/>
      <c r="H5" s="91"/>
      <c r="I5" s="91"/>
      <c r="J5" s="91"/>
      <c r="K5" s="91"/>
      <c r="L5" s="91"/>
      <c r="M5" s="91"/>
    </row>
    <row r="6">
      <c r="A6" s="86">
        <v>5.0</v>
      </c>
      <c r="B6" s="87" t="s">
        <v>103</v>
      </c>
      <c r="C6" s="88" t="s">
        <v>104</v>
      </c>
      <c r="D6" s="89">
        <f t="shared" si="1"/>
        <v>1</v>
      </c>
      <c r="E6" s="90"/>
      <c r="F6" s="90"/>
      <c r="G6" s="91"/>
      <c r="H6" s="91"/>
      <c r="I6" s="91"/>
      <c r="J6" s="91"/>
      <c r="K6" s="91"/>
      <c r="L6" s="91"/>
      <c r="M6" s="91"/>
    </row>
    <row r="7">
      <c r="A7" s="86">
        <v>6.0</v>
      </c>
      <c r="B7" s="92" t="s">
        <v>106</v>
      </c>
      <c r="C7" s="88" t="s">
        <v>107</v>
      </c>
      <c r="D7" s="89">
        <f t="shared" si="1"/>
        <v>1</v>
      </c>
      <c r="E7" s="90"/>
      <c r="F7" s="90"/>
      <c r="G7" s="90"/>
      <c r="H7" s="90"/>
      <c r="I7" s="90"/>
      <c r="J7" s="90"/>
      <c r="K7" s="90"/>
      <c r="L7" s="90"/>
      <c r="M7" s="90"/>
    </row>
    <row r="8">
      <c r="A8" s="86">
        <v>7.0</v>
      </c>
      <c r="B8" s="87" t="s">
        <v>108</v>
      </c>
      <c r="C8" s="88" t="s">
        <v>109</v>
      </c>
      <c r="D8" s="89">
        <f t="shared" si="1"/>
        <v>1</v>
      </c>
      <c r="E8" s="90"/>
      <c r="F8" s="90"/>
      <c r="G8" s="90"/>
      <c r="H8" s="90"/>
      <c r="I8" s="91"/>
      <c r="J8" s="91"/>
      <c r="K8" s="91"/>
      <c r="L8" s="91"/>
      <c r="M8" s="91"/>
    </row>
    <row r="9">
      <c r="A9" s="86">
        <v>8.0</v>
      </c>
      <c r="B9" s="87" t="s">
        <v>110</v>
      </c>
      <c r="C9" s="88" t="s">
        <v>111</v>
      </c>
      <c r="D9" s="89">
        <f t="shared" si="1"/>
        <v>1</v>
      </c>
      <c r="E9" s="90"/>
      <c r="F9" s="90"/>
      <c r="G9" s="90"/>
      <c r="H9" s="90"/>
      <c r="I9" s="91"/>
      <c r="J9" s="91"/>
      <c r="K9" s="91"/>
      <c r="L9" s="91"/>
      <c r="M9" s="91"/>
    </row>
    <row r="10">
      <c r="A10" s="86">
        <v>9.0</v>
      </c>
      <c r="B10" s="87" t="s">
        <v>112</v>
      </c>
      <c r="C10" s="88" t="s">
        <v>113</v>
      </c>
      <c r="D10" s="89">
        <f t="shared" si="1"/>
        <v>1</v>
      </c>
      <c r="E10" s="90"/>
      <c r="F10" s="90"/>
      <c r="H10" s="90"/>
      <c r="I10" s="90"/>
      <c r="J10" s="90"/>
      <c r="K10" s="90"/>
      <c r="L10" s="90"/>
      <c r="M10" s="90"/>
    </row>
    <row r="11">
      <c r="A11" s="86">
        <v>10.0</v>
      </c>
      <c r="B11" s="92" t="s">
        <v>116</v>
      </c>
      <c r="C11" s="88" t="s">
        <v>117</v>
      </c>
      <c r="D11" s="89">
        <f t="shared" si="1"/>
        <v>1</v>
      </c>
      <c r="E11" s="90"/>
      <c r="F11" s="90"/>
      <c r="G11" s="90"/>
      <c r="H11" s="90"/>
      <c r="I11" s="90"/>
      <c r="J11" s="90"/>
      <c r="K11" s="91"/>
      <c r="L11" s="91"/>
      <c r="M11" s="91"/>
    </row>
    <row r="12">
      <c r="A12" s="86">
        <v>11.0</v>
      </c>
      <c r="B12" s="87" t="s">
        <v>119</v>
      </c>
      <c r="C12" s="88" t="s">
        <v>120</v>
      </c>
      <c r="D12" s="89">
        <f t="shared" si="1"/>
        <v>1</v>
      </c>
      <c r="E12" s="90"/>
      <c r="G12" s="90"/>
      <c r="H12" s="90"/>
      <c r="I12" s="90"/>
      <c r="J12" s="91"/>
      <c r="K12" s="91"/>
      <c r="L12" s="91"/>
      <c r="M12" s="91"/>
    </row>
    <row r="13">
      <c r="A13" s="86">
        <v>12.0</v>
      </c>
      <c r="B13" s="87" t="s">
        <v>121</v>
      </c>
      <c r="C13" s="88" t="s">
        <v>122</v>
      </c>
      <c r="D13" s="89">
        <f t="shared" si="1"/>
        <v>1</v>
      </c>
      <c r="E13" s="90"/>
      <c r="F13" s="91"/>
      <c r="G13" s="91"/>
      <c r="H13" s="91"/>
      <c r="I13" s="91"/>
      <c r="J13" s="91"/>
      <c r="K13" s="91"/>
      <c r="L13" s="91"/>
      <c r="M13" s="91"/>
    </row>
    <row r="14">
      <c r="A14" s="86">
        <v>13.0</v>
      </c>
      <c r="B14" s="87" t="s">
        <v>123</v>
      </c>
      <c r="C14" s="88" t="s">
        <v>124</v>
      </c>
      <c r="D14" s="89">
        <f t="shared" si="1"/>
        <v>1</v>
      </c>
      <c r="E14" s="90"/>
      <c r="F14" s="90"/>
      <c r="G14" s="90"/>
      <c r="H14" s="91"/>
      <c r="I14" s="91"/>
      <c r="J14" s="91"/>
      <c r="K14" s="91"/>
      <c r="L14" s="91"/>
      <c r="M14" s="91"/>
    </row>
    <row r="15">
      <c r="A15" s="86">
        <v>14.0</v>
      </c>
      <c r="B15" s="87" t="s">
        <v>125</v>
      </c>
      <c r="C15" s="88" t="s">
        <v>126</v>
      </c>
      <c r="D15" s="89">
        <f t="shared" si="1"/>
        <v>1</v>
      </c>
      <c r="E15" s="90"/>
      <c r="F15" s="90"/>
      <c r="G15" s="90"/>
      <c r="H15" s="90"/>
      <c r="I15" s="91"/>
      <c r="J15" s="91"/>
      <c r="K15" s="91"/>
      <c r="L15" s="91"/>
      <c r="M15" s="91"/>
    </row>
    <row r="16">
      <c r="A16" s="86">
        <v>15.0</v>
      </c>
      <c r="B16" s="87" t="s">
        <v>127</v>
      </c>
      <c r="C16" s="88" t="s">
        <v>128</v>
      </c>
      <c r="D16" s="89">
        <f t="shared" si="1"/>
        <v>1</v>
      </c>
      <c r="E16" s="90"/>
      <c r="F16" s="90"/>
      <c r="G16" s="90"/>
      <c r="H16" s="91"/>
      <c r="I16" s="91"/>
      <c r="J16" s="91"/>
      <c r="K16" s="91"/>
      <c r="L16" s="91"/>
      <c r="M16" s="91"/>
    </row>
    <row r="17">
      <c r="A17" s="86">
        <v>16.0</v>
      </c>
      <c r="B17" s="87" t="s">
        <v>130</v>
      </c>
      <c r="C17" s="88" t="s">
        <v>131</v>
      </c>
      <c r="D17" s="89">
        <f t="shared" si="1"/>
        <v>1</v>
      </c>
      <c r="E17" s="90"/>
      <c r="F17" s="90"/>
      <c r="G17" s="90"/>
      <c r="H17" s="91"/>
      <c r="I17" s="91"/>
      <c r="J17" s="91"/>
      <c r="K17" s="91"/>
      <c r="L17" s="91"/>
      <c r="M17" s="91"/>
    </row>
    <row r="18">
      <c r="A18" s="86">
        <v>17.0</v>
      </c>
      <c r="B18" s="92" t="s">
        <v>132</v>
      </c>
      <c r="C18" s="88" t="s">
        <v>133</v>
      </c>
      <c r="D18" s="89">
        <f t="shared" si="1"/>
        <v>1</v>
      </c>
      <c r="E18" s="90"/>
      <c r="F18" s="90"/>
      <c r="G18" s="91"/>
      <c r="H18" s="91"/>
      <c r="I18" s="91"/>
      <c r="J18" s="91"/>
      <c r="K18" s="91"/>
      <c r="L18" s="91"/>
      <c r="M18" s="91"/>
    </row>
    <row r="19">
      <c r="A19" s="86">
        <v>18.0</v>
      </c>
      <c r="B19" s="87" t="s">
        <v>135</v>
      </c>
      <c r="C19" s="88" t="s">
        <v>136</v>
      </c>
      <c r="D19" s="89">
        <f t="shared" si="1"/>
        <v>1</v>
      </c>
      <c r="E19" s="90"/>
      <c r="F19" s="90"/>
      <c r="G19" s="91"/>
      <c r="H19" s="91"/>
      <c r="I19" s="91"/>
      <c r="J19" s="91"/>
      <c r="K19" s="91"/>
      <c r="L19" s="91"/>
      <c r="M19" s="91"/>
    </row>
    <row r="20">
      <c r="A20" s="86">
        <v>19.0</v>
      </c>
      <c r="B20" s="87" t="s">
        <v>137</v>
      </c>
      <c r="C20" s="88" t="s">
        <v>138</v>
      </c>
      <c r="D20" s="89">
        <f t="shared" si="1"/>
        <v>1</v>
      </c>
      <c r="E20" s="90"/>
      <c r="F20" s="90"/>
      <c r="G20" s="91"/>
      <c r="H20" s="91"/>
      <c r="I20" s="91"/>
      <c r="J20" s="91"/>
      <c r="K20" s="91"/>
      <c r="L20" s="91"/>
      <c r="M20" s="91"/>
    </row>
    <row r="21">
      <c r="A21" s="86">
        <v>20.0</v>
      </c>
      <c r="B21" s="87" t="s">
        <v>139</v>
      </c>
      <c r="C21" s="88" t="s">
        <v>140</v>
      </c>
      <c r="D21" s="89">
        <f t="shared" si="1"/>
        <v>1</v>
      </c>
      <c r="E21" s="90"/>
      <c r="F21" s="90"/>
      <c r="G21" s="90"/>
      <c r="H21" s="90"/>
      <c r="I21" s="91"/>
      <c r="J21" s="91"/>
      <c r="K21" s="91"/>
      <c r="L21" s="91"/>
      <c r="M21" s="91"/>
    </row>
    <row r="22">
      <c r="A22" s="86">
        <v>21.0</v>
      </c>
      <c r="B22" s="87" t="s">
        <v>141</v>
      </c>
      <c r="C22" s="88" t="s">
        <v>142</v>
      </c>
      <c r="D22" s="89">
        <f t="shared" si="1"/>
        <v>1</v>
      </c>
      <c r="E22" s="90"/>
      <c r="F22" s="90"/>
      <c r="G22" s="90"/>
      <c r="H22" s="91"/>
      <c r="I22" s="91"/>
      <c r="J22" s="91"/>
      <c r="K22" s="91"/>
      <c r="L22" s="91"/>
      <c r="M22" s="91"/>
    </row>
    <row r="23">
      <c r="A23" s="86">
        <v>22.0</v>
      </c>
      <c r="B23" s="87" t="s">
        <v>143</v>
      </c>
      <c r="C23" s="88" t="s">
        <v>144</v>
      </c>
      <c r="D23" s="89">
        <f t="shared" si="1"/>
        <v>1</v>
      </c>
      <c r="E23" s="90"/>
      <c r="F23" s="90"/>
      <c r="G23" s="91"/>
      <c r="H23" s="91"/>
      <c r="I23" s="91"/>
      <c r="J23" s="91"/>
      <c r="K23" s="91"/>
      <c r="L23" s="91"/>
      <c r="M23" s="91"/>
    </row>
    <row r="24">
      <c r="A24" s="86">
        <v>23.0</v>
      </c>
      <c r="B24" s="87" t="s">
        <v>145</v>
      </c>
      <c r="C24" s="88" t="s">
        <v>146</v>
      </c>
      <c r="D24" s="89">
        <f t="shared" si="1"/>
        <v>1</v>
      </c>
      <c r="E24" s="90"/>
      <c r="F24" s="91"/>
      <c r="G24" s="91"/>
      <c r="H24" s="91"/>
      <c r="I24" s="91"/>
      <c r="J24" s="91"/>
      <c r="K24" s="91"/>
      <c r="L24" s="91"/>
      <c r="M24" s="91"/>
    </row>
    <row r="25">
      <c r="A25" s="86">
        <v>24.0</v>
      </c>
      <c r="B25" s="87" t="s">
        <v>147</v>
      </c>
      <c r="C25" s="88" t="s">
        <v>148</v>
      </c>
      <c r="D25" s="89">
        <f t="shared" si="1"/>
        <v>1</v>
      </c>
      <c r="E25" s="90"/>
      <c r="F25" s="91"/>
      <c r="G25" s="91"/>
      <c r="H25" s="91"/>
      <c r="I25" s="91"/>
      <c r="J25" s="91"/>
      <c r="K25" s="91"/>
      <c r="L25" s="91"/>
      <c r="M25" s="91"/>
    </row>
    <row r="26">
      <c r="A26" s="86">
        <v>25.0</v>
      </c>
      <c r="B26" s="87" t="s">
        <v>149</v>
      </c>
      <c r="C26" s="88" t="s">
        <v>150</v>
      </c>
      <c r="D26" s="89">
        <f t="shared" si="1"/>
        <v>1</v>
      </c>
      <c r="E26" s="90"/>
      <c r="F26" s="91"/>
      <c r="G26" s="91"/>
      <c r="H26" s="91"/>
      <c r="I26" s="91"/>
      <c r="J26" s="91"/>
      <c r="K26" s="91"/>
      <c r="L26" s="91"/>
      <c r="M26" s="91"/>
    </row>
    <row r="27">
      <c r="A27" s="86">
        <v>26.0</v>
      </c>
      <c r="B27" s="87" t="s">
        <v>151</v>
      </c>
      <c r="C27" s="88" t="s">
        <v>152</v>
      </c>
      <c r="D27" s="89">
        <f t="shared" si="1"/>
        <v>1</v>
      </c>
      <c r="E27" s="90"/>
      <c r="F27" s="90"/>
      <c r="G27" s="91"/>
      <c r="H27" s="91"/>
      <c r="I27" s="91"/>
      <c r="J27" s="91"/>
      <c r="K27" s="91"/>
      <c r="L27" s="91"/>
      <c r="M27" s="91"/>
    </row>
    <row r="28">
      <c r="A28" s="86">
        <v>27.0</v>
      </c>
      <c r="B28" s="87" t="s">
        <v>153</v>
      </c>
      <c r="C28" s="88" t="s">
        <v>154</v>
      </c>
      <c r="D28" s="89">
        <f t="shared" si="1"/>
        <v>1</v>
      </c>
      <c r="E28" s="90"/>
      <c r="F28" s="90"/>
      <c r="G28" s="90"/>
      <c r="H28" s="90"/>
      <c r="I28" s="90"/>
      <c r="J28" s="91"/>
      <c r="K28" s="91"/>
      <c r="L28" s="91"/>
      <c r="M28" s="91"/>
    </row>
    <row r="29">
      <c r="A29" s="86">
        <v>28.0</v>
      </c>
      <c r="B29" s="87" t="s">
        <v>155</v>
      </c>
      <c r="C29" s="88" t="s">
        <v>156</v>
      </c>
      <c r="D29" s="89">
        <f t="shared" si="1"/>
        <v>1</v>
      </c>
      <c r="E29" s="90"/>
      <c r="F29" s="90"/>
      <c r="G29" s="90"/>
      <c r="H29" s="90"/>
      <c r="I29" s="91"/>
      <c r="J29" s="91"/>
      <c r="K29" s="91"/>
      <c r="L29" s="91"/>
      <c r="M29" s="91"/>
    </row>
    <row r="30">
      <c r="A30" s="86">
        <v>29.0</v>
      </c>
      <c r="B30" s="87" t="s">
        <v>157</v>
      </c>
      <c r="C30" s="88" t="s">
        <v>158</v>
      </c>
      <c r="D30" s="89">
        <f t="shared" si="1"/>
        <v>1</v>
      </c>
      <c r="E30" s="90"/>
      <c r="F30" s="90"/>
      <c r="G30" s="90"/>
      <c r="H30" s="90"/>
      <c r="I30" s="90"/>
      <c r="J30" s="90"/>
      <c r="K30" s="91"/>
      <c r="L30" s="91"/>
      <c r="M30" s="91"/>
    </row>
    <row r="31">
      <c r="A31" s="86">
        <v>30.0</v>
      </c>
      <c r="B31" s="87" t="s">
        <v>161</v>
      </c>
      <c r="C31" s="88" t="s">
        <v>162</v>
      </c>
      <c r="D31" s="89">
        <f t="shared" si="1"/>
        <v>1</v>
      </c>
      <c r="E31" s="90"/>
      <c r="F31" s="90"/>
      <c r="G31" s="90"/>
      <c r="H31" s="90"/>
      <c r="I31" s="90"/>
      <c r="J31" s="90"/>
      <c r="K31" s="90"/>
      <c r="L31" s="90"/>
    </row>
    <row r="32">
      <c r="A32" s="86">
        <v>31.0</v>
      </c>
      <c r="B32" s="87" t="s">
        <v>163</v>
      </c>
      <c r="C32" s="88" t="s">
        <v>164</v>
      </c>
      <c r="D32" s="89">
        <f t="shared" si="1"/>
        <v>1</v>
      </c>
      <c r="E32" s="90"/>
      <c r="F32" s="90"/>
      <c r="G32" s="90"/>
      <c r="H32" s="90"/>
      <c r="I32" s="90"/>
      <c r="J32" s="90"/>
      <c r="K32" s="91"/>
      <c r="L32" s="91"/>
      <c r="M32" s="91"/>
    </row>
    <row r="33">
      <c r="A33" s="86">
        <v>32.0</v>
      </c>
      <c r="B33" s="87" t="s">
        <v>165</v>
      </c>
      <c r="C33" s="88" t="s">
        <v>166</v>
      </c>
      <c r="D33" s="89">
        <f t="shared" si="1"/>
        <v>1</v>
      </c>
      <c r="E33" s="90"/>
      <c r="F33" s="90"/>
      <c r="G33" s="90"/>
      <c r="H33" s="90"/>
      <c r="I33" s="90"/>
      <c r="J33" s="90"/>
      <c r="K33" s="90"/>
      <c r="L33" s="90"/>
    </row>
    <row r="34">
      <c r="A34" s="86">
        <v>33.0</v>
      </c>
      <c r="B34" s="87" t="s">
        <v>167</v>
      </c>
      <c r="C34" s="88" t="s">
        <v>168</v>
      </c>
      <c r="D34" s="89">
        <f t="shared" si="1"/>
        <v>1</v>
      </c>
      <c r="E34" s="90"/>
      <c r="F34" s="90"/>
      <c r="G34" s="90"/>
      <c r="H34" s="90"/>
      <c r="I34" s="90"/>
      <c r="J34" s="90"/>
      <c r="K34" s="90"/>
      <c r="L34" s="90"/>
    </row>
    <row r="35">
      <c r="A35" s="86">
        <v>34.0</v>
      </c>
      <c r="B35" s="87" t="s">
        <v>169</v>
      </c>
      <c r="C35" s="88" t="s">
        <v>170</v>
      </c>
      <c r="D35" s="89">
        <f t="shared" si="1"/>
        <v>1</v>
      </c>
      <c r="E35" s="90"/>
      <c r="F35" s="91"/>
      <c r="G35" s="91"/>
      <c r="H35" s="90"/>
      <c r="I35" s="90"/>
      <c r="J35" s="90"/>
      <c r="K35" s="90"/>
      <c r="L35" s="91"/>
      <c r="M35" s="91"/>
    </row>
    <row r="36">
      <c r="A36" s="86">
        <v>35.0</v>
      </c>
      <c r="B36" s="87" t="s">
        <v>171</v>
      </c>
      <c r="C36" s="88" t="s">
        <v>172</v>
      </c>
      <c r="D36" s="89">
        <f t="shared" si="1"/>
        <v>1</v>
      </c>
      <c r="E36" s="90"/>
      <c r="F36" s="91"/>
      <c r="G36" s="91"/>
      <c r="H36" s="91"/>
      <c r="I36" s="91"/>
      <c r="J36" s="91"/>
      <c r="K36" s="91"/>
      <c r="L36" s="91"/>
      <c r="M36" s="91"/>
    </row>
  </sheetData>
  <mergeCells count="2">
    <mergeCell ref="C1:D1"/>
    <mergeCell ref="E1:M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3" max="3" width="15.63"/>
  </cols>
  <sheetData>
    <row r="1">
      <c r="A1" s="133" t="s">
        <v>227</v>
      </c>
      <c r="B1" s="134" t="s">
        <v>228</v>
      </c>
      <c r="C1" s="134" t="s">
        <v>229</v>
      </c>
    </row>
    <row r="2">
      <c r="A2" s="135" t="s">
        <v>211</v>
      </c>
      <c r="B2" s="98" t="s">
        <v>230</v>
      </c>
      <c r="C2" s="98" t="s">
        <v>231</v>
      </c>
    </row>
    <row r="3">
      <c r="A3" s="98" t="s">
        <v>232</v>
      </c>
      <c r="B3" s="98" t="s">
        <v>233</v>
      </c>
      <c r="C3" s="98" t="s">
        <v>234</v>
      </c>
    </row>
    <row r="4">
      <c r="A4" s="98" t="s">
        <v>235</v>
      </c>
      <c r="B4" s="98" t="s">
        <v>236</v>
      </c>
      <c r="C4" s="98" t="s">
        <v>237</v>
      </c>
    </row>
    <row r="5">
      <c r="A5" s="98" t="s">
        <v>238</v>
      </c>
      <c r="B5" s="98" t="s">
        <v>239</v>
      </c>
      <c r="C5" s="98" t="s">
        <v>240</v>
      </c>
    </row>
    <row r="6">
      <c r="A6" s="98" t="s">
        <v>214</v>
      </c>
      <c r="B6" s="98" t="s">
        <v>241</v>
      </c>
      <c r="C6" s="98" t="s">
        <v>242</v>
      </c>
    </row>
    <row r="7">
      <c r="A7" s="98" t="s">
        <v>221</v>
      </c>
      <c r="B7" s="98" t="s">
        <v>243</v>
      </c>
      <c r="C7" s="98" t="s">
        <v>242</v>
      </c>
    </row>
    <row r="8">
      <c r="A8" s="98" t="s">
        <v>215</v>
      </c>
      <c r="B8" s="98" t="s">
        <v>244</v>
      </c>
      <c r="C8" s="98" t="s">
        <v>245</v>
      </c>
    </row>
    <row r="9">
      <c r="A9" s="98" t="s">
        <v>222</v>
      </c>
      <c r="B9" s="98" t="s">
        <v>246</v>
      </c>
      <c r="C9" s="98" t="s">
        <v>245</v>
      </c>
    </row>
    <row r="10">
      <c r="A10" s="98" t="s">
        <v>216</v>
      </c>
      <c r="B10" s="98" t="s">
        <v>247</v>
      </c>
      <c r="C10" s="98" t="s">
        <v>248</v>
      </c>
    </row>
    <row r="11">
      <c r="A11" s="98" t="s">
        <v>249</v>
      </c>
      <c r="B11" s="98" t="s">
        <v>250</v>
      </c>
      <c r="C11" s="98" t="s">
        <v>248</v>
      </c>
    </row>
    <row r="12">
      <c r="A12" s="98" t="s">
        <v>251</v>
      </c>
      <c r="B12" s="98" t="s">
        <v>252</v>
      </c>
      <c r="C12" s="98" t="s">
        <v>253</v>
      </c>
    </row>
    <row r="13">
      <c r="A13" s="98" t="s">
        <v>254</v>
      </c>
      <c r="B13" s="98" t="s">
        <v>255</v>
      </c>
      <c r="C13" s="98" t="s">
        <v>253</v>
      </c>
    </row>
    <row r="14">
      <c r="A14" s="98" t="s">
        <v>256</v>
      </c>
      <c r="B14" s="98" t="s">
        <v>257</v>
      </c>
      <c r="C14" s="98" t="s">
        <v>253</v>
      </c>
    </row>
    <row r="15">
      <c r="A15" s="98" t="s">
        <v>258</v>
      </c>
      <c r="B15" s="98" t="s">
        <v>259</v>
      </c>
      <c r="C15" s="98" t="s">
        <v>253</v>
      </c>
    </row>
    <row r="16">
      <c r="A16" s="98" t="s">
        <v>260</v>
      </c>
      <c r="B16" s="98" t="s">
        <v>261</v>
      </c>
      <c r="C16" s="98" t="s">
        <v>253</v>
      </c>
    </row>
    <row r="17">
      <c r="A17" s="98" t="s">
        <v>262</v>
      </c>
      <c r="B17" s="98" t="s">
        <v>263</v>
      </c>
      <c r="C17" s="98" t="s">
        <v>253</v>
      </c>
    </row>
    <row r="18">
      <c r="A18" s="98" t="s">
        <v>264</v>
      </c>
      <c r="B18" s="98" t="s">
        <v>265</v>
      </c>
      <c r="C18" s="98" t="s">
        <v>253</v>
      </c>
    </row>
    <row r="19">
      <c r="A19" s="98" t="s">
        <v>266</v>
      </c>
      <c r="B19" s="98" t="s">
        <v>267</v>
      </c>
      <c r="C19" s="98" t="s">
        <v>253</v>
      </c>
    </row>
    <row r="20">
      <c r="A20" s="98" t="s">
        <v>268</v>
      </c>
      <c r="B20" s="98" t="s">
        <v>269</v>
      </c>
      <c r="C20" s="98" t="s">
        <v>253</v>
      </c>
    </row>
    <row r="21">
      <c r="A21" s="98" t="s">
        <v>270</v>
      </c>
      <c r="B21" s="98" t="s">
        <v>271</v>
      </c>
      <c r="C21" s="98" t="s">
        <v>253</v>
      </c>
    </row>
    <row r="22">
      <c r="A22" s="98" t="s">
        <v>272</v>
      </c>
      <c r="B22" s="98" t="s">
        <v>273</v>
      </c>
      <c r="C22" s="98" t="s">
        <v>253</v>
      </c>
    </row>
    <row r="23">
      <c r="A23" s="98" t="s">
        <v>274</v>
      </c>
      <c r="B23" s="98" t="s">
        <v>275</v>
      </c>
      <c r="C23" s="98" t="s">
        <v>253</v>
      </c>
    </row>
    <row r="24">
      <c r="A24" s="98" t="s">
        <v>217</v>
      </c>
      <c r="B24" s="98" t="s">
        <v>276</v>
      </c>
      <c r="C24" s="98" t="s">
        <v>253</v>
      </c>
    </row>
    <row r="25">
      <c r="A25" s="98" t="s">
        <v>277</v>
      </c>
      <c r="B25" s="98" t="s">
        <v>278</v>
      </c>
      <c r="C25" s="98" t="s">
        <v>253</v>
      </c>
    </row>
    <row r="26">
      <c r="A26" s="98" t="s">
        <v>279</v>
      </c>
      <c r="B26" s="98" t="s">
        <v>280</v>
      </c>
      <c r="C26" s="98" t="s">
        <v>253</v>
      </c>
    </row>
    <row r="27">
      <c r="A27" s="98" t="s">
        <v>281</v>
      </c>
      <c r="B27" s="98" t="s">
        <v>282</v>
      </c>
      <c r="C27" s="98" t="s">
        <v>253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283</v>
      </c>
      <c r="B1" s="98" t="s">
        <v>284</v>
      </c>
    </row>
    <row r="2">
      <c r="A2" s="97" t="s">
        <v>285</v>
      </c>
      <c r="B2" s="98" t="s">
        <v>286</v>
      </c>
      <c r="C2" s="98" t="s">
        <v>287</v>
      </c>
      <c r="D2" s="98" t="s">
        <v>288</v>
      </c>
    </row>
    <row r="3">
      <c r="A3" s="97" t="s">
        <v>289</v>
      </c>
      <c r="B3" s="98" t="s">
        <v>290</v>
      </c>
      <c r="C3" s="98" t="s">
        <v>291</v>
      </c>
    </row>
    <row r="4">
      <c r="A4" s="97" t="s">
        <v>138</v>
      </c>
      <c r="B4" s="98" t="s">
        <v>292</v>
      </c>
      <c r="C4" s="98" t="s">
        <v>293</v>
      </c>
    </row>
    <row r="5">
      <c r="A5" s="97" t="s">
        <v>248</v>
      </c>
      <c r="B5" s="98" t="s">
        <v>293</v>
      </c>
    </row>
    <row r="6">
      <c r="A6" s="97" t="s">
        <v>294</v>
      </c>
      <c r="B6" s="98" t="s">
        <v>292</v>
      </c>
    </row>
    <row r="7">
      <c r="A7" s="97" t="s">
        <v>295</v>
      </c>
      <c r="B7" s="98" t="s">
        <v>296</v>
      </c>
    </row>
    <row r="8">
      <c r="A8" s="97" t="s">
        <v>297</v>
      </c>
      <c r="B8" s="98" t="s">
        <v>298</v>
      </c>
    </row>
    <row r="9">
      <c r="A9" s="97" t="s">
        <v>299</v>
      </c>
      <c r="B9" s="98" t="s">
        <v>300</v>
      </c>
      <c r="C9" s="98" t="s">
        <v>301</v>
      </c>
    </row>
    <row r="10">
      <c r="A10" s="97" t="s">
        <v>302</v>
      </c>
      <c r="B10" s="98" t="s">
        <v>303</v>
      </c>
      <c r="C10" s="98" t="s">
        <v>304</v>
      </c>
      <c r="D10" s="98" t="s">
        <v>301</v>
      </c>
    </row>
    <row r="11">
      <c r="A11" s="97" t="s">
        <v>305</v>
      </c>
      <c r="B11" s="98" t="s">
        <v>306</v>
      </c>
      <c r="C11" s="98" t="s">
        <v>301</v>
      </c>
    </row>
    <row r="12">
      <c r="A12" s="97" t="s">
        <v>307</v>
      </c>
      <c r="B12" s="98" t="s">
        <v>308</v>
      </c>
      <c r="C12" s="98" t="s">
        <v>301</v>
      </c>
    </row>
    <row r="13">
      <c r="A13" s="97" t="s">
        <v>309</v>
      </c>
      <c r="B13" s="98" t="s">
        <v>310</v>
      </c>
      <c r="C13" s="98" t="s">
        <v>301</v>
      </c>
    </row>
    <row r="14">
      <c r="A14" s="97" t="s">
        <v>311</v>
      </c>
      <c r="B14" s="98" t="s">
        <v>312</v>
      </c>
    </row>
    <row r="15">
      <c r="A15" s="97" t="s">
        <v>313</v>
      </c>
      <c r="B15" s="98" t="s">
        <v>314</v>
      </c>
    </row>
    <row r="16">
      <c r="A16" s="97" t="s">
        <v>315</v>
      </c>
      <c r="B16" s="98" t="s">
        <v>316</v>
      </c>
      <c r="C16" s="98" t="s">
        <v>317</v>
      </c>
    </row>
    <row r="17">
      <c r="A17" s="97" t="s">
        <v>318</v>
      </c>
      <c r="B17" s="98" t="s">
        <v>319</v>
      </c>
    </row>
    <row r="18">
      <c r="A18" s="97" t="s">
        <v>320</v>
      </c>
      <c r="B18" s="98" t="s">
        <v>321</v>
      </c>
    </row>
    <row r="19">
      <c r="A19" s="97" t="s">
        <v>322</v>
      </c>
      <c r="B19" s="98" t="s">
        <v>323</v>
      </c>
      <c r="C19" s="98" t="s">
        <v>324</v>
      </c>
    </row>
    <row r="20">
      <c r="A20" s="97" t="s">
        <v>325</v>
      </c>
      <c r="B20" s="98" t="s">
        <v>326</v>
      </c>
    </row>
    <row r="21">
      <c r="A21" s="97" t="s">
        <v>327</v>
      </c>
    </row>
    <row r="22">
      <c r="A22" s="97" t="s">
        <v>328</v>
      </c>
    </row>
    <row r="23">
      <c r="A23" s="97" t="s">
        <v>329</v>
      </c>
    </row>
    <row r="24">
      <c r="A24" s="97" t="s">
        <v>330</v>
      </c>
    </row>
    <row r="25">
      <c r="A25" s="97" t="s">
        <v>331</v>
      </c>
    </row>
    <row r="26">
      <c r="A26" s="97" t="s">
        <v>332</v>
      </c>
    </row>
    <row r="27">
      <c r="A27" s="97" t="s">
        <v>333</v>
      </c>
    </row>
    <row r="28">
      <c r="A28" s="97" t="s">
        <v>334</v>
      </c>
    </row>
    <row r="29">
      <c r="A29" s="97" t="s">
        <v>335</v>
      </c>
    </row>
    <row r="30">
      <c r="A30" s="97" t="s">
        <v>336</v>
      </c>
    </row>
    <row r="31">
      <c r="A31" s="97" t="s">
        <v>337</v>
      </c>
    </row>
    <row r="32">
      <c r="A32" s="97" t="s">
        <v>105</v>
      </c>
    </row>
    <row r="33">
      <c r="A33" s="97" t="s">
        <v>338</v>
      </c>
    </row>
    <row r="34">
      <c r="A34" s="97" t="s">
        <v>160</v>
      </c>
    </row>
    <row r="35">
      <c r="A35" s="97" t="s">
        <v>159</v>
      </c>
    </row>
    <row r="36">
      <c r="A36" s="119"/>
    </row>
    <row r="37">
      <c r="A37" s="119"/>
    </row>
    <row r="38">
      <c r="A38" s="119"/>
    </row>
    <row r="39">
      <c r="A39" s="119"/>
    </row>
    <row r="40">
      <c r="A40" s="119"/>
    </row>
    <row r="41">
      <c r="A41" s="119"/>
    </row>
    <row r="42">
      <c r="A42" s="119"/>
    </row>
    <row r="43">
      <c r="A43" s="119"/>
    </row>
    <row r="44">
      <c r="A44" s="119"/>
    </row>
    <row r="45">
      <c r="A45" s="119"/>
    </row>
    <row r="46">
      <c r="A46" s="119"/>
    </row>
    <row r="47">
      <c r="A47" s="119"/>
    </row>
    <row r="48">
      <c r="A48" s="119"/>
    </row>
    <row r="49">
      <c r="A49" s="119"/>
    </row>
    <row r="50">
      <c r="A50" s="119"/>
    </row>
    <row r="51">
      <c r="A51" s="119"/>
    </row>
    <row r="52">
      <c r="A52" s="119"/>
    </row>
    <row r="53">
      <c r="A53" s="119"/>
    </row>
    <row r="54">
      <c r="A54" s="119"/>
    </row>
    <row r="55">
      <c r="A55" s="119"/>
    </row>
    <row r="56">
      <c r="A56" s="119"/>
    </row>
    <row r="57">
      <c r="A57" s="119"/>
    </row>
    <row r="58">
      <c r="A58" s="119"/>
    </row>
    <row r="59">
      <c r="A59" s="119"/>
    </row>
    <row r="60">
      <c r="A60" s="119"/>
    </row>
    <row r="61">
      <c r="A61" s="119"/>
    </row>
    <row r="62">
      <c r="A62" s="119"/>
    </row>
    <row r="63">
      <c r="A63" s="119"/>
    </row>
    <row r="64">
      <c r="A64" s="119"/>
    </row>
    <row r="65">
      <c r="A65" s="119"/>
    </row>
    <row r="66">
      <c r="A66" s="119"/>
    </row>
    <row r="67">
      <c r="A67" s="119"/>
    </row>
    <row r="68">
      <c r="A68" s="119"/>
    </row>
    <row r="69">
      <c r="A69" s="119"/>
    </row>
    <row r="70">
      <c r="A70" s="119"/>
    </row>
    <row r="71">
      <c r="A71" s="119"/>
    </row>
    <row r="72">
      <c r="A72" s="119"/>
    </row>
    <row r="73">
      <c r="A73" s="119"/>
    </row>
    <row r="74">
      <c r="A74" s="119"/>
    </row>
    <row r="75">
      <c r="A75" s="119"/>
    </row>
    <row r="76">
      <c r="A76" s="119"/>
    </row>
    <row r="77">
      <c r="A77" s="119"/>
    </row>
    <row r="78">
      <c r="A78" s="119"/>
    </row>
    <row r="79">
      <c r="A79" s="119"/>
    </row>
    <row r="80">
      <c r="A80" s="119"/>
    </row>
    <row r="81">
      <c r="A81" s="119"/>
    </row>
    <row r="82">
      <c r="A82" s="119"/>
    </row>
    <row r="83">
      <c r="A83" s="119"/>
    </row>
    <row r="84">
      <c r="A84" s="119"/>
    </row>
    <row r="85">
      <c r="A85" s="119"/>
    </row>
    <row r="86">
      <c r="A86" s="119"/>
    </row>
    <row r="87">
      <c r="A87" s="119"/>
    </row>
    <row r="88">
      <c r="A88" s="119"/>
    </row>
    <row r="89">
      <c r="A89" s="119"/>
    </row>
    <row r="90">
      <c r="A90" s="119"/>
    </row>
    <row r="91">
      <c r="A91" s="119"/>
    </row>
    <row r="92">
      <c r="A92" s="119"/>
    </row>
    <row r="93">
      <c r="A93" s="119"/>
    </row>
    <row r="94">
      <c r="A94" s="119"/>
    </row>
    <row r="95">
      <c r="A95" s="119"/>
    </row>
    <row r="96">
      <c r="A96" s="119"/>
    </row>
    <row r="97">
      <c r="A97" s="119"/>
    </row>
    <row r="98">
      <c r="A98" s="119"/>
    </row>
    <row r="99">
      <c r="A99" s="119"/>
    </row>
    <row r="100">
      <c r="A100" s="119"/>
    </row>
    <row r="101">
      <c r="A101" s="119"/>
    </row>
    <row r="102">
      <c r="A102" s="119"/>
    </row>
    <row r="103">
      <c r="A103" s="119"/>
    </row>
    <row r="104">
      <c r="A104" s="119"/>
    </row>
    <row r="105">
      <c r="A105" s="119"/>
    </row>
    <row r="106">
      <c r="A106" s="119"/>
    </row>
    <row r="107">
      <c r="A107" s="119"/>
    </row>
    <row r="108">
      <c r="A108" s="119"/>
    </row>
    <row r="109">
      <c r="A109" s="119"/>
    </row>
    <row r="110">
      <c r="A110" s="119"/>
    </row>
    <row r="111">
      <c r="A111" s="119"/>
    </row>
    <row r="112">
      <c r="A112" s="119"/>
    </row>
    <row r="113">
      <c r="A113" s="119"/>
    </row>
    <row r="114">
      <c r="A114" s="119"/>
    </row>
    <row r="115">
      <c r="A115" s="119"/>
    </row>
    <row r="116">
      <c r="A116" s="119"/>
    </row>
    <row r="117">
      <c r="A117" s="119"/>
    </row>
    <row r="118">
      <c r="A118" s="119"/>
    </row>
    <row r="119">
      <c r="A119" s="119"/>
    </row>
    <row r="120">
      <c r="A120" s="119"/>
    </row>
    <row r="121">
      <c r="A121" s="119"/>
    </row>
    <row r="122">
      <c r="A122" s="119"/>
    </row>
    <row r="123">
      <c r="A123" s="119"/>
    </row>
    <row r="124">
      <c r="A124" s="119"/>
    </row>
    <row r="125">
      <c r="A125" s="119"/>
    </row>
    <row r="126">
      <c r="A126" s="119"/>
    </row>
    <row r="127">
      <c r="A127" s="119"/>
    </row>
    <row r="128">
      <c r="A128" s="119"/>
    </row>
    <row r="129">
      <c r="A129" s="119"/>
    </row>
    <row r="130">
      <c r="A130" s="119"/>
    </row>
    <row r="131">
      <c r="A131" s="119"/>
    </row>
    <row r="132">
      <c r="A132" s="119"/>
    </row>
    <row r="133">
      <c r="A133" s="119"/>
    </row>
    <row r="134">
      <c r="A134" s="119"/>
    </row>
    <row r="135">
      <c r="A135" s="119"/>
    </row>
    <row r="136">
      <c r="A136" s="119"/>
    </row>
    <row r="137">
      <c r="A137" s="119"/>
    </row>
    <row r="138">
      <c r="A138" s="119"/>
    </row>
    <row r="139">
      <c r="A139" s="119"/>
    </row>
    <row r="140">
      <c r="A140" s="119"/>
    </row>
    <row r="141">
      <c r="A141" s="119"/>
    </row>
    <row r="142">
      <c r="A142" s="119"/>
    </row>
    <row r="143">
      <c r="A143" s="119"/>
    </row>
    <row r="144">
      <c r="A144" s="119"/>
    </row>
    <row r="145">
      <c r="A145" s="119"/>
    </row>
    <row r="146">
      <c r="A146" s="119"/>
    </row>
    <row r="147">
      <c r="A147" s="119"/>
    </row>
    <row r="148">
      <c r="A148" s="119"/>
    </row>
    <row r="149">
      <c r="A149" s="119"/>
    </row>
    <row r="150">
      <c r="A150" s="119"/>
    </row>
    <row r="151">
      <c r="A151" s="119"/>
    </row>
    <row r="152">
      <c r="A152" s="119"/>
    </row>
    <row r="153">
      <c r="A153" s="119"/>
    </row>
    <row r="154">
      <c r="A154" s="119"/>
    </row>
    <row r="155">
      <c r="A155" s="119"/>
    </row>
    <row r="156">
      <c r="A156" s="119"/>
    </row>
    <row r="157">
      <c r="A157" s="119"/>
    </row>
    <row r="158">
      <c r="A158" s="119"/>
    </row>
    <row r="159">
      <c r="A159" s="119"/>
    </row>
    <row r="160">
      <c r="A160" s="119"/>
    </row>
    <row r="161">
      <c r="A161" s="119"/>
    </row>
    <row r="162">
      <c r="A162" s="119"/>
    </row>
    <row r="163">
      <c r="A163" s="119"/>
    </row>
    <row r="164">
      <c r="A164" s="119"/>
    </row>
    <row r="165">
      <c r="A165" s="119"/>
    </row>
    <row r="166">
      <c r="A166" s="119"/>
    </row>
    <row r="167">
      <c r="A167" s="119"/>
    </row>
    <row r="168">
      <c r="A168" s="119"/>
    </row>
    <row r="169">
      <c r="A169" s="119"/>
    </row>
    <row r="170">
      <c r="A170" s="119"/>
    </row>
    <row r="171">
      <c r="A171" s="119"/>
    </row>
    <row r="172">
      <c r="A172" s="119"/>
    </row>
    <row r="173">
      <c r="A173" s="119"/>
    </row>
    <row r="174">
      <c r="A174" s="119"/>
    </row>
    <row r="175">
      <c r="A175" s="119"/>
    </row>
    <row r="176">
      <c r="A176" s="119"/>
    </row>
    <row r="177">
      <c r="A177" s="119"/>
    </row>
    <row r="178">
      <c r="A178" s="119"/>
    </row>
    <row r="179">
      <c r="A179" s="119"/>
    </row>
    <row r="180">
      <c r="A180" s="119"/>
    </row>
    <row r="181">
      <c r="A181" s="119"/>
    </row>
    <row r="182">
      <c r="A182" s="119"/>
    </row>
    <row r="183">
      <c r="A183" s="119"/>
    </row>
    <row r="184">
      <c r="A184" s="119"/>
    </row>
    <row r="185">
      <c r="A185" s="119"/>
    </row>
    <row r="186">
      <c r="A186" s="119"/>
    </row>
    <row r="187">
      <c r="A187" s="119"/>
    </row>
    <row r="188">
      <c r="A188" s="119"/>
    </row>
    <row r="189">
      <c r="A189" s="119"/>
    </row>
    <row r="190">
      <c r="A190" s="119"/>
    </row>
    <row r="191">
      <c r="A191" s="119"/>
    </row>
    <row r="192">
      <c r="A192" s="119"/>
    </row>
    <row r="193">
      <c r="A193" s="119"/>
    </row>
    <row r="194">
      <c r="A194" s="119"/>
    </row>
    <row r="195">
      <c r="A195" s="119"/>
    </row>
    <row r="196">
      <c r="A196" s="119"/>
    </row>
    <row r="197">
      <c r="A197" s="119"/>
    </row>
    <row r="198">
      <c r="A198" s="119"/>
    </row>
    <row r="199">
      <c r="A199" s="119"/>
    </row>
    <row r="200">
      <c r="A200" s="119"/>
    </row>
    <row r="201">
      <c r="A201" s="119"/>
    </row>
    <row r="202">
      <c r="A202" s="119"/>
    </row>
    <row r="203">
      <c r="A203" s="119"/>
    </row>
    <row r="204">
      <c r="A204" s="119"/>
    </row>
    <row r="205">
      <c r="A205" s="119"/>
    </row>
    <row r="206">
      <c r="A206" s="119"/>
    </row>
    <row r="207">
      <c r="A207" s="119"/>
    </row>
    <row r="208">
      <c r="A208" s="119"/>
    </row>
    <row r="209">
      <c r="A209" s="119"/>
    </row>
    <row r="210">
      <c r="A210" s="119"/>
    </row>
    <row r="211">
      <c r="A211" s="119"/>
    </row>
    <row r="212">
      <c r="A212" s="119"/>
    </row>
    <row r="213">
      <c r="A213" s="119"/>
    </row>
    <row r="214">
      <c r="A214" s="119"/>
    </row>
    <row r="215">
      <c r="A215" s="119"/>
    </row>
    <row r="216">
      <c r="A216" s="119"/>
    </row>
    <row r="217">
      <c r="A217" s="119"/>
    </row>
    <row r="218">
      <c r="A218" s="119"/>
    </row>
    <row r="219">
      <c r="A219" s="119"/>
    </row>
    <row r="220">
      <c r="A220" s="119"/>
    </row>
    <row r="221">
      <c r="A221" s="119"/>
    </row>
    <row r="222">
      <c r="A222" s="119"/>
    </row>
    <row r="223">
      <c r="A223" s="119"/>
    </row>
    <row r="224">
      <c r="A224" s="119"/>
    </row>
    <row r="225">
      <c r="A225" s="119"/>
    </row>
    <row r="226">
      <c r="A226" s="119"/>
    </row>
    <row r="227">
      <c r="A227" s="119"/>
    </row>
    <row r="228">
      <c r="A228" s="119"/>
    </row>
    <row r="229">
      <c r="A229" s="119"/>
    </row>
    <row r="230">
      <c r="A230" s="119"/>
    </row>
    <row r="231">
      <c r="A231" s="119"/>
    </row>
    <row r="232">
      <c r="A232" s="119"/>
    </row>
    <row r="233">
      <c r="A233" s="119"/>
    </row>
    <row r="234">
      <c r="A234" s="119"/>
    </row>
    <row r="235">
      <c r="A235" s="119"/>
    </row>
    <row r="236">
      <c r="A236" s="119"/>
    </row>
    <row r="237">
      <c r="A237" s="119"/>
    </row>
    <row r="238">
      <c r="A238" s="119"/>
    </row>
    <row r="239">
      <c r="A239" s="119"/>
    </row>
    <row r="240">
      <c r="A240" s="119"/>
    </row>
    <row r="241">
      <c r="A241" s="119"/>
    </row>
    <row r="242">
      <c r="A242" s="119"/>
    </row>
    <row r="243">
      <c r="A243" s="119"/>
    </row>
    <row r="244">
      <c r="A244" s="119"/>
    </row>
    <row r="245">
      <c r="A245" s="119"/>
    </row>
    <row r="246">
      <c r="A246" s="119"/>
    </row>
    <row r="247">
      <c r="A247" s="119"/>
    </row>
    <row r="248">
      <c r="A248" s="119"/>
    </row>
    <row r="249">
      <c r="A249" s="119"/>
    </row>
    <row r="250">
      <c r="A250" s="119"/>
    </row>
    <row r="251">
      <c r="A251" s="119"/>
    </row>
    <row r="252">
      <c r="A252" s="119"/>
    </row>
    <row r="253">
      <c r="A253" s="119"/>
    </row>
    <row r="254">
      <c r="A254" s="119"/>
    </row>
    <row r="255">
      <c r="A255" s="119"/>
    </row>
    <row r="256">
      <c r="A256" s="119"/>
    </row>
    <row r="257">
      <c r="A257" s="119"/>
    </row>
    <row r="258">
      <c r="A258" s="119"/>
    </row>
    <row r="259">
      <c r="A259" s="119"/>
    </row>
    <row r="260">
      <c r="A260" s="119"/>
    </row>
    <row r="261">
      <c r="A261" s="119"/>
    </row>
    <row r="262">
      <c r="A262" s="119"/>
    </row>
    <row r="263">
      <c r="A263" s="119"/>
    </row>
    <row r="264">
      <c r="A264" s="119"/>
    </row>
    <row r="265">
      <c r="A265" s="119"/>
    </row>
    <row r="266">
      <c r="A266" s="119"/>
    </row>
    <row r="267">
      <c r="A267" s="119"/>
    </row>
    <row r="268">
      <c r="A268" s="119"/>
    </row>
    <row r="269">
      <c r="A269" s="119"/>
    </row>
    <row r="270">
      <c r="A270" s="119"/>
    </row>
    <row r="271">
      <c r="A271" s="119"/>
    </row>
    <row r="272">
      <c r="A272" s="119"/>
    </row>
    <row r="273">
      <c r="A273" s="119"/>
    </row>
    <row r="274">
      <c r="A274" s="119"/>
    </row>
    <row r="275">
      <c r="A275" s="119"/>
    </row>
    <row r="276">
      <c r="A276" s="119"/>
    </row>
    <row r="277">
      <c r="A277" s="119"/>
    </row>
    <row r="278">
      <c r="A278" s="119"/>
    </row>
    <row r="279">
      <c r="A279" s="119"/>
    </row>
    <row r="280">
      <c r="A280" s="119"/>
    </row>
    <row r="281">
      <c r="A281" s="119"/>
    </row>
    <row r="282">
      <c r="A282" s="119"/>
    </row>
    <row r="283">
      <c r="A283" s="119"/>
    </row>
    <row r="284">
      <c r="A284" s="119"/>
    </row>
    <row r="285">
      <c r="A285" s="119"/>
    </row>
    <row r="286">
      <c r="A286" s="119"/>
    </row>
    <row r="287">
      <c r="A287" s="119"/>
    </row>
    <row r="288">
      <c r="A288" s="119"/>
    </row>
    <row r="289">
      <c r="A289" s="119"/>
    </row>
    <row r="290">
      <c r="A290" s="119"/>
    </row>
    <row r="291">
      <c r="A291" s="119"/>
    </row>
    <row r="292">
      <c r="A292" s="119"/>
    </row>
    <row r="293">
      <c r="A293" s="119"/>
    </row>
    <row r="294">
      <c r="A294" s="119"/>
    </row>
    <row r="295">
      <c r="A295" s="119"/>
    </row>
    <row r="296">
      <c r="A296" s="119"/>
    </row>
    <row r="297">
      <c r="A297" s="119"/>
    </row>
    <row r="298">
      <c r="A298" s="119"/>
    </row>
    <row r="299">
      <c r="A299" s="119"/>
    </row>
    <row r="300">
      <c r="A300" s="119"/>
    </row>
    <row r="301">
      <c r="A301" s="119"/>
    </row>
    <row r="302">
      <c r="A302" s="119"/>
    </row>
    <row r="303">
      <c r="A303" s="119"/>
    </row>
    <row r="304">
      <c r="A304" s="119"/>
    </row>
    <row r="305">
      <c r="A305" s="119"/>
    </row>
    <row r="306">
      <c r="A306" s="119"/>
    </row>
    <row r="307">
      <c r="A307" s="119"/>
    </row>
    <row r="308">
      <c r="A308" s="119"/>
    </row>
    <row r="309">
      <c r="A309" s="119"/>
    </row>
    <row r="310">
      <c r="A310" s="119"/>
    </row>
    <row r="311">
      <c r="A311" s="119"/>
    </row>
    <row r="312">
      <c r="A312" s="119"/>
    </row>
    <row r="313">
      <c r="A313" s="119"/>
    </row>
    <row r="314">
      <c r="A314" s="119"/>
    </row>
    <row r="315">
      <c r="A315" s="119"/>
    </row>
    <row r="316">
      <c r="A316" s="119"/>
    </row>
    <row r="317">
      <c r="A317" s="119"/>
    </row>
    <row r="318">
      <c r="A318" s="119"/>
    </row>
    <row r="319">
      <c r="A319" s="119"/>
    </row>
    <row r="320">
      <c r="A320" s="119"/>
    </row>
    <row r="321">
      <c r="A321" s="119"/>
    </row>
    <row r="322">
      <c r="A322" s="119"/>
    </row>
    <row r="323">
      <c r="A323" s="119"/>
    </row>
    <row r="324">
      <c r="A324" s="119"/>
    </row>
    <row r="325">
      <c r="A325" s="119"/>
    </row>
    <row r="326">
      <c r="A326" s="119"/>
    </row>
    <row r="327">
      <c r="A327" s="119"/>
    </row>
    <row r="328">
      <c r="A328" s="119"/>
    </row>
    <row r="329">
      <c r="A329" s="119"/>
    </row>
    <row r="330">
      <c r="A330" s="119"/>
    </row>
    <row r="331">
      <c r="A331" s="119"/>
    </row>
    <row r="332">
      <c r="A332" s="119"/>
    </row>
    <row r="333">
      <c r="A333" s="119"/>
    </row>
    <row r="334">
      <c r="A334" s="119"/>
    </row>
    <row r="335">
      <c r="A335" s="119"/>
    </row>
    <row r="336">
      <c r="A336" s="119"/>
    </row>
    <row r="337">
      <c r="A337" s="119"/>
    </row>
    <row r="338">
      <c r="A338" s="119"/>
    </row>
    <row r="339">
      <c r="A339" s="119"/>
    </row>
    <row r="340">
      <c r="A340" s="119"/>
    </row>
    <row r="341">
      <c r="A341" s="119"/>
    </row>
    <row r="342">
      <c r="A342" s="119"/>
    </row>
    <row r="343">
      <c r="A343" s="119"/>
    </row>
    <row r="344">
      <c r="A344" s="119"/>
    </row>
    <row r="345">
      <c r="A345" s="119"/>
    </row>
    <row r="346">
      <c r="A346" s="119"/>
    </row>
    <row r="347">
      <c r="A347" s="119"/>
    </row>
    <row r="348">
      <c r="A348" s="119"/>
    </row>
    <row r="349">
      <c r="A349" s="119"/>
    </row>
    <row r="350">
      <c r="A350" s="119"/>
    </row>
    <row r="351">
      <c r="A351" s="119"/>
    </row>
    <row r="352">
      <c r="A352" s="119"/>
    </row>
    <row r="353">
      <c r="A353" s="119"/>
    </row>
    <row r="354">
      <c r="A354" s="119"/>
    </row>
    <row r="355">
      <c r="A355" s="119"/>
    </row>
    <row r="356">
      <c r="A356" s="119"/>
    </row>
    <row r="357">
      <c r="A357" s="119"/>
    </row>
    <row r="358">
      <c r="A358" s="119"/>
    </row>
    <row r="359">
      <c r="A359" s="119"/>
    </row>
    <row r="360">
      <c r="A360" s="119"/>
    </row>
    <row r="361">
      <c r="A361" s="119"/>
    </row>
    <row r="362">
      <c r="A362" s="119"/>
    </row>
    <row r="363">
      <c r="A363" s="119"/>
    </row>
    <row r="364">
      <c r="A364" s="119"/>
    </row>
    <row r="365">
      <c r="A365" s="119"/>
    </row>
    <row r="366">
      <c r="A366" s="119"/>
    </row>
    <row r="367">
      <c r="A367" s="119"/>
    </row>
    <row r="368">
      <c r="A368" s="119"/>
    </row>
    <row r="369">
      <c r="A369" s="119"/>
    </row>
    <row r="370">
      <c r="A370" s="119"/>
    </row>
    <row r="371">
      <c r="A371" s="119"/>
    </row>
    <row r="372">
      <c r="A372" s="119"/>
    </row>
    <row r="373">
      <c r="A373" s="119"/>
    </row>
    <row r="374">
      <c r="A374" s="119"/>
    </row>
    <row r="375">
      <c r="A375" s="119"/>
    </row>
    <row r="376">
      <c r="A376" s="119"/>
    </row>
    <row r="377">
      <c r="A377" s="119"/>
    </row>
    <row r="378">
      <c r="A378" s="119"/>
    </row>
    <row r="379">
      <c r="A379" s="119"/>
    </row>
    <row r="380">
      <c r="A380" s="119"/>
    </row>
    <row r="381">
      <c r="A381" s="119"/>
    </row>
    <row r="382">
      <c r="A382" s="119"/>
    </row>
    <row r="383">
      <c r="A383" s="119"/>
    </row>
    <row r="384">
      <c r="A384" s="119"/>
    </row>
    <row r="385">
      <c r="A385" s="119"/>
    </row>
    <row r="386">
      <c r="A386" s="119"/>
    </row>
    <row r="387">
      <c r="A387" s="119"/>
    </row>
    <row r="388">
      <c r="A388" s="119"/>
    </row>
    <row r="389">
      <c r="A389" s="119"/>
    </row>
    <row r="390">
      <c r="A390" s="119"/>
    </row>
    <row r="391">
      <c r="A391" s="119"/>
    </row>
    <row r="392">
      <c r="A392" s="119"/>
    </row>
    <row r="393">
      <c r="A393" s="119"/>
    </row>
    <row r="394">
      <c r="A394" s="119"/>
    </row>
    <row r="395">
      <c r="A395" s="119"/>
    </row>
    <row r="396">
      <c r="A396" s="119"/>
    </row>
    <row r="397">
      <c r="A397" s="119"/>
    </row>
    <row r="398">
      <c r="A398" s="119"/>
    </row>
    <row r="399">
      <c r="A399" s="119"/>
    </row>
    <row r="400">
      <c r="A400" s="119"/>
    </row>
    <row r="401">
      <c r="A401" s="119"/>
    </row>
    <row r="402">
      <c r="A402" s="119"/>
    </row>
    <row r="403">
      <c r="A403" s="119"/>
    </row>
    <row r="404">
      <c r="A404" s="119"/>
    </row>
    <row r="405">
      <c r="A405" s="119"/>
    </row>
    <row r="406">
      <c r="A406" s="119"/>
    </row>
    <row r="407">
      <c r="A407" s="119"/>
    </row>
    <row r="408">
      <c r="A408" s="119"/>
    </row>
    <row r="409">
      <c r="A409" s="119"/>
    </row>
    <row r="410">
      <c r="A410" s="119"/>
    </row>
    <row r="411">
      <c r="A411" s="119"/>
    </row>
    <row r="412">
      <c r="A412" s="119"/>
    </row>
    <row r="413">
      <c r="A413" s="119"/>
    </row>
    <row r="414">
      <c r="A414" s="119"/>
    </row>
    <row r="415">
      <c r="A415" s="119"/>
    </row>
    <row r="416">
      <c r="A416" s="119"/>
    </row>
    <row r="417">
      <c r="A417" s="119"/>
    </row>
    <row r="418">
      <c r="A418" s="119"/>
    </row>
    <row r="419">
      <c r="A419" s="119"/>
    </row>
    <row r="420">
      <c r="A420" s="119"/>
    </row>
    <row r="421">
      <c r="A421" s="119"/>
    </row>
    <row r="422">
      <c r="A422" s="119"/>
    </row>
    <row r="423">
      <c r="A423" s="119"/>
    </row>
    <row r="424">
      <c r="A424" s="119"/>
    </row>
    <row r="425">
      <c r="A425" s="119"/>
    </row>
    <row r="426">
      <c r="A426" s="119"/>
    </row>
    <row r="427">
      <c r="A427" s="119"/>
    </row>
    <row r="428">
      <c r="A428" s="119"/>
    </row>
    <row r="429">
      <c r="A429" s="119"/>
    </row>
    <row r="430">
      <c r="A430" s="119"/>
    </row>
    <row r="431">
      <c r="A431" s="119"/>
    </row>
    <row r="432">
      <c r="A432" s="119"/>
    </row>
    <row r="433">
      <c r="A433" s="119"/>
    </row>
    <row r="434">
      <c r="A434" s="119"/>
    </row>
    <row r="435">
      <c r="A435" s="119"/>
    </row>
    <row r="436">
      <c r="A436" s="119"/>
    </row>
    <row r="437">
      <c r="A437" s="119"/>
    </row>
    <row r="438">
      <c r="A438" s="119"/>
    </row>
    <row r="439">
      <c r="A439" s="119"/>
    </row>
    <row r="440">
      <c r="A440" s="119"/>
    </row>
    <row r="441">
      <c r="A441" s="119"/>
    </row>
    <row r="442">
      <c r="A442" s="119"/>
    </row>
    <row r="443">
      <c r="A443" s="119"/>
    </row>
    <row r="444">
      <c r="A444" s="119"/>
    </row>
    <row r="445">
      <c r="A445" s="119"/>
    </row>
    <row r="446">
      <c r="A446" s="119"/>
    </row>
    <row r="447">
      <c r="A447" s="119"/>
    </row>
    <row r="448">
      <c r="A448" s="119"/>
    </row>
    <row r="449">
      <c r="A449" s="119"/>
    </row>
    <row r="450">
      <c r="A450" s="119"/>
    </row>
    <row r="451">
      <c r="A451" s="119"/>
    </row>
    <row r="452">
      <c r="A452" s="119"/>
    </row>
    <row r="453">
      <c r="A453" s="119"/>
    </row>
    <row r="454">
      <c r="A454" s="119"/>
    </row>
    <row r="455">
      <c r="A455" s="119"/>
    </row>
    <row r="456">
      <c r="A456" s="119"/>
    </row>
    <row r="457">
      <c r="A457" s="119"/>
    </row>
    <row r="458">
      <c r="A458" s="119"/>
    </row>
    <row r="459">
      <c r="A459" s="119"/>
    </row>
    <row r="460">
      <c r="A460" s="119"/>
    </row>
    <row r="461">
      <c r="A461" s="119"/>
    </row>
    <row r="462">
      <c r="A462" s="119"/>
    </row>
    <row r="463">
      <c r="A463" s="119"/>
    </row>
    <row r="464">
      <c r="A464" s="119"/>
    </row>
    <row r="465">
      <c r="A465" s="119"/>
    </row>
    <row r="466">
      <c r="A466" s="119"/>
    </row>
    <row r="467">
      <c r="A467" s="119"/>
    </row>
    <row r="468">
      <c r="A468" s="119"/>
    </row>
    <row r="469">
      <c r="A469" s="119"/>
    </row>
    <row r="470">
      <c r="A470" s="119"/>
    </row>
    <row r="471">
      <c r="A471" s="119"/>
    </row>
    <row r="472">
      <c r="A472" s="119"/>
    </row>
    <row r="473">
      <c r="A473" s="119"/>
    </row>
    <row r="474">
      <c r="A474" s="119"/>
    </row>
    <row r="475">
      <c r="A475" s="119"/>
    </row>
    <row r="476">
      <c r="A476" s="119"/>
    </row>
    <row r="477">
      <c r="A477" s="119"/>
    </row>
    <row r="478">
      <c r="A478" s="119"/>
    </row>
    <row r="479">
      <c r="A479" s="119"/>
    </row>
    <row r="480">
      <c r="A480" s="119"/>
    </row>
    <row r="481">
      <c r="A481" s="119"/>
    </row>
    <row r="482">
      <c r="A482" s="119"/>
    </row>
    <row r="483">
      <c r="A483" s="119"/>
    </row>
    <row r="484">
      <c r="A484" s="119"/>
    </row>
    <row r="485">
      <c r="A485" s="119"/>
    </row>
    <row r="486">
      <c r="A486" s="119"/>
    </row>
    <row r="487">
      <c r="A487" s="119"/>
    </row>
    <row r="488">
      <c r="A488" s="119"/>
    </row>
    <row r="489">
      <c r="A489" s="119"/>
    </row>
    <row r="490">
      <c r="A490" s="119"/>
    </row>
    <row r="491">
      <c r="A491" s="119"/>
    </row>
    <row r="492">
      <c r="A492" s="119"/>
    </row>
    <row r="493">
      <c r="A493" s="119"/>
    </row>
    <row r="494">
      <c r="A494" s="119"/>
    </row>
    <row r="495">
      <c r="A495" s="119"/>
    </row>
    <row r="496">
      <c r="A496" s="119"/>
    </row>
    <row r="497">
      <c r="A497" s="119"/>
    </row>
    <row r="498">
      <c r="A498" s="119"/>
    </row>
    <row r="499">
      <c r="A499" s="119"/>
    </row>
    <row r="500">
      <c r="A500" s="119"/>
    </row>
    <row r="501">
      <c r="A501" s="119"/>
    </row>
    <row r="502">
      <c r="A502" s="119"/>
    </row>
    <row r="503">
      <c r="A503" s="119"/>
    </row>
    <row r="504">
      <c r="A504" s="119"/>
    </row>
    <row r="505">
      <c r="A505" s="119"/>
    </row>
    <row r="506">
      <c r="A506" s="119"/>
    </row>
    <row r="507">
      <c r="A507" s="119"/>
    </row>
    <row r="508">
      <c r="A508" s="119"/>
    </row>
    <row r="509">
      <c r="A509" s="119"/>
    </row>
    <row r="510">
      <c r="A510" s="119"/>
    </row>
    <row r="511">
      <c r="A511" s="119"/>
    </row>
    <row r="512">
      <c r="A512" s="119"/>
    </row>
    <row r="513">
      <c r="A513" s="119"/>
    </row>
    <row r="514">
      <c r="A514" s="119"/>
    </row>
    <row r="515">
      <c r="A515" s="119"/>
    </row>
    <row r="516">
      <c r="A516" s="119"/>
    </row>
    <row r="517">
      <c r="A517" s="119"/>
    </row>
    <row r="518">
      <c r="A518" s="119"/>
    </row>
    <row r="519">
      <c r="A519" s="119"/>
    </row>
    <row r="520">
      <c r="A520" s="119"/>
    </row>
    <row r="521">
      <c r="A521" s="119"/>
    </row>
    <row r="522">
      <c r="A522" s="119"/>
    </row>
    <row r="523">
      <c r="A523" s="119"/>
    </row>
    <row r="524">
      <c r="A524" s="119"/>
    </row>
    <row r="525">
      <c r="A525" s="119"/>
    </row>
    <row r="526">
      <c r="A526" s="119"/>
    </row>
    <row r="527">
      <c r="A527" s="119"/>
    </row>
    <row r="528">
      <c r="A528" s="119"/>
    </row>
    <row r="529">
      <c r="A529" s="119"/>
    </row>
    <row r="530">
      <c r="A530" s="119"/>
    </row>
    <row r="531">
      <c r="A531" s="119"/>
    </row>
    <row r="532">
      <c r="A532" s="119"/>
    </row>
    <row r="533">
      <c r="A533" s="119"/>
    </row>
    <row r="534">
      <c r="A534" s="119"/>
    </row>
    <row r="535">
      <c r="A535" s="119"/>
    </row>
    <row r="536">
      <c r="A536" s="119"/>
    </row>
    <row r="537">
      <c r="A537" s="119"/>
    </row>
    <row r="538">
      <c r="A538" s="119"/>
    </row>
    <row r="539">
      <c r="A539" s="119"/>
    </row>
    <row r="540">
      <c r="A540" s="119"/>
    </row>
    <row r="541">
      <c r="A541" s="119"/>
    </row>
    <row r="542">
      <c r="A542" s="119"/>
    </row>
    <row r="543">
      <c r="A543" s="119"/>
    </row>
    <row r="544">
      <c r="A544" s="119"/>
    </row>
    <row r="545">
      <c r="A545" s="119"/>
    </row>
    <row r="546">
      <c r="A546" s="119"/>
    </row>
    <row r="547">
      <c r="A547" s="119"/>
    </row>
    <row r="548">
      <c r="A548" s="119"/>
    </row>
    <row r="549">
      <c r="A549" s="119"/>
    </row>
    <row r="550">
      <c r="A550" s="119"/>
    </row>
    <row r="551">
      <c r="A551" s="119"/>
    </row>
    <row r="552">
      <c r="A552" s="119"/>
    </row>
    <row r="553">
      <c r="A553" s="119"/>
    </row>
    <row r="554">
      <c r="A554" s="119"/>
    </row>
    <row r="555">
      <c r="A555" s="119"/>
    </row>
    <row r="556">
      <c r="A556" s="119"/>
    </row>
    <row r="557">
      <c r="A557" s="119"/>
    </row>
    <row r="558">
      <c r="A558" s="119"/>
    </row>
    <row r="559">
      <c r="A559" s="119"/>
    </row>
    <row r="560">
      <c r="A560" s="119"/>
    </row>
    <row r="561">
      <c r="A561" s="119"/>
    </row>
    <row r="562">
      <c r="A562" s="119"/>
    </row>
    <row r="563">
      <c r="A563" s="119"/>
    </row>
    <row r="564">
      <c r="A564" s="119"/>
    </row>
    <row r="565">
      <c r="A565" s="119"/>
    </row>
    <row r="566">
      <c r="A566" s="119"/>
    </row>
    <row r="567">
      <c r="A567" s="119"/>
    </row>
    <row r="568">
      <c r="A568" s="119"/>
    </row>
    <row r="569">
      <c r="A569" s="119"/>
    </row>
    <row r="570">
      <c r="A570" s="119"/>
    </row>
    <row r="571">
      <c r="A571" s="119"/>
    </row>
    <row r="572">
      <c r="A572" s="119"/>
    </row>
    <row r="573">
      <c r="A573" s="119"/>
    </row>
    <row r="574">
      <c r="A574" s="119"/>
    </row>
    <row r="575">
      <c r="A575" s="119"/>
    </row>
    <row r="576">
      <c r="A576" s="119"/>
    </row>
    <row r="577">
      <c r="A577" s="119"/>
    </row>
    <row r="578">
      <c r="A578" s="119"/>
    </row>
    <row r="579">
      <c r="A579" s="119"/>
    </row>
    <row r="580">
      <c r="A580" s="119"/>
    </row>
    <row r="581">
      <c r="A581" s="119"/>
    </row>
    <row r="582">
      <c r="A582" s="119"/>
    </row>
    <row r="583">
      <c r="A583" s="119"/>
    </row>
    <row r="584">
      <c r="A584" s="119"/>
    </row>
    <row r="585">
      <c r="A585" s="119"/>
    </row>
    <row r="586">
      <c r="A586" s="119"/>
    </row>
    <row r="587">
      <c r="A587" s="119"/>
    </row>
    <row r="588">
      <c r="A588" s="119"/>
    </row>
    <row r="589">
      <c r="A589" s="119"/>
    </row>
    <row r="590">
      <c r="A590" s="119"/>
    </row>
    <row r="591">
      <c r="A591" s="119"/>
    </row>
    <row r="592">
      <c r="A592" s="119"/>
    </row>
    <row r="593">
      <c r="A593" s="119"/>
    </row>
    <row r="594">
      <c r="A594" s="119"/>
    </row>
    <row r="595">
      <c r="A595" s="119"/>
    </row>
    <row r="596">
      <c r="A596" s="119"/>
    </row>
    <row r="597">
      <c r="A597" s="119"/>
    </row>
    <row r="598">
      <c r="A598" s="119"/>
    </row>
    <row r="599">
      <c r="A599" s="119"/>
    </row>
    <row r="600">
      <c r="A600" s="119"/>
    </row>
    <row r="601">
      <c r="A601" s="119"/>
    </row>
    <row r="602">
      <c r="A602" s="119"/>
    </row>
    <row r="603">
      <c r="A603" s="119"/>
    </row>
    <row r="604">
      <c r="A604" s="119"/>
    </row>
    <row r="605">
      <c r="A605" s="119"/>
    </row>
    <row r="606">
      <c r="A606" s="119"/>
    </row>
    <row r="607">
      <c r="A607" s="119"/>
    </row>
    <row r="608">
      <c r="A608" s="119"/>
    </row>
    <row r="609">
      <c r="A609" s="119"/>
    </row>
    <row r="610">
      <c r="A610" s="119"/>
    </row>
    <row r="611">
      <c r="A611" s="119"/>
    </row>
    <row r="612">
      <c r="A612" s="119"/>
    </row>
    <row r="613">
      <c r="A613" s="119"/>
    </row>
    <row r="614">
      <c r="A614" s="119"/>
    </row>
    <row r="615">
      <c r="A615" s="119"/>
    </row>
    <row r="616">
      <c r="A616" s="119"/>
    </row>
    <row r="617">
      <c r="A617" s="119"/>
    </row>
    <row r="618">
      <c r="A618" s="119"/>
    </row>
    <row r="619">
      <c r="A619" s="119"/>
    </row>
    <row r="620">
      <c r="A620" s="119"/>
    </row>
    <row r="621">
      <c r="A621" s="119"/>
    </row>
    <row r="622">
      <c r="A622" s="119"/>
    </row>
    <row r="623">
      <c r="A623" s="119"/>
    </row>
    <row r="624">
      <c r="A624" s="119"/>
    </row>
    <row r="625">
      <c r="A625" s="119"/>
    </row>
    <row r="626">
      <c r="A626" s="119"/>
    </row>
    <row r="627">
      <c r="A627" s="119"/>
    </row>
    <row r="628">
      <c r="A628" s="119"/>
    </row>
    <row r="629">
      <c r="A629" s="119"/>
    </row>
    <row r="630">
      <c r="A630" s="119"/>
    </row>
    <row r="631">
      <c r="A631" s="119"/>
    </row>
    <row r="632">
      <c r="A632" s="119"/>
    </row>
    <row r="633">
      <c r="A633" s="119"/>
    </row>
    <row r="634">
      <c r="A634" s="119"/>
    </row>
    <row r="635">
      <c r="A635" s="119"/>
    </row>
    <row r="636">
      <c r="A636" s="119"/>
    </row>
    <row r="637">
      <c r="A637" s="119"/>
    </row>
    <row r="638">
      <c r="A638" s="119"/>
    </row>
    <row r="639">
      <c r="A639" s="119"/>
    </row>
    <row r="640">
      <c r="A640" s="119"/>
    </row>
    <row r="641">
      <c r="A641" s="119"/>
    </row>
    <row r="642">
      <c r="A642" s="119"/>
    </row>
    <row r="643">
      <c r="A643" s="119"/>
    </row>
    <row r="644">
      <c r="A644" s="119"/>
    </row>
    <row r="645">
      <c r="A645" s="119"/>
    </row>
    <row r="646">
      <c r="A646" s="119"/>
    </row>
    <row r="647">
      <c r="A647" s="119"/>
    </row>
    <row r="648">
      <c r="A648" s="119"/>
    </row>
    <row r="649">
      <c r="A649" s="119"/>
    </row>
    <row r="650">
      <c r="A650" s="119"/>
    </row>
    <row r="651">
      <c r="A651" s="119"/>
    </row>
    <row r="652">
      <c r="A652" s="119"/>
    </row>
    <row r="653">
      <c r="A653" s="119"/>
    </row>
    <row r="654">
      <c r="A654" s="119"/>
    </row>
    <row r="655">
      <c r="A655" s="119"/>
    </row>
    <row r="656">
      <c r="A656" s="119"/>
    </row>
    <row r="657">
      <c r="A657" s="119"/>
    </row>
    <row r="658">
      <c r="A658" s="119"/>
    </row>
    <row r="659">
      <c r="A659" s="119"/>
    </row>
    <row r="660">
      <c r="A660" s="119"/>
    </row>
    <row r="661">
      <c r="A661" s="119"/>
    </row>
    <row r="662">
      <c r="A662" s="119"/>
    </row>
    <row r="663">
      <c r="A663" s="119"/>
    </row>
    <row r="664">
      <c r="A664" s="119"/>
    </row>
    <row r="665">
      <c r="A665" s="119"/>
    </row>
    <row r="666">
      <c r="A666" s="119"/>
    </row>
    <row r="667">
      <c r="A667" s="119"/>
    </row>
    <row r="668">
      <c r="A668" s="119"/>
    </row>
    <row r="669">
      <c r="A669" s="119"/>
    </row>
    <row r="670">
      <c r="A670" s="119"/>
    </row>
    <row r="671">
      <c r="A671" s="119"/>
    </row>
    <row r="672">
      <c r="A672" s="119"/>
    </row>
    <row r="673">
      <c r="A673" s="119"/>
    </row>
    <row r="674">
      <c r="A674" s="119"/>
    </row>
    <row r="675">
      <c r="A675" s="119"/>
    </row>
    <row r="676">
      <c r="A676" s="119"/>
    </row>
    <row r="677">
      <c r="A677" s="119"/>
    </row>
    <row r="678">
      <c r="A678" s="119"/>
    </row>
    <row r="679">
      <c r="A679" s="119"/>
    </row>
    <row r="680">
      <c r="A680" s="119"/>
    </row>
    <row r="681">
      <c r="A681" s="119"/>
    </row>
    <row r="682">
      <c r="A682" s="119"/>
    </row>
    <row r="683">
      <c r="A683" s="119"/>
    </row>
    <row r="684">
      <c r="A684" s="119"/>
    </row>
    <row r="685">
      <c r="A685" s="119"/>
    </row>
    <row r="686">
      <c r="A686" s="119"/>
    </row>
    <row r="687">
      <c r="A687" s="119"/>
    </row>
    <row r="688">
      <c r="A688" s="119"/>
    </row>
    <row r="689">
      <c r="A689" s="119"/>
    </row>
    <row r="690">
      <c r="A690" s="119"/>
    </row>
    <row r="691">
      <c r="A691" s="119"/>
    </row>
    <row r="692">
      <c r="A692" s="119"/>
    </row>
    <row r="693">
      <c r="A693" s="119"/>
    </row>
    <row r="694">
      <c r="A694" s="119"/>
    </row>
    <row r="695">
      <c r="A695" s="119"/>
    </row>
    <row r="696">
      <c r="A696" s="119"/>
    </row>
    <row r="697">
      <c r="A697" s="119"/>
    </row>
    <row r="698">
      <c r="A698" s="119"/>
    </row>
    <row r="699">
      <c r="A699" s="119"/>
    </row>
    <row r="700">
      <c r="A700" s="119"/>
    </row>
    <row r="701">
      <c r="A701" s="119"/>
    </row>
    <row r="702">
      <c r="A702" s="119"/>
    </row>
    <row r="703">
      <c r="A703" s="119"/>
    </row>
    <row r="704">
      <c r="A704" s="119"/>
    </row>
    <row r="705">
      <c r="A705" s="119"/>
    </row>
    <row r="706">
      <c r="A706" s="119"/>
    </row>
    <row r="707">
      <c r="A707" s="119"/>
    </row>
    <row r="708">
      <c r="A708" s="119"/>
    </row>
    <row r="709">
      <c r="A709" s="119"/>
    </row>
    <row r="710">
      <c r="A710" s="119"/>
    </row>
    <row r="711">
      <c r="A711" s="119"/>
    </row>
    <row r="712">
      <c r="A712" s="119"/>
    </row>
    <row r="713">
      <c r="A713" s="119"/>
    </row>
    <row r="714">
      <c r="A714" s="119"/>
    </row>
    <row r="715">
      <c r="A715" s="119"/>
    </row>
    <row r="716">
      <c r="A716" s="119"/>
    </row>
    <row r="717">
      <c r="A717" s="119"/>
    </row>
    <row r="718">
      <c r="A718" s="119"/>
    </row>
    <row r="719">
      <c r="A719" s="119"/>
    </row>
    <row r="720">
      <c r="A720" s="119"/>
    </row>
    <row r="721">
      <c r="A721" s="119"/>
    </row>
    <row r="722">
      <c r="A722" s="119"/>
    </row>
    <row r="723">
      <c r="A723" s="119"/>
    </row>
    <row r="724">
      <c r="A724" s="119"/>
    </row>
    <row r="725">
      <c r="A725" s="119"/>
    </row>
    <row r="726">
      <c r="A726" s="119"/>
    </row>
    <row r="727">
      <c r="A727" s="119"/>
    </row>
    <row r="728">
      <c r="A728" s="119"/>
    </row>
    <row r="729">
      <c r="A729" s="119"/>
    </row>
    <row r="730">
      <c r="A730" s="119"/>
    </row>
    <row r="731">
      <c r="A731" s="119"/>
    </row>
    <row r="732">
      <c r="A732" s="119"/>
    </row>
    <row r="733">
      <c r="A733" s="119"/>
    </row>
    <row r="734">
      <c r="A734" s="119"/>
    </row>
    <row r="735">
      <c r="A735" s="119"/>
    </row>
    <row r="736">
      <c r="A736" s="119"/>
    </row>
    <row r="737">
      <c r="A737" s="119"/>
    </row>
    <row r="738">
      <c r="A738" s="119"/>
    </row>
    <row r="739">
      <c r="A739" s="119"/>
    </row>
    <row r="740">
      <c r="A740" s="119"/>
    </row>
    <row r="741">
      <c r="A741" s="119"/>
    </row>
    <row r="742">
      <c r="A742" s="119"/>
    </row>
    <row r="743">
      <c r="A743" s="119"/>
    </row>
    <row r="744">
      <c r="A744" s="119"/>
    </row>
    <row r="745">
      <c r="A745" s="119"/>
    </row>
    <row r="746">
      <c r="A746" s="119"/>
    </row>
    <row r="747">
      <c r="A747" s="119"/>
    </row>
    <row r="748">
      <c r="A748" s="119"/>
    </row>
    <row r="749">
      <c r="A749" s="119"/>
    </row>
    <row r="750">
      <c r="A750" s="119"/>
    </row>
    <row r="751">
      <c r="A751" s="119"/>
    </row>
    <row r="752">
      <c r="A752" s="119"/>
    </row>
    <row r="753">
      <c r="A753" s="119"/>
    </row>
    <row r="754">
      <c r="A754" s="119"/>
    </row>
    <row r="755">
      <c r="A755" s="119"/>
    </row>
    <row r="756">
      <c r="A756" s="119"/>
    </row>
    <row r="757">
      <c r="A757" s="119"/>
    </row>
    <row r="758">
      <c r="A758" s="119"/>
    </row>
    <row r="759">
      <c r="A759" s="119"/>
    </row>
    <row r="760">
      <c r="A760" s="119"/>
    </row>
    <row r="761">
      <c r="A761" s="119"/>
    </row>
    <row r="762">
      <c r="A762" s="119"/>
    </row>
    <row r="763">
      <c r="A763" s="119"/>
    </row>
    <row r="764">
      <c r="A764" s="119"/>
    </row>
    <row r="765">
      <c r="A765" s="119"/>
    </row>
    <row r="766">
      <c r="A766" s="119"/>
    </row>
    <row r="767">
      <c r="A767" s="119"/>
    </row>
    <row r="768">
      <c r="A768" s="119"/>
    </row>
    <row r="769">
      <c r="A769" s="119"/>
    </row>
    <row r="770">
      <c r="A770" s="119"/>
    </row>
    <row r="771">
      <c r="A771" s="119"/>
    </row>
    <row r="772">
      <c r="A772" s="119"/>
    </row>
    <row r="773">
      <c r="A773" s="119"/>
    </row>
    <row r="774">
      <c r="A774" s="119"/>
    </row>
    <row r="775">
      <c r="A775" s="119"/>
    </row>
    <row r="776">
      <c r="A776" s="119"/>
    </row>
    <row r="777">
      <c r="A777" s="119"/>
    </row>
    <row r="778">
      <c r="A778" s="119"/>
    </row>
    <row r="779">
      <c r="A779" s="119"/>
    </row>
    <row r="780">
      <c r="A780" s="119"/>
    </row>
    <row r="781">
      <c r="A781" s="119"/>
    </row>
    <row r="782">
      <c r="A782" s="119"/>
    </row>
    <row r="783">
      <c r="A783" s="119"/>
    </row>
    <row r="784">
      <c r="A784" s="119"/>
    </row>
    <row r="785">
      <c r="A785" s="119"/>
    </row>
    <row r="786">
      <c r="A786" s="119"/>
    </row>
    <row r="787">
      <c r="A787" s="119"/>
    </row>
    <row r="788">
      <c r="A788" s="119"/>
    </row>
    <row r="789">
      <c r="A789" s="119"/>
    </row>
    <row r="790">
      <c r="A790" s="119"/>
    </row>
    <row r="791">
      <c r="A791" s="119"/>
    </row>
    <row r="792">
      <c r="A792" s="119"/>
    </row>
    <row r="793">
      <c r="A793" s="119"/>
    </row>
    <row r="794">
      <c r="A794" s="119"/>
    </row>
    <row r="795">
      <c r="A795" s="119"/>
    </row>
    <row r="796">
      <c r="A796" s="119"/>
    </row>
    <row r="797">
      <c r="A797" s="119"/>
    </row>
    <row r="798">
      <c r="A798" s="119"/>
    </row>
    <row r="799">
      <c r="A799" s="119"/>
    </row>
    <row r="800">
      <c r="A800" s="119"/>
    </row>
    <row r="801">
      <c r="A801" s="119"/>
    </row>
    <row r="802">
      <c r="A802" s="119"/>
    </row>
    <row r="803">
      <c r="A803" s="119"/>
    </row>
    <row r="804">
      <c r="A804" s="119"/>
    </row>
    <row r="805">
      <c r="A805" s="119"/>
    </row>
    <row r="806">
      <c r="A806" s="119"/>
    </row>
    <row r="807">
      <c r="A807" s="119"/>
    </row>
    <row r="808">
      <c r="A808" s="119"/>
    </row>
    <row r="809">
      <c r="A809" s="119"/>
    </row>
    <row r="810">
      <c r="A810" s="119"/>
    </row>
    <row r="811">
      <c r="A811" s="119"/>
    </row>
    <row r="812">
      <c r="A812" s="119"/>
    </row>
    <row r="813">
      <c r="A813" s="119"/>
    </row>
    <row r="814">
      <c r="A814" s="119"/>
    </row>
    <row r="815">
      <c r="A815" s="119"/>
    </row>
    <row r="816">
      <c r="A816" s="119"/>
    </row>
    <row r="817">
      <c r="A817" s="119"/>
    </row>
    <row r="818">
      <c r="A818" s="119"/>
    </row>
    <row r="819">
      <c r="A819" s="119"/>
    </row>
    <row r="820">
      <c r="A820" s="119"/>
    </row>
    <row r="821">
      <c r="A821" s="119"/>
    </row>
    <row r="822">
      <c r="A822" s="119"/>
    </row>
    <row r="823">
      <c r="A823" s="119"/>
    </row>
    <row r="824">
      <c r="A824" s="119"/>
    </row>
    <row r="825">
      <c r="A825" s="119"/>
    </row>
    <row r="826">
      <c r="A826" s="119"/>
    </row>
    <row r="827">
      <c r="A827" s="119"/>
    </row>
    <row r="828">
      <c r="A828" s="119"/>
    </row>
    <row r="829">
      <c r="A829" s="119"/>
    </row>
    <row r="830">
      <c r="A830" s="119"/>
    </row>
    <row r="831">
      <c r="A831" s="119"/>
    </row>
    <row r="832">
      <c r="A832" s="119"/>
    </row>
    <row r="833">
      <c r="A833" s="119"/>
    </row>
    <row r="834">
      <c r="A834" s="119"/>
    </row>
    <row r="835">
      <c r="A835" s="119"/>
    </row>
    <row r="836">
      <c r="A836" s="119"/>
    </row>
    <row r="837">
      <c r="A837" s="119"/>
    </row>
    <row r="838">
      <c r="A838" s="119"/>
    </row>
    <row r="839">
      <c r="A839" s="119"/>
    </row>
    <row r="840">
      <c r="A840" s="119"/>
    </row>
    <row r="841">
      <c r="A841" s="119"/>
    </row>
    <row r="842">
      <c r="A842" s="119"/>
    </row>
    <row r="843">
      <c r="A843" s="119"/>
    </row>
    <row r="844">
      <c r="A844" s="119"/>
    </row>
    <row r="845">
      <c r="A845" s="119"/>
    </row>
    <row r="846">
      <c r="A846" s="119"/>
    </row>
    <row r="847">
      <c r="A847" s="119"/>
    </row>
    <row r="848">
      <c r="A848" s="119"/>
    </row>
    <row r="849">
      <c r="A849" s="119"/>
    </row>
    <row r="850">
      <c r="A850" s="119"/>
    </row>
    <row r="851">
      <c r="A851" s="119"/>
    </row>
    <row r="852">
      <c r="A852" s="119"/>
    </row>
    <row r="853">
      <c r="A853" s="119"/>
    </row>
    <row r="854">
      <c r="A854" s="119"/>
    </row>
    <row r="855">
      <c r="A855" s="119"/>
    </row>
    <row r="856">
      <c r="A856" s="119"/>
    </row>
    <row r="857">
      <c r="A857" s="119"/>
    </row>
    <row r="858">
      <c r="A858" s="119"/>
    </row>
    <row r="859">
      <c r="A859" s="119"/>
    </row>
    <row r="860">
      <c r="A860" s="119"/>
    </row>
    <row r="861">
      <c r="A861" s="119"/>
    </row>
    <row r="862">
      <c r="A862" s="119"/>
    </row>
    <row r="863">
      <c r="A863" s="119"/>
    </row>
    <row r="864">
      <c r="A864" s="119"/>
    </row>
    <row r="865">
      <c r="A865" s="119"/>
    </row>
    <row r="866">
      <c r="A866" s="119"/>
    </row>
    <row r="867">
      <c r="A867" s="119"/>
    </row>
    <row r="868">
      <c r="A868" s="119"/>
    </row>
    <row r="869">
      <c r="A869" s="119"/>
    </row>
    <row r="870">
      <c r="A870" s="119"/>
    </row>
    <row r="871">
      <c r="A871" s="119"/>
    </row>
    <row r="872">
      <c r="A872" s="119"/>
    </row>
    <row r="873">
      <c r="A873" s="119"/>
    </row>
    <row r="874">
      <c r="A874" s="119"/>
    </row>
    <row r="875">
      <c r="A875" s="119"/>
    </row>
    <row r="876">
      <c r="A876" s="119"/>
    </row>
    <row r="877">
      <c r="A877" s="119"/>
    </row>
    <row r="878">
      <c r="A878" s="119"/>
    </row>
    <row r="879">
      <c r="A879" s="119"/>
    </row>
    <row r="880">
      <c r="A880" s="119"/>
    </row>
    <row r="881">
      <c r="A881" s="119"/>
    </row>
    <row r="882">
      <c r="A882" s="119"/>
    </row>
    <row r="883">
      <c r="A883" s="119"/>
    </row>
    <row r="884">
      <c r="A884" s="119"/>
    </row>
    <row r="885">
      <c r="A885" s="119"/>
    </row>
    <row r="886">
      <c r="A886" s="119"/>
    </row>
    <row r="887">
      <c r="A887" s="119"/>
    </row>
    <row r="888">
      <c r="A888" s="119"/>
    </row>
    <row r="889">
      <c r="A889" s="119"/>
    </row>
    <row r="890">
      <c r="A890" s="119"/>
    </row>
    <row r="891">
      <c r="A891" s="119"/>
    </row>
    <row r="892">
      <c r="A892" s="119"/>
    </row>
    <row r="893">
      <c r="A893" s="119"/>
    </row>
    <row r="894">
      <c r="A894" s="119"/>
    </row>
    <row r="895">
      <c r="A895" s="119"/>
    </row>
    <row r="896">
      <c r="A896" s="119"/>
    </row>
    <row r="897">
      <c r="A897" s="119"/>
    </row>
    <row r="898">
      <c r="A898" s="119"/>
    </row>
    <row r="899">
      <c r="A899" s="119"/>
    </row>
    <row r="900">
      <c r="A900" s="119"/>
    </row>
    <row r="901">
      <c r="A901" s="119"/>
    </row>
    <row r="902">
      <c r="A902" s="119"/>
    </row>
    <row r="903">
      <c r="A903" s="119"/>
    </row>
    <row r="904">
      <c r="A904" s="119"/>
    </row>
    <row r="905">
      <c r="A905" s="119"/>
    </row>
    <row r="906">
      <c r="A906" s="119"/>
    </row>
    <row r="907">
      <c r="A907" s="119"/>
    </row>
    <row r="908">
      <c r="A908" s="119"/>
    </row>
    <row r="909">
      <c r="A909" s="119"/>
    </row>
    <row r="910">
      <c r="A910" s="119"/>
    </row>
    <row r="911">
      <c r="A911" s="119"/>
    </row>
    <row r="912">
      <c r="A912" s="119"/>
    </row>
    <row r="913">
      <c r="A913" s="119"/>
    </row>
    <row r="914">
      <c r="A914" s="119"/>
    </row>
    <row r="915">
      <c r="A915" s="119"/>
    </row>
    <row r="916">
      <c r="A916" s="119"/>
    </row>
    <row r="917">
      <c r="A917" s="119"/>
    </row>
    <row r="918">
      <c r="A918" s="119"/>
    </row>
    <row r="919">
      <c r="A919" s="119"/>
    </row>
    <row r="920">
      <c r="A920" s="119"/>
    </row>
    <row r="921">
      <c r="A921" s="119"/>
    </row>
    <row r="922">
      <c r="A922" s="119"/>
    </row>
    <row r="923">
      <c r="A923" s="119"/>
    </row>
    <row r="924">
      <c r="A924" s="119"/>
    </row>
    <row r="925">
      <c r="A925" s="119"/>
    </row>
    <row r="926">
      <c r="A926" s="119"/>
    </row>
    <row r="927">
      <c r="A927" s="119"/>
    </row>
    <row r="928">
      <c r="A928" s="119"/>
    </row>
    <row r="929">
      <c r="A929" s="119"/>
    </row>
    <row r="930">
      <c r="A930" s="119"/>
    </row>
    <row r="931">
      <c r="A931" s="119"/>
    </row>
    <row r="932">
      <c r="A932" s="119"/>
    </row>
    <row r="933">
      <c r="A933" s="119"/>
    </row>
    <row r="934">
      <c r="A934" s="119"/>
    </row>
    <row r="935">
      <c r="A935" s="119"/>
    </row>
    <row r="936">
      <c r="A936" s="119"/>
    </row>
    <row r="937">
      <c r="A937" s="119"/>
    </row>
    <row r="938">
      <c r="A938" s="119"/>
    </row>
    <row r="939">
      <c r="A939" s="119"/>
    </row>
    <row r="940">
      <c r="A940" s="119"/>
    </row>
    <row r="941">
      <c r="A941" s="119"/>
    </row>
    <row r="942">
      <c r="A942" s="119"/>
    </row>
    <row r="943">
      <c r="A943" s="119"/>
    </row>
    <row r="944">
      <c r="A944" s="119"/>
    </row>
    <row r="945">
      <c r="A945" s="119"/>
    </row>
    <row r="946">
      <c r="A946" s="119"/>
    </row>
    <row r="947">
      <c r="A947" s="119"/>
    </row>
    <row r="948">
      <c r="A948" s="119"/>
    </row>
    <row r="949">
      <c r="A949" s="119"/>
    </row>
    <row r="950">
      <c r="A950" s="119"/>
    </row>
    <row r="951">
      <c r="A951" s="119"/>
    </row>
    <row r="952">
      <c r="A952" s="119"/>
    </row>
    <row r="953">
      <c r="A953" s="119"/>
    </row>
    <row r="954">
      <c r="A954" s="119"/>
    </row>
    <row r="955">
      <c r="A955" s="119"/>
    </row>
    <row r="956">
      <c r="A956" s="119"/>
    </row>
    <row r="957">
      <c r="A957" s="119"/>
    </row>
    <row r="958">
      <c r="A958" s="119"/>
    </row>
    <row r="959">
      <c r="A959" s="119"/>
    </row>
    <row r="960">
      <c r="A960" s="119"/>
    </row>
    <row r="961">
      <c r="A961" s="119"/>
    </row>
    <row r="962">
      <c r="A962" s="119"/>
    </row>
    <row r="963">
      <c r="A963" s="119"/>
    </row>
    <row r="964">
      <c r="A964" s="119"/>
    </row>
    <row r="965">
      <c r="A965" s="119"/>
    </row>
    <row r="966">
      <c r="A966" s="119"/>
    </row>
    <row r="967">
      <c r="A967" s="119"/>
    </row>
    <row r="968">
      <c r="A968" s="119"/>
    </row>
    <row r="969">
      <c r="A969" s="119"/>
    </row>
    <row r="970">
      <c r="A970" s="119"/>
    </row>
    <row r="971">
      <c r="A971" s="119"/>
    </row>
    <row r="972">
      <c r="A972" s="119"/>
    </row>
    <row r="973">
      <c r="A973" s="119"/>
    </row>
    <row r="974">
      <c r="A974" s="119"/>
    </row>
    <row r="975">
      <c r="A975" s="119"/>
    </row>
    <row r="976">
      <c r="A976" s="119"/>
    </row>
    <row r="977">
      <c r="A977" s="119"/>
    </row>
    <row r="978">
      <c r="A978" s="119"/>
    </row>
    <row r="979">
      <c r="A979" s="119"/>
    </row>
    <row r="980">
      <c r="A980" s="119"/>
    </row>
    <row r="981">
      <c r="A981" s="119"/>
    </row>
    <row r="982">
      <c r="A982" s="119"/>
    </row>
    <row r="983">
      <c r="A983" s="119"/>
    </row>
    <row r="984">
      <c r="A984" s="119"/>
    </row>
    <row r="985">
      <c r="A985" s="119"/>
    </row>
    <row r="986">
      <c r="A986" s="119"/>
    </row>
    <row r="987">
      <c r="A987" s="119"/>
    </row>
    <row r="988">
      <c r="A988" s="119"/>
    </row>
    <row r="989">
      <c r="A989" s="119"/>
    </row>
    <row r="990">
      <c r="A990" s="119"/>
    </row>
    <row r="991">
      <c r="A991" s="119"/>
    </row>
    <row r="992">
      <c r="A992" s="119"/>
    </row>
    <row r="993">
      <c r="A993" s="119"/>
    </row>
    <row r="994">
      <c r="A994" s="119"/>
    </row>
    <row r="995">
      <c r="A995" s="119"/>
    </row>
    <row r="996">
      <c r="A996" s="119"/>
    </row>
    <row r="997">
      <c r="A997" s="119"/>
    </row>
    <row r="998">
      <c r="A998" s="119"/>
    </row>
    <row r="999">
      <c r="A999" s="119"/>
    </row>
    <row r="1000">
      <c r="A1000" s="1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283</v>
      </c>
      <c r="B1" s="98" t="s">
        <v>284</v>
      </c>
    </row>
    <row r="2">
      <c r="A2" s="97" t="s">
        <v>285</v>
      </c>
      <c r="B2" s="98" t="s">
        <v>286</v>
      </c>
      <c r="C2" s="98" t="s">
        <v>287</v>
      </c>
      <c r="D2" s="98" t="s">
        <v>288</v>
      </c>
    </row>
    <row r="3">
      <c r="A3" s="97" t="s">
        <v>289</v>
      </c>
      <c r="B3" s="98" t="s">
        <v>290</v>
      </c>
      <c r="C3" s="98" t="s">
        <v>291</v>
      </c>
    </row>
    <row r="4">
      <c r="A4" s="97" t="s">
        <v>138</v>
      </c>
      <c r="B4" s="98" t="s">
        <v>292</v>
      </c>
      <c r="C4" s="98" t="s">
        <v>293</v>
      </c>
    </row>
    <row r="5">
      <c r="A5" s="97" t="s">
        <v>248</v>
      </c>
      <c r="B5" s="98" t="s">
        <v>293</v>
      </c>
    </row>
    <row r="6">
      <c r="A6" s="97" t="s">
        <v>294</v>
      </c>
      <c r="B6" s="98" t="s">
        <v>292</v>
      </c>
    </row>
    <row r="7">
      <c r="A7" s="97" t="s">
        <v>295</v>
      </c>
      <c r="B7" s="98" t="s">
        <v>296</v>
      </c>
    </row>
    <row r="8">
      <c r="A8" s="97" t="s">
        <v>297</v>
      </c>
      <c r="B8" s="98" t="s">
        <v>298</v>
      </c>
    </row>
    <row r="9">
      <c r="A9" s="97" t="s">
        <v>299</v>
      </c>
      <c r="B9" s="98" t="s">
        <v>300</v>
      </c>
      <c r="C9" s="98" t="s">
        <v>301</v>
      </c>
    </row>
    <row r="10">
      <c r="A10" s="97" t="s">
        <v>302</v>
      </c>
      <c r="B10" s="98" t="s">
        <v>303</v>
      </c>
      <c r="C10" s="98" t="s">
        <v>304</v>
      </c>
      <c r="D10" s="98" t="s">
        <v>301</v>
      </c>
    </row>
    <row r="11">
      <c r="A11" s="97" t="s">
        <v>305</v>
      </c>
      <c r="B11" s="98" t="s">
        <v>306</v>
      </c>
      <c r="C11" s="98" t="s">
        <v>301</v>
      </c>
    </row>
    <row r="12">
      <c r="A12" s="97" t="s">
        <v>307</v>
      </c>
      <c r="B12" s="98" t="s">
        <v>308</v>
      </c>
      <c r="C12" s="98" t="s">
        <v>301</v>
      </c>
    </row>
    <row r="13">
      <c r="A13" s="97" t="s">
        <v>309</v>
      </c>
      <c r="B13" s="98" t="s">
        <v>310</v>
      </c>
      <c r="C13" s="98" t="s">
        <v>301</v>
      </c>
    </row>
    <row r="14">
      <c r="A14" s="97" t="s">
        <v>311</v>
      </c>
      <c r="B14" s="98" t="s">
        <v>312</v>
      </c>
    </row>
    <row r="15">
      <c r="A15" s="97" t="s">
        <v>313</v>
      </c>
      <c r="B15" s="98" t="s">
        <v>314</v>
      </c>
    </row>
    <row r="16">
      <c r="A16" s="97" t="s">
        <v>315</v>
      </c>
      <c r="B16" s="98" t="s">
        <v>316</v>
      </c>
      <c r="C16" s="98" t="s">
        <v>317</v>
      </c>
    </row>
    <row r="17">
      <c r="A17" s="97" t="s">
        <v>318</v>
      </c>
      <c r="B17" s="98" t="s">
        <v>319</v>
      </c>
    </row>
    <row r="18">
      <c r="A18" s="97" t="s">
        <v>320</v>
      </c>
      <c r="B18" s="98" t="s">
        <v>321</v>
      </c>
    </row>
    <row r="19">
      <c r="A19" s="97" t="s">
        <v>322</v>
      </c>
      <c r="B19" s="98" t="s">
        <v>323</v>
      </c>
      <c r="C19" s="98" t="s">
        <v>324</v>
      </c>
    </row>
    <row r="20">
      <c r="A20" s="97" t="s">
        <v>325</v>
      </c>
      <c r="B20" s="98" t="s">
        <v>326</v>
      </c>
    </row>
    <row r="21">
      <c r="A21" s="97" t="s">
        <v>327</v>
      </c>
    </row>
    <row r="22">
      <c r="A22" s="97" t="s">
        <v>328</v>
      </c>
    </row>
    <row r="23">
      <c r="A23" s="97" t="s">
        <v>329</v>
      </c>
    </row>
    <row r="24">
      <c r="A24" s="97" t="s">
        <v>330</v>
      </c>
    </row>
    <row r="25">
      <c r="A25" s="97" t="s">
        <v>331</v>
      </c>
    </row>
    <row r="26">
      <c r="A26" s="97" t="s">
        <v>332</v>
      </c>
    </row>
    <row r="27">
      <c r="A27" s="97" t="s">
        <v>333</v>
      </c>
    </row>
    <row r="28">
      <c r="A28" s="97" t="s">
        <v>339</v>
      </c>
    </row>
    <row r="29">
      <c r="A29" s="97" t="s">
        <v>335</v>
      </c>
      <c r="B29" s="98" t="s">
        <v>340</v>
      </c>
      <c r="C29" s="98" t="s">
        <v>341</v>
      </c>
      <c r="D29" s="98" t="s">
        <v>342</v>
      </c>
    </row>
    <row r="30">
      <c r="A30" s="97" t="s">
        <v>343</v>
      </c>
      <c r="B30" s="98" t="s">
        <v>344</v>
      </c>
      <c r="C30" s="98" t="s">
        <v>345</v>
      </c>
    </row>
    <row r="31">
      <c r="A31" s="97" t="s">
        <v>336</v>
      </c>
    </row>
    <row r="32">
      <c r="A32" s="97" t="s">
        <v>337</v>
      </c>
    </row>
    <row r="33">
      <c r="A33" s="97" t="s">
        <v>105</v>
      </c>
    </row>
    <row r="34">
      <c r="A34" s="97" t="s">
        <v>338</v>
      </c>
    </row>
    <row r="35">
      <c r="A35" s="97" t="s">
        <v>160</v>
      </c>
    </row>
    <row r="36">
      <c r="A36" s="97" t="s">
        <v>159</v>
      </c>
    </row>
    <row r="37">
      <c r="A37" s="97" t="s">
        <v>346</v>
      </c>
      <c r="B37" s="98" t="s">
        <v>347</v>
      </c>
    </row>
  </sheetData>
  <drawing r:id="rId1"/>
</worksheet>
</file>