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use-Test" sheetId="1" r:id="rId4"/>
    <sheet state="visible" name="Cause-Result" sheetId="2" r:id="rId5"/>
    <sheet state="visible" name="Draft 3" sheetId="3" r:id="rId6"/>
    <sheet state="visible" name="Draft 1" sheetId="4" r:id="rId7"/>
    <sheet state="visible" name="Draft 2" sheetId="5" r:id="rId8"/>
    <sheet state="visible" name="Test Results" sheetId="6" r:id="rId9"/>
    <sheet state="visible" name="Test Results (Txt)" sheetId="7" r:id="rId10"/>
    <sheet state="visible" name="Index" sheetId="8" r:id="rId11"/>
  </sheets>
  <definedNames/>
  <calcPr/>
</workbook>
</file>

<file path=xl/sharedStrings.xml><?xml version="1.0" encoding="utf-8"?>
<sst xmlns="http://schemas.openxmlformats.org/spreadsheetml/2006/main" count="1713" uniqueCount="498">
  <si>
    <t>#</t>
  </si>
  <si>
    <t>CODE</t>
  </si>
  <si>
    <t>CAUSE</t>
  </si>
  <si>
    <t>TEST CODES</t>
  </si>
  <si>
    <t>AER</t>
  </si>
  <si>
    <t>Aeration - High</t>
  </si>
  <si>
    <t>BDP</t>
  </si>
  <si>
    <t>BOD (particulate) - High</t>
  </si>
  <si>
    <t>CLH</t>
  </si>
  <si>
    <t>Chlorination - High</t>
  </si>
  <si>
    <t>DOH</t>
  </si>
  <si>
    <t>Dissolved Oxygen - High</t>
  </si>
  <si>
    <t>DOL</t>
  </si>
  <si>
    <t>Dissolved Oxygen - Low</t>
  </si>
  <si>
    <t>DNT</t>
  </si>
  <si>
    <t>Denitrification</t>
  </si>
  <si>
    <t>FME</t>
  </si>
  <si>
    <t>F/M Ratio - Very High</t>
  </si>
  <si>
    <t>FMH</t>
  </si>
  <si>
    <t>F/M Ratio - High</t>
  </si>
  <si>
    <t>FML</t>
  </si>
  <si>
    <t>F/M Ratio - Low</t>
  </si>
  <si>
    <t>FMX</t>
  </si>
  <si>
    <t xml:space="preserve">F/M Ratio - Very Low </t>
  </si>
  <si>
    <t>FOG</t>
  </si>
  <si>
    <t>Fats, Oils or Grease (FOGs) - High</t>
  </si>
  <si>
    <t>FOM</t>
  </si>
  <si>
    <t>Foam trapping</t>
  </si>
  <si>
    <t>LHH</t>
  </si>
  <si>
    <t>Loading (Hydraulic) - High</t>
  </si>
  <si>
    <t>LHL</t>
  </si>
  <si>
    <t>Loading (Hydraulic) - Low</t>
  </si>
  <si>
    <t>LOH</t>
  </si>
  <si>
    <t>Loading (Organic) - High</t>
  </si>
  <si>
    <t>LOL</t>
  </si>
  <si>
    <t>Loading (Organic) - Low</t>
  </si>
  <si>
    <t>NDI</t>
  </si>
  <si>
    <t>Nutrient Deficiency - Iron</t>
  </si>
  <si>
    <t>NDN</t>
  </si>
  <si>
    <t>Nutrient Deficiency - Nitrogen</t>
  </si>
  <si>
    <t>NDP</t>
  </si>
  <si>
    <t>Nutrient Deficiency - Phosphorus</t>
  </si>
  <si>
    <t>OAH</t>
  </si>
  <si>
    <t>Organic acids - High</t>
  </si>
  <si>
    <t>OMA</t>
  </si>
  <si>
    <t>O&amp;M - Aeration Basin</t>
  </si>
  <si>
    <t>OMC</t>
  </si>
  <si>
    <t>O&amp;M - Secondary Clarifier</t>
  </si>
  <si>
    <t>OMD</t>
  </si>
  <si>
    <t>O&amp;M - Anaerobic Digester</t>
  </si>
  <si>
    <t>OMG</t>
  </si>
  <si>
    <t>O&amp;M - General</t>
  </si>
  <si>
    <t>OMP</t>
  </si>
  <si>
    <t>O&amp;M - Pre-Treatment</t>
  </si>
  <si>
    <t>OMS</t>
  </si>
  <si>
    <t>O&amp;M - Sludge Dewatering</t>
  </si>
  <si>
    <t>PHH</t>
  </si>
  <si>
    <t>pH - High</t>
  </si>
  <si>
    <t>PHL</t>
  </si>
  <si>
    <t>pH - Low</t>
  </si>
  <si>
    <t>RSL</t>
  </si>
  <si>
    <t>Return Sludge - Low</t>
  </si>
  <si>
    <t>RSH</t>
  </si>
  <si>
    <t>Return Sludge - High</t>
  </si>
  <si>
    <t>SAE</t>
  </si>
  <si>
    <t>Sludge Age - Very High</t>
  </si>
  <si>
    <t>SAH</t>
  </si>
  <si>
    <t>Sludge Age - High</t>
  </si>
  <si>
    <t>SAL</t>
  </si>
  <si>
    <t>Sludge Age - Low</t>
  </si>
  <si>
    <t>SAX</t>
  </si>
  <si>
    <t>Sludge Age - Very Low</t>
  </si>
  <si>
    <t>SHT</t>
  </si>
  <si>
    <t>Short-Circuiting - Clarifier</t>
  </si>
  <si>
    <t>SRF</t>
  </si>
  <si>
    <t>Surface Seeding</t>
  </si>
  <si>
    <t>SPS</t>
  </si>
  <si>
    <t>Septicity</t>
  </si>
  <si>
    <t>STA</t>
  </si>
  <si>
    <t>Startup condition at Plant</t>
  </si>
  <si>
    <t>TPH</t>
  </si>
  <si>
    <t>Temperature - High</t>
  </si>
  <si>
    <t>TPL</t>
  </si>
  <si>
    <t>Temperature - Low</t>
  </si>
  <si>
    <t>TXC</t>
  </si>
  <si>
    <t>Toxicity</t>
  </si>
  <si>
    <t>RESULT CODES</t>
  </si>
  <si>
    <t>RESULT CODE</t>
  </si>
  <si>
    <t>Very High DO</t>
  </si>
  <si>
    <t>ORPab 8</t>
  </si>
  <si>
    <t>High DO</t>
  </si>
  <si>
    <t>ORPab 7</t>
  </si>
  <si>
    <t>Mic Floc 3</t>
  </si>
  <si>
    <t>Mic Fil 8</t>
  </si>
  <si>
    <t>Settleometer 3</t>
  </si>
  <si>
    <t>SOUR ratio 1-2</t>
  </si>
  <si>
    <t>Low SOUR fed</t>
  </si>
  <si>
    <t>Low SOUR unfed</t>
  </si>
  <si>
    <t>SOUR ratio &lt; 1</t>
  </si>
  <si>
    <t>Very Low SOUR fed</t>
  </si>
  <si>
    <t>Very Low SOUR unfed</t>
  </si>
  <si>
    <t>Mic Life 7</t>
  </si>
  <si>
    <t>Mic Life 6</t>
  </si>
  <si>
    <t>Mic Life 5</t>
  </si>
  <si>
    <t>Very High SOUR fed</t>
  </si>
  <si>
    <t>Very High SOUR unfed</t>
  </si>
  <si>
    <t>High SOUR fed</t>
  </si>
  <si>
    <t>High SOUR unfed</t>
  </si>
  <si>
    <t>Very Low DO</t>
  </si>
  <si>
    <t>ORPab 1</t>
  </si>
  <si>
    <t>ORPab 2</t>
  </si>
  <si>
    <t>ORPab 3</t>
  </si>
  <si>
    <t>ORPab 4</t>
  </si>
  <si>
    <t>Mic Fil 1</t>
  </si>
  <si>
    <t>ORPab 5</t>
  </si>
  <si>
    <t>Mic Floc 2</t>
  </si>
  <si>
    <t>Settleometer 6</t>
  </si>
  <si>
    <t>ORPsc 4</t>
  </si>
  <si>
    <t>ORPsc 5</t>
  </si>
  <si>
    <t>N out 1</t>
  </si>
  <si>
    <t>Very High dSVI</t>
  </si>
  <si>
    <t>Very High SVI</t>
  </si>
  <si>
    <t>High dSVI</t>
  </si>
  <si>
    <t>High SVI</t>
  </si>
  <si>
    <t>High pHsc</t>
  </si>
  <si>
    <t>Very High FM</t>
  </si>
  <si>
    <t>Very High OLR</t>
  </si>
  <si>
    <t>Very Low SRTc</t>
  </si>
  <si>
    <t>Very Low SRTn</t>
  </si>
  <si>
    <t>SOUR ratio &gt; 5</t>
  </si>
  <si>
    <t>Mic S/Z 2</t>
  </si>
  <si>
    <t>Settleometer 4</t>
  </si>
  <si>
    <t>Mic Life 2</t>
  </si>
  <si>
    <t>High FM</t>
  </si>
  <si>
    <t>High OLR</t>
  </si>
  <si>
    <t>Low SRTc</t>
  </si>
  <si>
    <t>Low SRTn</t>
  </si>
  <si>
    <t>Low FM</t>
  </si>
  <si>
    <t>Low OLR</t>
  </si>
  <si>
    <t>High SRTc</t>
  </si>
  <si>
    <t>High SRTn</t>
  </si>
  <si>
    <t>Mic Fil 2</t>
  </si>
  <si>
    <t>Mic Life 3</t>
  </si>
  <si>
    <t>Settleometer 5</t>
  </si>
  <si>
    <t>Very Low FM</t>
  </si>
  <si>
    <t>Very Low OLR</t>
  </si>
  <si>
    <t>Very High SRTc</t>
  </si>
  <si>
    <t>Very High SRTn</t>
  </si>
  <si>
    <t>Settleometer 2</t>
  </si>
  <si>
    <t>Mic Life 4</t>
  </si>
  <si>
    <t>Very Low SVI</t>
  </si>
  <si>
    <t>Very Low dSVI</t>
  </si>
  <si>
    <t>Low SVI</t>
  </si>
  <si>
    <t>Low dSVI</t>
  </si>
  <si>
    <t>Very High FOGs</t>
  </si>
  <si>
    <t>High FOGs</t>
  </si>
  <si>
    <t>Mic Fil 7</t>
  </si>
  <si>
    <t>Mic S/Z 3</t>
  </si>
  <si>
    <t>Very Low HRTeq</t>
  </si>
  <si>
    <t>Very Low HRTpc</t>
  </si>
  <si>
    <t>Very Low HRTab</t>
  </si>
  <si>
    <t>Low HRTeq</t>
  </si>
  <si>
    <t>Low HRTpc</t>
  </si>
  <si>
    <t>Low HRTab</t>
  </si>
  <si>
    <t>Very Low HRTsc</t>
  </si>
  <si>
    <t>Low HRTsc</t>
  </si>
  <si>
    <t>Very High HRTeq</t>
  </si>
  <si>
    <t>Very High HRTpc</t>
  </si>
  <si>
    <t>Very High HRTab</t>
  </si>
  <si>
    <t>High HRTeq</t>
  </si>
  <si>
    <t>High HRTpc</t>
  </si>
  <si>
    <t>High HRTab</t>
  </si>
  <si>
    <t>Very High HRTsc</t>
  </si>
  <si>
    <t>High HRTsc</t>
  </si>
  <si>
    <t>N out 3</t>
  </si>
  <si>
    <t>Mic Fil 5</t>
  </si>
  <si>
    <t>P out 3</t>
  </si>
  <si>
    <t>ORPsc 1</t>
  </si>
  <si>
    <t>ORPsc 2</t>
  </si>
  <si>
    <t>ORPpc 1</t>
  </si>
  <si>
    <t>ORPpc 2</t>
  </si>
  <si>
    <t>ORPsc 3</t>
  </si>
  <si>
    <t>ORPpc 3</t>
  </si>
  <si>
    <t>Low DO</t>
  </si>
  <si>
    <t>Mic Fil 3</t>
  </si>
  <si>
    <t>Very High pHab</t>
  </si>
  <si>
    <t>High pHab</t>
  </si>
  <si>
    <t>Very High pHsc</t>
  </si>
  <si>
    <t>SOUR Ratio &lt; 1</t>
  </si>
  <si>
    <t>Very Low pHab</t>
  </si>
  <si>
    <t>Low pHab</t>
  </si>
  <si>
    <t>Mic Fil 6</t>
  </si>
  <si>
    <t>Core Sampler 1</t>
  </si>
  <si>
    <t>Core Sampler 3</t>
  </si>
  <si>
    <t>Very High SOR</t>
  </si>
  <si>
    <t>Very High WOR</t>
  </si>
  <si>
    <t>High SOR</t>
  </si>
  <si>
    <t>High WOR</t>
  </si>
  <si>
    <t>Mic Fil 4</t>
  </si>
  <si>
    <t>Settleometer 7</t>
  </si>
  <si>
    <t>Very High Temp</t>
  </si>
  <si>
    <t>High Temp</t>
  </si>
  <si>
    <t>Very Low Temp</t>
  </si>
  <si>
    <t>Low Temp</t>
  </si>
  <si>
    <t>ORPsc 8</t>
  </si>
  <si>
    <t>ORPpc 8</t>
  </si>
  <si>
    <t>TEST ID</t>
  </si>
  <si>
    <t>TEST</t>
  </si>
  <si>
    <t>LOC</t>
  </si>
  <si>
    <t>TEST RESULTS</t>
  </si>
  <si>
    <t>T1</t>
  </si>
  <si>
    <t>HRT - EqualizationTank</t>
  </si>
  <si>
    <t>A</t>
  </si>
  <si>
    <t>T2</t>
  </si>
  <si>
    <t>HRT - Primary Clarifier</t>
  </si>
  <si>
    <t>B</t>
  </si>
  <si>
    <t>T3</t>
  </si>
  <si>
    <t>HRT - Aeration Basin</t>
  </si>
  <si>
    <t>C</t>
  </si>
  <si>
    <t>T4</t>
  </si>
  <si>
    <t>HRT - Secondary Clarifier</t>
  </si>
  <si>
    <t>E</t>
  </si>
  <si>
    <t>T5</t>
  </si>
  <si>
    <t>SOR</t>
  </si>
  <si>
    <t>T6</t>
  </si>
  <si>
    <t>WOR</t>
  </si>
  <si>
    <t>T7</t>
  </si>
  <si>
    <t>OLR</t>
  </si>
  <si>
    <t>T8</t>
  </si>
  <si>
    <t>SLR</t>
  </si>
  <si>
    <t>T9</t>
  </si>
  <si>
    <t>F/M Ratio</t>
  </si>
  <si>
    <t>T10</t>
  </si>
  <si>
    <t>SRT (carbonaceous BOD removal)</t>
  </si>
  <si>
    <t>D</t>
  </si>
  <si>
    <t>T11</t>
  </si>
  <si>
    <t>SRT (nitrogen removal)</t>
  </si>
  <si>
    <t>T12</t>
  </si>
  <si>
    <t>DO</t>
  </si>
  <si>
    <t>T13</t>
  </si>
  <si>
    <t>ORP - Primary Clarifier</t>
  </si>
  <si>
    <t>T14</t>
  </si>
  <si>
    <t>ORP - Aeration Basin</t>
  </si>
  <si>
    <t>T15</t>
  </si>
  <si>
    <t>ORP - Secondary Clarifier</t>
  </si>
  <si>
    <t>T16</t>
  </si>
  <si>
    <t>pH - Aeration Basin</t>
  </si>
  <si>
    <t>T17</t>
  </si>
  <si>
    <t>pH - Secondary Clarifier</t>
  </si>
  <si>
    <t>T18</t>
  </si>
  <si>
    <t>Temperature</t>
  </si>
  <si>
    <t>T19</t>
  </si>
  <si>
    <t>Grease Analysis</t>
  </si>
  <si>
    <t>T20</t>
  </si>
  <si>
    <t>N Deficiency - AB Effluent (TIN)</t>
  </si>
  <si>
    <t>T21</t>
  </si>
  <si>
    <t>P Deficiency - AB Effluent (OP)</t>
  </si>
  <si>
    <t>T22</t>
  </si>
  <si>
    <t>Settleometer observations</t>
  </si>
  <si>
    <t>T23</t>
  </si>
  <si>
    <t>SVI</t>
  </si>
  <si>
    <t>T24</t>
  </si>
  <si>
    <t>dSVI</t>
  </si>
  <si>
    <t>T25</t>
  </si>
  <si>
    <t>SOUR - Unfed</t>
  </si>
  <si>
    <t>T26</t>
  </si>
  <si>
    <t>SOUR - Fed</t>
  </si>
  <si>
    <t>T27</t>
  </si>
  <si>
    <t>SOUR Ratio (Fed:Unfed)</t>
  </si>
  <si>
    <t>T28</t>
  </si>
  <si>
    <t>Core Sampler</t>
  </si>
  <si>
    <t>T29</t>
  </si>
  <si>
    <t>Microscopic Evaluation - Flocs</t>
  </si>
  <si>
    <t>T30</t>
  </si>
  <si>
    <t>Microscopic Evaluation - Higher Life Forms</t>
  </si>
  <si>
    <t>T31</t>
  </si>
  <si>
    <t>Microscopic Evaluation - Filaments</t>
  </si>
  <si>
    <t>T32</t>
  </si>
  <si>
    <t>Microscopic Evaluation - Slime / Zooglea</t>
  </si>
  <si>
    <t>R1.1A</t>
  </si>
  <si>
    <t>R1.2A</t>
  </si>
  <si>
    <t>R1.3A</t>
  </si>
  <si>
    <t>R1.4A</t>
  </si>
  <si>
    <t>R1.5A</t>
  </si>
  <si>
    <t/>
  </si>
  <si>
    <t>R2.1B</t>
  </si>
  <si>
    <t>R2.2B</t>
  </si>
  <si>
    <t>R2.3B</t>
  </si>
  <si>
    <t>R2.4B</t>
  </si>
  <si>
    <t>R2.5B</t>
  </si>
  <si>
    <t>R3.1C</t>
  </si>
  <si>
    <t>R3.2C</t>
  </si>
  <si>
    <t>R3.3C</t>
  </si>
  <si>
    <t>R3.4C</t>
  </si>
  <si>
    <t>R3.5C</t>
  </si>
  <si>
    <t>R4.1E</t>
  </si>
  <si>
    <t>R4.2E</t>
  </si>
  <si>
    <t>R4.3E</t>
  </si>
  <si>
    <t>R4.4E</t>
  </si>
  <si>
    <t>R4.5E</t>
  </si>
  <si>
    <t>R5.1E</t>
  </si>
  <si>
    <t>R5.2E</t>
  </si>
  <si>
    <t>R5.3E</t>
  </si>
  <si>
    <t>R5.4E</t>
  </si>
  <si>
    <t>R5.5E</t>
  </si>
  <si>
    <t>R6.1E</t>
  </si>
  <si>
    <t>R6.2E</t>
  </si>
  <si>
    <t>R6.3E</t>
  </si>
  <si>
    <t>R6.4E</t>
  </si>
  <si>
    <t>R6.5E</t>
  </si>
  <si>
    <t>R7.1C</t>
  </si>
  <si>
    <t>R7.2C</t>
  </si>
  <si>
    <t>R7.3C</t>
  </si>
  <si>
    <t>R7.4C</t>
  </si>
  <si>
    <t>R7.5C</t>
  </si>
  <si>
    <t>R8.1E</t>
  </si>
  <si>
    <t>R8.2E</t>
  </si>
  <si>
    <t>R8.3E</t>
  </si>
  <si>
    <t>R8.4E</t>
  </si>
  <si>
    <t>R8.5E</t>
  </si>
  <si>
    <t>R9.1C</t>
  </si>
  <si>
    <t>R9.2C</t>
  </si>
  <si>
    <t>R9.3C</t>
  </si>
  <si>
    <t>R9.4C</t>
  </si>
  <si>
    <t>R9.5C</t>
  </si>
  <si>
    <t>R10.1D</t>
  </si>
  <si>
    <t>R10.2D</t>
  </si>
  <si>
    <t>R10.3D</t>
  </si>
  <si>
    <t>R10.4D</t>
  </si>
  <si>
    <t>R10.5D</t>
  </si>
  <si>
    <t>R11.1D</t>
  </si>
  <si>
    <t>R11.2D</t>
  </si>
  <si>
    <t>R11.3D</t>
  </si>
  <si>
    <t>R11.4D</t>
  </si>
  <si>
    <t>R11.5D</t>
  </si>
  <si>
    <t>R12.1D</t>
  </si>
  <si>
    <t>R12.2D</t>
  </si>
  <si>
    <t>R12.3D</t>
  </si>
  <si>
    <t>R12.4D</t>
  </si>
  <si>
    <t>R12.5D</t>
  </si>
  <si>
    <t>R13.1B</t>
  </si>
  <si>
    <t>R13.2B</t>
  </si>
  <si>
    <t>R13.3B</t>
  </si>
  <si>
    <t>R13.4B</t>
  </si>
  <si>
    <t>R13.5B</t>
  </si>
  <si>
    <t>R13.6B</t>
  </si>
  <si>
    <t>R13.7B</t>
  </si>
  <si>
    <t>R13.8B</t>
  </si>
  <si>
    <t>R14.1D</t>
  </si>
  <si>
    <t>R14.2D</t>
  </si>
  <si>
    <t>R14.3D</t>
  </si>
  <si>
    <t>R14.4D</t>
  </si>
  <si>
    <t>R14.5D</t>
  </si>
  <si>
    <t>R14.6D</t>
  </si>
  <si>
    <t>R14.7D</t>
  </si>
  <si>
    <t>R14.8D</t>
  </si>
  <si>
    <t>R15.1E</t>
  </si>
  <si>
    <t>R15.2E</t>
  </si>
  <si>
    <t>R15.3E</t>
  </si>
  <si>
    <t>R15.4E</t>
  </si>
  <si>
    <t>R15.5E</t>
  </si>
  <si>
    <t>R15.6E</t>
  </si>
  <si>
    <t>R15.7E</t>
  </si>
  <si>
    <t>R15.8E</t>
  </si>
  <si>
    <t>R16.1C</t>
  </si>
  <si>
    <t>R16.2C</t>
  </si>
  <si>
    <t>R16.3C</t>
  </si>
  <si>
    <t>R16.4C</t>
  </si>
  <si>
    <t>R16.5C</t>
  </si>
  <si>
    <t>R17.1E</t>
  </si>
  <si>
    <t>R17.2E</t>
  </si>
  <si>
    <t>R17.3E</t>
  </si>
  <si>
    <t>R17.4E</t>
  </si>
  <si>
    <t>R17.5E</t>
  </si>
  <si>
    <t>R18.1C</t>
  </si>
  <si>
    <t>R18.2C</t>
  </si>
  <si>
    <t>R18.3C</t>
  </si>
  <si>
    <t>R18.4C</t>
  </si>
  <si>
    <t>R18.5C</t>
  </si>
  <si>
    <t>R19.1C</t>
  </si>
  <si>
    <t>R19.2C</t>
  </si>
  <si>
    <t>R19.3C</t>
  </si>
  <si>
    <t>R19.4C</t>
  </si>
  <si>
    <t>R19.5C</t>
  </si>
  <si>
    <t>R20.1D</t>
  </si>
  <si>
    <t>R20.2D</t>
  </si>
  <si>
    <t>R20.3D</t>
  </si>
  <si>
    <t>R21.1D</t>
  </si>
  <si>
    <t>R21.2D</t>
  </si>
  <si>
    <t>R21.3D</t>
  </si>
  <si>
    <t>R22.1D</t>
  </si>
  <si>
    <t>R22.2D</t>
  </si>
  <si>
    <t>R22.3D</t>
  </si>
  <si>
    <t>R22.4D</t>
  </si>
  <si>
    <t>R22.5D</t>
  </si>
  <si>
    <t>R22.6D</t>
  </si>
  <si>
    <t>R22.7D</t>
  </si>
  <si>
    <t>R23.1D</t>
  </si>
  <si>
    <t>R23.2D</t>
  </si>
  <si>
    <t>R23.3D</t>
  </si>
  <si>
    <t>R23.4D</t>
  </si>
  <si>
    <t>R23.5D</t>
  </si>
  <si>
    <t>R24.1D</t>
  </si>
  <si>
    <t>R24.2D</t>
  </si>
  <si>
    <t>R24.3D</t>
  </si>
  <si>
    <t>R24.4D</t>
  </si>
  <si>
    <t>R24.5D</t>
  </si>
  <si>
    <t>R25.1D</t>
  </si>
  <si>
    <t>R25.2D</t>
  </si>
  <si>
    <t>R25.3D</t>
  </si>
  <si>
    <t>R25.4D</t>
  </si>
  <si>
    <t>R25.5D</t>
  </si>
  <si>
    <t>R26.1D</t>
  </si>
  <si>
    <t>R26.2D</t>
  </si>
  <si>
    <t>R26.3D</t>
  </si>
  <si>
    <t>R26.4D</t>
  </si>
  <si>
    <t>R26.5D</t>
  </si>
  <si>
    <t>R27.1D</t>
  </si>
  <si>
    <t>R27.2D</t>
  </si>
  <si>
    <t>R27.3D</t>
  </si>
  <si>
    <t>R27.4D</t>
  </si>
  <si>
    <t>R28.1E</t>
  </si>
  <si>
    <t>R28.2E</t>
  </si>
  <si>
    <t>R28.3E</t>
  </si>
  <si>
    <t>R29.1D</t>
  </si>
  <si>
    <t>R29.2D</t>
  </si>
  <si>
    <t>R29.3D</t>
  </si>
  <si>
    <t>R30.1D</t>
  </si>
  <si>
    <t>R30.2D</t>
  </si>
  <si>
    <t>R30.3D</t>
  </si>
  <si>
    <t>R30.4D</t>
  </si>
  <si>
    <t>R30.5D</t>
  </si>
  <si>
    <t>R30.6D</t>
  </si>
  <si>
    <t>R30.7D</t>
  </si>
  <si>
    <t>R31.1D</t>
  </si>
  <si>
    <t>R31.2D</t>
  </si>
  <si>
    <t>R31.3D</t>
  </si>
  <si>
    <t>R31.4D</t>
  </si>
  <si>
    <t>R31.5D</t>
  </si>
  <si>
    <t>R31.6D</t>
  </si>
  <si>
    <t>R31.7D</t>
  </si>
  <si>
    <t>R31.8D</t>
  </si>
  <si>
    <t>R31.9D</t>
  </si>
  <si>
    <t>R32.1D</t>
  </si>
  <si>
    <t>R32.2D</t>
  </si>
  <si>
    <t>R32.3D</t>
  </si>
  <si>
    <t>RESULT (short description)</t>
  </si>
  <si>
    <t>Normal HRTeq</t>
  </si>
  <si>
    <t>Normal HRTpc</t>
  </si>
  <si>
    <t>Normal HRTab</t>
  </si>
  <si>
    <t>Normal HRTsc</t>
  </si>
  <si>
    <t>Normal SOR</t>
  </si>
  <si>
    <t>Low SOR</t>
  </si>
  <si>
    <t>Very Low SOR</t>
  </si>
  <si>
    <t>Normal WOR</t>
  </si>
  <si>
    <t>Low WOR</t>
  </si>
  <si>
    <t>Very Low WOR</t>
  </si>
  <si>
    <t>Normal OLR</t>
  </si>
  <si>
    <t>Very High SLR</t>
  </si>
  <si>
    <t>High SLR</t>
  </si>
  <si>
    <t>Normal SLR</t>
  </si>
  <si>
    <t>Low SLR</t>
  </si>
  <si>
    <t>Very Low SLR</t>
  </si>
  <si>
    <t>Normal FM</t>
  </si>
  <si>
    <t>Normal SRTc</t>
  </si>
  <si>
    <t>Normal SRTn</t>
  </si>
  <si>
    <t>Normal DO</t>
  </si>
  <si>
    <t>ORPpc 4</t>
  </si>
  <si>
    <t>ORPpc 5</t>
  </si>
  <si>
    <t>ORPpc 6</t>
  </si>
  <si>
    <t>ORPpc 7</t>
  </si>
  <si>
    <t>ORPab 6</t>
  </si>
  <si>
    <t>ORPsc 6</t>
  </si>
  <si>
    <t>ORPsc 7</t>
  </si>
  <si>
    <t>Normal pHab</t>
  </si>
  <si>
    <t>Normal pHsc</t>
  </si>
  <si>
    <t>Low pHsc</t>
  </si>
  <si>
    <t>Very Low pHsc</t>
  </si>
  <si>
    <t>Normal Temp</t>
  </si>
  <si>
    <t>Normal FOGs</t>
  </si>
  <si>
    <t>Low FOGs</t>
  </si>
  <si>
    <t>Very Low FOGs</t>
  </si>
  <si>
    <t>N out 2</t>
  </si>
  <si>
    <t>P out 1</t>
  </si>
  <si>
    <t>P out 2</t>
  </si>
  <si>
    <t>Settleometer 1</t>
  </si>
  <si>
    <t>Normal SVI</t>
  </si>
  <si>
    <t>Normal dSVI</t>
  </si>
  <si>
    <t>Normal SOUR unfed</t>
  </si>
  <si>
    <t>Normal SOUR fed</t>
  </si>
  <si>
    <t>SOUR Ratio 1-2</t>
  </si>
  <si>
    <t>SOUR Ratio 2-5</t>
  </si>
  <si>
    <t>SOUR Ratio &gt; 5</t>
  </si>
  <si>
    <t>Core Sampler 2</t>
  </si>
  <si>
    <t>Mic Floc 1</t>
  </si>
  <si>
    <t>Mic Life 1</t>
  </si>
  <si>
    <t>Mic Fil 9</t>
  </si>
  <si>
    <t>Mic S/Z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</si>
</sst>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vertical="center"/>
    </xf>
    <xf borderId="1" fillId="2" fontId="1" numFmtId="0" xfId="0" applyAlignment="1" applyBorder="1" applyFont="1">
      <alignment shrinkToFit="0" vertical="center" wrapText="1"/>
    </xf>
    <xf borderId="2" fillId="2" fontId="1" numFmtId="0" xfId="0" applyAlignment="1" applyBorder="1" applyFont="1">
      <alignment vertical="center"/>
    </xf>
    <xf borderId="1" fillId="2" fontId="1" numFmtId="0" xfId="0" applyAlignment="1" applyBorder="1" applyFont="1">
      <alignment readingOrder="0" vertical="center"/>
    </xf>
    <xf borderId="1" fillId="0" fontId="2" numFmtId="0" xfId="0" applyBorder="1" applyFont="1"/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shrinkToFit="0" vertical="center" wrapText="1"/>
    </xf>
    <xf borderId="3" fillId="0" fontId="3" numFmtId="0" xfId="0" applyAlignment="1" applyBorder="1" applyFont="1">
      <alignment vertical="center"/>
    </xf>
    <xf borderId="0" fillId="3" fontId="4" numFmtId="0" xfId="0" applyAlignment="1" applyFill="1" applyFont="1">
      <alignment readingOrder="0" vertical="center"/>
    </xf>
    <xf borderId="0" fillId="4" fontId="4" numFmtId="0" xfId="0" applyAlignment="1" applyFill="1" applyFont="1">
      <alignment readingOrder="0" vertical="center"/>
    </xf>
    <xf borderId="0" fillId="5" fontId="4" numFmtId="0" xfId="0" applyAlignment="1" applyFill="1" applyFont="1">
      <alignment readingOrder="0" vertical="center"/>
    </xf>
    <xf borderId="0" fillId="6" fontId="4" numFmtId="0" xfId="0" applyAlignment="1" applyFill="1" applyFont="1">
      <alignment readingOrder="0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0" fillId="5" fontId="4" numFmtId="0" xfId="0" applyAlignment="1" applyFont="1">
      <alignment vertical="center"/>
    </xf>
    <xf borderId="0" fillId="6" fontId="4" numFmtId="0" xfId="0" applyAlignment="1" applyFont="1">
      <alignment readingOrder="0"/>
    </xf>
    <xf borderId="0" fillId="2" fontId="5" numFmtId="0" xfId="0" applyAlignment="1" applyFont="1">
      <alignment readingOrder="0"/>
    </xf>
    <xf borderId="4" fillId="2" fontId="5" numFmtId="0" xfId="0" applyAlignment="1" applyBorder="1" applyFont="1">
      <alignment readingOrder="0"/>
    </xf>
    <xf borderId="0" fillId="2" fontId="5" numFmtId="0" xfId="0" applyAlignment="1" applyFont="1">
      <alignment horizontal="center" readingOrder="0"/>
    </xf>
    <xf borderId="5" fillId="2" fontId="5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4" fillId="5" fontId="4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5" fillId="0" fontId="4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0" fillId="0" fontId="4" numFmtId="0" xfId="0" applyFont="1"/>
  </cellXfs>
  <cellStyles count="1">
    <cellStyle xfId="0" name="Normal" builtinId="0"/>
  </cellStyles>
  <dxfs count="1">
    <dxf>
      <font>
        <b/>
        <color theme="0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3.88"/>
    <col customWidth="1" min="2" max="2" width="5.88"/>
    <col customWidth="1" min="3" max="3" width="20.0"/>
    <col customWidth="1" min="4" max="4" width="5.88"/>
    <col customWidth="1" min="5" max="28" width="7.63"/>
  </cols>
  <sheetData>
    <row r="1">
      <c r="A1" s="1" t="s">
        <v>0</v>
      </c>
      <c r="B1" s="2" t="s">
        <v>1</v>
      </c>
      <c r="C1" s="3" t="s">
        <v>2</v>
      </c>
      <c r="D1" s="4" t="s">
        <v>1</v>
      </c>
      <c r="E1" s="5" t="s">
        <v>3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7">
        <v>1.0</v>
      </c>
      <c r="B2" s="8" t="s">
        <v>4</v>
      </c>
      <c r="C2" s="9" t="s">
        <v>5</v>
      </c>
      <c r="D2" s="10" t="s">
        <v>4</v>
      </c>
      <c r="E2" s="11" t="str">
        <f>IFERROR(__xludf.DUMMYFUNCTION("UNIQUE('Draft 3'!E2:AB2,TRUE)"),"T12")</f>
        <v>T12</v>
      </c>
      <c r="F2" s="11" t="str">
        <f>IFERROR(__xludf.DUMMYFUNCTION("""COMPUTED_VALUE"""),"T14")</f>
        <v>T14</v>
      </c>
      <c r="G2" s="11" t="str">
        <f>IFERROR(__xludf.DUMMYFUNCTION("""COMPUTED_VALUE"""),"T29")</f>
        <v>T29</v>
      </c>
      <c r="H2" s="11" t="str">
        <f>IFERROR(__xludf.DUMMYFUNCTION("""COMPUTED_VALUE"""),"T31")</f>
        <v>T31</v>
      </c>
      <c r="I2" s="11" t="str">
        <f>IFERROR(__xludf.DUMMYFUNCTION("""COMPUTED_VALUE"""),"T22")</f>
        <v>T22</v>
      </c>
      <c r="J2" s="11" t="str">
        <f>IFERROR(__xludf.DUMMYFUNCTION("""COMPUTED_VALUE"""),"")</f>
        <v/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>
      <c r="A3" s="7">
        <v>2.0</v>
      </c>
      <c r="B3" s="8" t="s">
        <v>6</v>
      </c>
      <c r="C3" s="9" t="s">
        <v>7</v>
      </c>
      <c r="D3" s="10" t="s">
        <v>6</v>
      </c>
      <c r="E3" s="11" t="str">
        <f>IFERROR(__xludf.DUMMYFUNCTION("UNIQUE('Draft 3'!E3:AB3,TRUE)"),"T27")</f>
        <v>T27</v>
      </c>
      <c r="F3" s="11" t="str">
        <f>IFERROR(__xludf.DUMMYFUNCTION("""COMPUTED_VALUE"""),"T26")</f>
        <v>T26</v>
      </c>
      <c r="G3" s="11" t="str">
        <f>IFERROR(__xludf.DUMMYFUNCTION("""COMPUTED_VALUE"""),"T25")</f>
        <v>T25</v>
      </c>
      <c r="H3" s="11" t="str">
        <f>IFERROR(__xludf.DUMMYFUNCTION("""COMPUTED_VALUE"""),"")</f>
        <v/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>
      <c r="A4" s="7">
        <v>3.0</v>
      </c>
      <c r="B4" s="8" t="s">
        <v>8</v>
      </c>
      <c r="C4" s="9" t="s">
        <v>9</v>
      </c>
      <c r="D4" s="10" t="s">
        <v>8</v>
      </c>
      <c r="E4" s="11" t="str">
        <f>IFERROR(__xludf.DUMMYFUNCTION("UNIQUE('Draft 3'!E4:AB4,TRUE)"),"T14")</f>
        <v>T14</v>
      </c>
      <c r="F4" s="11" t="str">
        <f>IFERROR(__xludf.DUMMYFUNCTION("""COMPUTED_VALUE"""),"T27")</f>
        <v>T27</v>
      </c>
      <c r="G4" s="11" t="str">
        <f>IFERROR(__xludf.DUMMYFUNCTION("""COMPUTED_VALUE"""),"T26")</f>
        <v>T26</v>
      </c>
      <c r="H4" s="11" t="str">
        <f>IFERROR(__xludf.DUMMYFUNCTION("""COMPUTED_VALUE"""),"T25")</f>
        <v>T25</v>
      </c>
      <c r="I4" s="11" t="str">
        <f>IFERROR(__xludf.DUMMYFUNCTION("""COMPUTED_VALUE"""),"T30")</f>
        <v>T30</v>
      </c>
      <c r="J4" s="11" t="str">
        <f>IFERROR(__xludf.DUMMYFUNCTION("""COMPUTED_VALUE"""),"T29")</f>
        <v>T29</v>
      </c>
      <c r="K4" s="11" t="str">
        <f>IFERROR(__xludf.DUMMYFUNCTION("""COMPUTED_VALUE"""),"T31")</f>
        <v>T31</v>
      </c>
      <c r="L4" s="11" t="str">
        <f>IFERROR(__xludf.DUMMYFUNCTION("""COMPUTED_VALUE"""),"")</f>
        <v/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7">
        <v>4.0</v>
      </c>
      <c r="B5" s="8" t="s">
        <v>10</v>
      </c>
      <c r="C5" s="9" t="s">
        <v>11</v>
      </c>
      <c r="D5" s="10" t="s">
        <v>10</v>
      </c>
      <c r="E5" s="11" t="str">
        <f>IFERROR(__xludf.DUMMYFUNCTION("UNIQUE('Draft 3'!E5:AB5,TRUE)"),"T12")</f>
        <v>T12</v>
      </c>
      <c r="F5" s="11" t="str">
        <f>IFERROR(__xludf.DUMMYFUNCTION("""COMPUTED_VALUE"""),"T14")</f>
        <v>T14</v>
      </c>
      <c r="G5" s="11" t="str">
        <f>IFERROR(__xludf.DUMMYFUNCTION("""COMPUTED_VALUE"""),"T29")</f>
        <v>T29</v>
      </c>
      <c r="H5" s="11" t="str">
        <f>IFERROR(__xludf.DUMMYFUNCTION("""COMPUTED_VALUE"""),"T31")</f>
        <v>T31</v>
      </c>
      <c r="I5" s="11" t="str">
        <f>IFERROR(__xludf.DUMMYFUNCTION("""COMPUTED_VALUE"""),"T26")</f>
        <v>T26</v>
      </c>
      <c r="J5" s="11" t="str">
        <f>IFERROR(__xludf.DUMMYFUNCTION("""COMPUTED_VALUE"""),"T25")</f>
        <v>T25</v>
      </c>
      <c r="K5" s="11" t="str">
        <f>IFERROR(__xludf.DUMMYFUNCTION("""COMPUTED_VALUE"""),"")</f>
        <v/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>
      <c r="A6" s="7">
        <v>5.0</v>
      </c>
      <c r="B6" s="8" t="s">
        <v>12</v>
      </c>
      <c r="C6" s="9" t="s">
        <v>13</v>
      </c>
      <c r="D6" s="10" t="s">
        <v>12</v>
      </c>
      <c r="E6" s="11" t="str">
        <f>IFERROR(__xludf.DUMMYFUNCTION("UNIQUE('Draft 3'!E6:AB6,TRUE)"),"T12")</f>
        <v>T12</v>
      </c>
      <c r="F6" s="11" t="str">
        <f>IFERROR(__xludf.DUMMYFUNCTION("""COMPUTED_VALUE"""),"T14")</f>
        <v>T14</v>
      </c>
      <c r="G6" s="11" t="str">
        <f>IFERROR(__xludf.DUMMYFUNCTION("""COMPUTED_VALUE"""),"T31")</f>
        <v>T31</v>
      </c>
      <c r="H6" s="11" t="str">
        <f>IFERROR(__xludf.DUMMYFUNCTION("""COMPUTED_VALUE"""),"T29")</f>
        <v>T29</v>
      </c>
      <c r="I6" s="11" t="str">
        <f>IFERROR(__xludf.DUMMYFUNCTION("""COMPUTED_VALUE"""),"T26")</f>
        <v>T26</v>
      </c>
      <c r="J6" s="11" t="str">
        <f>IFERROR(__xludf.DUMMYFUNCTION("""COMPUTED_VALUE"""),"T25")</f>
        <v>T25</v>
      </c>
      <c r="K6" s="11" t="str">
        <f>IFERROR(__xludf.DUMMYFUNCTION("""COMPUTED_VALUE"""),"")</f>
        <v/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>
      <c r="A7" s="7">
        <v>6.0</v>
      </c>
      <c r="B7" s="8" t="s">
        <v>14</v>
      </c>
      <c r="C7" s="9" t="s">
        <v>15</v>
      </c>
      <c r="D7" s="10" t="s">
        <v>14</v>
      </c>
      <c r="E7" s="11" t="str">
        <f>IFERROR(__xludf.DUMMYFUNCTION("UNIQUE('Draft 3'!E7:AB7,TRUE)"),"T22")</f>
        <v>T22</v>
      </c>
      <c r="F7" s="11" t="str">
        <f>IFERROR(__xludf.DUMMYFUNCTION("""COMPUTED_VALUE"""),"T15")</f>
        <v>T15</v>
      </c>
      <c r="G7" s="11" t="str">
        <f>IFERROR(__xludf.DUMMYFUNCTION("""COMPUTED_VALUE"""),"T20")</f>
        <v>T20</v>
      </c>
      <c r="H7" s="11" t="str">
        <f>IFERROR(__xludf.DUMMYFUNCTION("""COMPUTED_VALUE"""),"T24")</f>
        <v>T24</v>
      </c>
      <c r="I7" s="11" t="str">
        <f>IFERROR(__xludf.DUMMYFUNCTION("""COMPUTED_VALUE"""),"T23")</f>
        <v>T23</v>
      </c>
      <c r="J7" s="11" t="str">
        <f>IFERROR(__xludf.DUMMYFUNCTION("""COMPUTED_VALUE"""),"T17")</f>
        <v>T17</v>
      </c>
      <c r="K7" s="11" t="str">
        <f>IFERROR(__xludf.DUMMYFUNCTION("""COMPUTED_VALUE"""),"")</f>
        <v/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>
      <c r="A8" s="7">
        <v>7.0</v>
      </c>
      <c r="B8" s="8" t="s">
        <v>16</v>
      </c>
      <c r="C8" s="9" t="s">
        <v>17</v>
      </c>
      <c r="D8" s="10" t="s">
        <v>16</v>
      </c>
      <c r="E8" s="11" t="str">
        <f>IFERROR(__xludf.DUMMYFUNCTION("UNIQUE('Draft 3'!E8:AB8,TRUE)"),"T9")</f>
        <v>T9</v>
      </c>
      <c r="F8" s="11" t="str">
        <f>IFERROR(__xludf.DUMMYFUNCTION("""COMPUTED_VALUE"""),"T7")</f>
        <v>T7</v>
      </c>
      <c r="G8" s="11" t="str">
        <f>IFERROR(__xludf.DUMMYFUNCTION("""COMPUTED_VALUE"""),"T10")</f>
        <v>T10</v>
      </c>
      <c r="H8" s="11" t="str">
        <f>IFERROR(__xludf.DUMMYFUNCTION("""COMPUTED_VALUE"""),"T11")</f>
        <v>T11</v>
      </c>
      <c r="I8" s="11" t="str">
        <f>IFERROR(__xludf.DUMMYFUNCTION("""COMPUTED_VALUE"""),"T27")</f>
        <v>T27</v>
      </c>
      <c r="J8" s="11" t="str">
        <f>IFERROR(__xludf.DUMMYFUNCTION("""COMPUTED_VALUE"""),"T32")</f>
        <v>T32</v>
      </c>
      <c r="K8" s="11" t="str">
        <f>IFERROR(__xludf.DUMMYFUNCTION("""COMPUTED_VALUE"""),"T22")</f>
        <v>T22</v>
      </c>
      <c r="L8" s="11" t="str">
        <f>IFERROR(__xludf.DUMMYFUNCTION("""COMPUTED_VALUE"""),"T30")</f>
        <v>T30</v>
      </c>
      <c r="M8" s="11" t="str">
        <f>IFERROR(__xludf.DUMMYFUNCTION("""COMPUTED_VALUE"""),"T29")</f>
        <v>T29</v>
      </c>
      <c r="N8" s="11" t="str">
        <f>IFERROR(__xludf.DUMMYFUNCTION("""COMPUTED_VALUE"""),"T31")</f>
        <v>T31</v>
      </c>
      <c r="O8" s="11" t="str">
        <f>IFERROR(__xludf.DUMMYFUNCTION("""COMPUTED_VALUE"""),"T23")</f>
        <v>T23</v>
      </c>
      <c r="P8" s="11" t="str">
        <f>IFERROR(__xludf.DUMMYFUNCTION("""COMPUTED_VALUE"""),"T24")</f>
        <v>T24</v>
      </c>
      <c r="Q8" s="11" t="str">
        <f>IFERROR(__xludf.DUMMYFUNCTION("""COMPUTED_VALUE"""),"")</f>
        <v/>
      </c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>
      <c r="A9" s="7">
        <v>8.0</v>
      </c>
      <c r="B9" s="8" t="s">
        <v>18</v>
      </c>
      <c r="C9" s="9" t="s">
        <v>19</v>
      </c>
      <c r="D9" s="10" t="s">
        <v>18</v>
      </c>
      <c r="E9" s="11" t="str">
        <f>IFERROR(__xludf.DUMMYFUNCTION("UNIQUE('Draft 3'!E9:AB9,TRUE)"),"T9")</f>
        <v>T9</v>
      </c>
      <c r="F9" s="11" t="str">
        <f>IFERROR(__xludf.DUMMYFUNCTION("""COMPUTED_VALUE"""),"T7")</f>
        <v>T7</v>
      </c>
      <c r="G9" s="11" t="str">
        <f>IFERROR(__xludf.DUMMYFUNCTION("""COMPUTED_VALUE"""),"T10")</f>
        <v>T10</v>
      </c>
      <c r="H9" s="11" t="str">
        <f>IFERROR(__xludf.DUMMYFUNCTION("""COMPUTED_VALUE"""),"T11")</f>
        <v>T11</v>
      </c>
      <c r="I9" s="11" t="str">
        <f>IFERROR(__xludf.DUMMYFUNCTION("""COMPUTED_VALUE"""),"T27")</f>
        <v>T27</v>
      </c>
      <c r="J9" s="11" t="str">
        <f>IFERROR(__xludf.DUMMYFUNCTION("""COMPUTED_VALUE"""),"T32")</f>
        <v>T32</v>
      </c>
      <c r="K9" s="11" t="str">
        <f>IFERROR(__xludf.DUMMYFUNCTION("""COMPUTED_VALUE"""),"T22")</f>
        <v>T22</v>
      </c>
      <c r="L9" s="11" t="str">
        <f>IFERROR(__xludf.DUMMYFUNCTION("""COMPUTED_VALUE"""),"T30")</f>
        <v>T30</v>
      </c>
      <c r="M9" s="11" t="str">
        <f>IFERROR(__xludf.DUMMYFUNCTION("""COMPUTED_VALUE"""),"T29")</f>
        <v>T29</v>
      </c>
      <c r="N9" s="11" t="str">
        <f>IFERROR(__xludf.DUMMYFUNCTION("""COMPUTED_VALUE"""),"T31")</f>
        <v>T31</v>
      </c>
      <c r="O9" s="11" t="str">
        <f>IFERROR(__xludf.DUMMYFUNCTION("""COMPUTED_VALUE"""),"T23")</f>
        <v>T23</v>
      </c>
      <c r="P9" s="11" t="str">
        <f>IFERROR(__xludf.DUMMYFUNCTION("""COMPUTED_VALUE"""),"T24")</f>
        <v>T24</v>
      </c>
      <c r="Q9" s="11" t="str">
        <f>IFERROR(__xludf.DUMMYFUNCTION("""COMPUTED_VALUE"""),"")</f>
        <v/>
      </c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>
      <c r="A10" s="7">
        <v>9.0</v>
      </c>
      <c r="B10" s="8" t="s">
        <v>20</v>
      </c>
      <c r="C10" s="9" t="s">
        <v>21</v>
      </c>
      <c r="D10" s="10" t="s">
        <v>20</v>
      </c>
      <c r="E10" s="11" t="str">
        <f>IFERROR(__xludf.DUMMYFUNCTION("UNIQUE('Draft 3'!E10:AB10,TRUE)"),"T9")</f>
        <v>T9</v>
      </c>
      <c r="F10" s="11" t="str">
        <f>IFERROR(__xludf.DUMMYFUNCTION("""COMPUTED_VALUE"""),"T7")</f>
        <v>T7</v>
      </c>
      <c r="G10" s="11" t="str">
        <f>IFERROR(__xludf.DUMMYFUNCTION("""COMPUTED_VALUE"""),"T10")</f>
        <v>T10</v>
      </c>
      <c r="H10" s="11" t="str">
        <f>IFERROR(__xludf.DUMMYFUNCTION("""COMPUTED_VALUE"""),"T11")</f>
        <v>T11</v>
      </c>
      <c r="I10" s="11" t="str">
        <f>IFERROR(__xludf.DUMMYFUNCTION("""COMPUTED_VALUE"""),"T31")</f>
        <v>T31</v>
      </c>
      <c r="J10" s="11" t="str">
        <f>IFERROR(__xludf.DUMMYFUNCTION("""COMPUTED_VALUE"""),"T30")</f>
        <v>T30</v>
      </c>
      <c r="K10" s="11" t="str">
        <f>IFERROR(__xludf.DUMMYFUNCTION("""COMPUTED_VALUE"""),"T22")</f>
        <v>T22</v>
      </c>
      <c r="L10" s="11" t="str">
        <f>IFERROR(__xludf.DUMMYFUNCTION("""COMPUTED_VALUE"""),"T29")</f>
        <v>T29</v>
      </c>
      <c r="M10" s="11" t="str">
        <f>IFERROR(__xludf.DUMMYFUNCTION("""COMPUTED_VALUE"""),"T23")</f>
        <v>T23</v>
      </c>
      <c r="N10" s="11" t="str">
        <f>IFERROR(__xludf.DUMMYFUNCTION("""COMPUTED_VALUE"""),"T24")</f>
        <v>T24</v>
      </c>
      <c r="O10" s="11" t="str">
        <f>IFERROR(__xludf.DUMMYFUNCTION("""COMPUTED_VALUE"""),"")</f>
        <v/>
      </c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>
      <c r="A11" s="7">
        <v>10.0</v>
      </c>
      <c r="B11" s="8" t="s">
        <v>22</v>
      </c>
      <c r="C11" s="9" t="s">
        <v>23</v>
      </c>
      <c r="D11" s="10" t="s">
        <v>22</v>
      </c>
      <c r="E11" s="11" t="str">
        <f>IFERROR(__xludf.DUMMYFUNCTION("UNIQUE('Draft 3'!E11:AB11,TRUE)"),"T9")</f>
        <v>T9</v>
      </c>
      <c r="F11" s="11" t="str">
        <f>IFERROR(__xludf.DUMMYFUNCTION("""COMPUTED_VALUE"""),"T7")</f>
        <v>T7</v>
      </c>
      <c r="G11" s="11" t="str">
        <f>IFERROR(__xludf.DUMMYFUNCTION("""COMPUTED_VALUE"""),"T10")</f>
        <v>T10</v>
      </c>
      <c r="H11" s="11" t="str">
        <f>IFERROR(__xludf.DUMMYFUNCTION("""COMPUTED_VALUE"""),"T11")</f>
        <v>T11</v>
      </c>
      <c r="I11" s="11" t="str">
        <f>IFERROR(__xludf.DUMMYFUNCTION("""COMPUTED_VALUE"""),"T22")</f>
        <v>T22</v>
      </c>
      <c r="J11" s="11" t="str">
        <f>IFERROR(__xludf.DUMMYFUNCTION("""COMPUTED_VALUE"""),"T31")</f>
        <v>T31</v>
      </c>
      <c r="K11" s="11" t="str">
        <f>IFERROR(__xludf.DUMMYFUNCTION("""COMPUTED_VALUE"""),"T30")</f>
        <v>T30</v>
      </c>
      <c r="L11" s="11" t="str">
        <f>IFERROR(__xludf.DUMMYFUNCTION("""COMPUTED_VALUE"""),"T29")</f>
        <v>T29</v>
      </c>
      <c r="M11" s="11" t="str">
        <f>IFERROR(__xludf.DUMMYFUNCTION("""COMPUTED_VALUE"""),"T23")</f>
        <v>T23</v>
      </c>
      <c r="N11" s="11" t="str">
        <f>IFERROR(__xludf.DUMMYFUNCTION("""COMPUTED_VALUE"""),"T24")</f>
        <v>T24</v>
      </c>
      <c r="O11" s="11" t="str">
        <f>IFERROR(__xludf.DUMMYFUNCTION("""COMPUTED_VALUE"""),"")</f>
        <v/>
      </c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>
      <c r="A12" s="7">
        <v>11.0</v>
      </c>
      <c r="B12" s="8" t="s">
        <v>24</v>
      </c>
      <c r="C12" s="9" t="s">
        <v>25</v>
      </c>
      <c r="D12" s="10" t="s">
        <v>24</v>
      </c>
      <c r="E12" s="11" t="str">
        <f>IFERROR(__xludf.DUMMYFUNCTION("UNIQUE('Draft 3'!E12:AB12,TRUE)"),"T19")</f>
        <v>T19</v>
      </c>
      <c r="F12" s="11" t="str">
        <f>IFERROR(__xludf.DUMMYFUNCTION("""COMPUTED_VALUE"""),"")</f>
        <v/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>
      <c r="A13" s="7">
        <v>12.0</v>
      </c>
      <c r="B13" s="8" t="s">
        <v>26</v>
      </c>
      <c r="C13" s="9" t="s">
        <v>27</v>
      </c>
      <c r="D13" s="10" t="s">
        <v>26</v>
      </c>
      <c r="E13" s="11" t="str">
        <f>IFERROR(__xludf.DUMMYFUNCTION("UNIQUE('Draft 3'!E13:AB13,TRUE)"),"T31")</f>
        <v>T31</v>
      </c>
      <c r="F13" s="11" t="str">
        <f>IFERROR(__xludf.DUMMYFUNCTION("""COMPUTED_VALUE"""),"T32")</f>
        <v>T32</v>
      </c>
      <c r="G13" s="11" t="str">
        <f>IFERROR(__xludf.DUMMYFUNCTION("""COMPUTED_VALUE"""),"")</f>
        <v/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>
      <c r="A14" s="7">
        <v>13.0</v>
      </c>
      <c r="B14" s="8" t="s">
        <v>28</v>
      </c>
      <c r="C14" s="9" t="s">
        <v>29</v>
      </c>
      <c r="D14" s="10" t="s">
        <v>28</v>
      </c>
      <c r="E14" s="11" t="str">
        <f>IFERROR(__xludf.DUMMYFUNCTION("UNIQUE('Draft 3'!E14:AB14,TRUE)"),"T1")</f>
        <v>T1</v>
      </c>
      <c r="F14" s="11" t="str">
        <f>IFERROR(__xludf.DUMMYFUNCTION("""COMPUTED_VALUE"""),"T2")</f>
        <v>T2</v>
      </c>
      <c r="G14" s="11" t="str">
        <f>IFERROR(__xludf.DUMMYFUNCTION("""COMPUTED_VALUE"""),"T3")</f>
        <v>T3</v>
      </c>
      <c r="H14" s="11" t="str">
        <f>IFERROR(__xludf.DUMMYFUNCTION("""COMPUTED_VALUE"""),"T4")</f>
        <v>T4</v>
      </c>
      <c r="I14" s="11" t="str">
        <f>IFERROR(__xludf.DUMMYFUNCTION("""COMPUTED_VALUE"""),"")</f>
        <v/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>
      <c r="A15" s="7">
        <v>14.0</v>
      </c>
      <c r="B15" s="8" t="s">
        <v>30</v>
      </c>
      <c r="C15" s="9" t="s">
        <v>31</v>
      </c>
      <c r="D15" s="10" t="s">
        <v>30</v>
      </c>
      <c r="E15" s="11" t="str">
        <f>IFERROR(__xludf.DUMMYFUNCTION("UNIQUE('Draft 3'!E15:AB15,TRUE)"),"T1")</f>
        <v>T1</v>
      </c>
      <c r="F15" s="11" t="str">
        <f>IFERROR(__xludf.DUMMYFUNCTION("""COMPUTED_VALUE"""),"T2")</f>
        <v>T2</v>
      </c>
      <c r="G15" s="11" t="str">
        <f>IFERROR(__xludf.DUMMYFUNCTION("""COMPUTED_VALUE"""),"T3")</f>
        <v>T3</v>
      </c>
      <c r="H15" s="11" t="str">
        <f>IFERROR(__xludf.DUMMYFUNCTION("""COMPUTED_VALUE"""),"T4")</f>
        <v>T4</v>
      </c>
      <c r="I15" s="11" t="str">
        <f>IFERROR(__xludf.DUMMYFUNCTION("""COMPUTED_VALUE"""),"")</f>
        <v/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>
      <c r="A16" s="7">
        <v>15.0</v>
      </c>
      <c r="B16" s="8" t="s">
        <v>32</v>
      </c>
      <c r="C16" s="9" t="s">
        <v>33</v>
      </c>
      <c r="D16" s="10" t="s">
        <v>32</v>
      </c>
      <c r="E16" s="11" t="str">
        <f>IFERROR(__xludf.DUMMYFUNCTION("UNIQUE('Draft 3'!E16:AB16,TRUE)"),"T9")</f>
        <v>T9</v>
      </c>
      <c r="F16" s="11" t="str">
        <f>IFERROR(__xludf.DUMMYFUNCTION("""COMPUTED_VALUE"""),"T7")</f>
        <v>T7</v>
      </c>
      <c r="G16" s="11" t="str">
        <f>IFERROR(__xludf.DUMMYFUNCTION("""COMPUTED_VALUE"""),"T10")</f>
        <v>T10</v>
      </c>
      <c r="H16" s="11" t="str">
        <f>IFERROR(__xludf.DUMMYFUNCTION("""COMPUTED_VALUE"""),"T11")</f>
        <v>T11</v>
      </c>
      <c r="I16" s="11" t="str">
        <f>IFERROR(__xludf.DUMMYFUNCTION("""COMPUTED_VALUE"""),"T27")</f>
        <v>T27</v>
      </c>
      <c r="J16" s="11" t="str">
        <f>IFERROR(__xludf.DUMMYFUNCTION("""COMPUTED_VALUE"""),"T32")</f>
        <v>T32</v>
      </c>
      <c r="K16" s="11" t="str">
        <f>IFERROR(__xludf.DUMMYFUNCTION("""COMPUTED_VALUE"""),"T22")</f>
        <v>T22</v>
      </c>
      <c r="L16" s="11" t="str">
        <f>IFERROR(__xludf.DUMMYFUNCTION("""COMPUTED_VALUE"""),"T30")</f>
        <v>T30</v>
      </c>
      <c r="M16" s="11" t="str">
        <f>IFERROR(__xludf.DUMMYFUNCTION("""COMPUTED_VALUE"""),"T29")</f>
        <v>T29</v>
      </c>
      <c r="N16" s="11" t="str">
        <f>IFERROR(__xludf.DUMMYFUNCTION("""COMPUTED_VALUE"""),"T31")</f>
        <v>T31</v>
      </c>
      <c r="O16" s="11" t="str">
        <f>IFERROR(__xludf.DUMMYFUNCTION("""COMPUTED_VALUE"""),"T23")</f>
        <v>T23</v>
      </c>
      <c r="P16" s="11" t="str">
        <f>IFERROR(__xludf.DUMMYFUNCTION("""COMPUTED_VALUE"""),"T24")</f>
        <v>T24</v>
      </c>
      <c r="Q16" s="11" t="str">
        <f>IFERROR(__xludf.DUMMYFUNCTION("""COMPUTED_VALUE"""),"T4")</f>
        <v>T4</v>
      </c>
      <c r="R16" s="11" t="str">
        <f>IFERROR(__xludf.DUMMYFUNCTION("""COMPUTED_VALUE"""),"")</f>
        <v/>
      </c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>
      <c r="A17" s="7">
        <v>16.0</v>
      </c>
      <c r="B17" s="8" t="s">
        <v>34</v>
      </c>
      <c r="C17" s="9" t="s">
        <v>35</v>
      </c>
      <c r="D17" s="10" t="s">
        <v>34</v>
      </c>
      <c r="E17" s="11" t="str">
        <f>IFERROR(__xludf.DUMMYFUNCTION("UNIQUE('Draft 3'!E17:AB17,TRUE)"),"T9")</f>
        <v>T9</v>
      </c>
      <c r="F17" s="11" t="str">
        <f>IFERROR(__xludf.DUMMYFUNCTION("""COMPUTED_VALUE"""),"T7")</f>
        <v>T7</v>
      </c>
      <c r="G17" s="11" t="str">
        <f>IFERROR(__xludf.DUMMYFUNCTION("""COMPUTED_VALUE"""),"T10")</f>
        <v>T10</v>
      </c>
      <c r="H17" s="11" t="str">
        <f>IFERROR(__xludf.DUMMYFUNCTION("""COMPUTED_VALUE"""),"T11")</f>
        <v>T11</v>
      </c>
      <c r="I17" s="11" t="str">
        <f>IFERROR(__xludf.DUMMYFUNCTION("""COMPUTED_VALUE"""),"T22")</f>
        <v>T22</v>
      </c>
      <c r="J17" s="11" t="str">
        <f>IFERROR(__xludf.DUMMYFUNCTION("""COMPUTED_VALUE"""),"T31")</f>
        <v>T31</v>
      </c>
      <c r="K17" s="11" t="str">
        <f>IFERROR(__xludf.DUMMYFUNCTION("""COMPUTED_VALUE"""),"T30")</f>
        <v>T30</v>
      </c>
      <c r="L17" s="11" t="str">
        <f>IFERROR(__xludf.DUMMYFUNCTION("""COMPUTED_VALUE"""),"T29")</f>
        <v>T29</v>
      </c>
      <c r="M17" s="11" t="str">
        <f>IFERROR(__xludf.DUMMYFUNCTION("""COMPUTED_VALUE"""),"T23")</f>
        <v>T23</v>
      </c>
      <c r="N17" s="11" t="str">
        <f>IFERROR(__xludf.DUMMYFUNCTION("""COMPUTED_VALUE"""),"T24")</f>
        <v>T24</v>
      </c>
      <c r="O17" s="11" t="str">
        <f>IFERROR(__xludf.DUMMYFUNCTION("""COMPUTED_VALUE"""),"T4")</f>
        <v>T4</v>
      </c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>
      <c r="A18" s="7">
        <v>19.0</v>
      </c>
      <c r="B18" s="8" t="s">
        <v>36</v>
      </c>
      <c r="C18" s="9" t="s">
        <v>37</v>
      </c>
      <c r="D18" s="10" t="s">
        <v>36</v>
      </c>
      <c r="E18" s="11" t="str">
        <f>IFERROR(__xludf.DUMMYFUNCTION("UNIQUE('Draft 3'!E18:AB18,TRUE)"),"T32")</f>
        <v>T32</v>
      </c>
      <c r="F18" s="11" t="str">
        <f>IFERROR(__xludf.DUMMYFUNCTION("""COMPUTED_VALUE"""),"")</f>
        <v/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>
      <c r="A19" s="7">
        <v>20.0</v>
      </c>
      <c r="B19" s="8" t="s">
        <v>38</v>
      </c>
      <c r="C19" s="9" t="s">
        <v>39</v>
      </c>
      <c r="D19" s="10" t="s">
        <v>38</v>
      </c>
      <c r="E19" s="11" t="str">
        <f>IFERROR(__xludf.DUMMYFUNCTION("UNIQUE('Draft 3'!E19:AB19,TRUE)"),"T20")</f>
        <v>T20</v>
      </c>
      <c r="F19" s="11" t="str">
        <f>IFERROR(__xludf.DUMMYFUNCTION("""COMPUTED_VALUE"""),"T31")</f>
        <v>T31</v>
      </c>
      <c r="G19" s="11" t="str">
        <f>IFERROR(__xludf.DUMMYFUNCTION("""COMPUTED_VALUE"""),"T32")</f>
        <v>T32</v>
      </c>
      <c r="H19" s="11" t="str">
        <f>IFERROR(__xludf.DUMMYFUNCTION("""COMPUTED_VALUE"""),"")</f>
        <v/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>
      <c r="A20" s="7">
        <v>21.0</v>
      </c>
      <c r="B20" s="8" t="s">
        <v>40</v>
      </c>
      <c r="C20" s="9" t="s">
        <v>41</v>
      </c>
      <c r="D20" s="10" t="s">
        <v>40</v>
      </c>
      <c r="E20" s="11" t="str">
        <f>IFERROR(__xludf.DUMMYFUNCTION("UNIQUE('Draft 3'!E20:AB20,TRUE)"),"T21")</f>
        <v>T21</v>
      </c>
      <c r="F20" s="11" t="str">
        <f>IFERROR(__xludf.DUMMYFUNCTION("""COMPUTED_VALUE"""),"T31")</f>
        <v>T31</v>
      </c>
      <c r="G20" s="11" t="str">
        <f>IFERROR(__xludf.DUMMYFUNCTION("""COMPUTED_VALUE"""),"T32")</f>
        <v>T32</v>
      </c>
      <c r="H20" s="11" t="str">
        <f>IFERROR(__xludf.DUMMYFUNCTION("""COMPUTED_VALUE"""),"")</f>
        <v/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>
      <c r="A21" s="7">
        <v>22.0</v>
      </c>
      <c r="B21" s="8" t="s">
        <v>42</v>
      </c>
      <c r="C21" s="9" t="s">
        <v>43</v>
      </c>
      <c r="D21" s="10" t="s">
        <v>42</v>
      </c>
      <c r="E21" s="11" t="str">
        <f>IFERROR(__xludf.DUMMYFUNCTION("UNIQUE('Draft 3'!E21:AB21,TRUE)"),"T15")</f>
        <v>T15</v>
      </c>
      <c r="F21" s="11" t="str">
        <f>IFERROR(__xludf.DUMMYFUNCTION("""COMPUTED_VALUE"""),"T14")</f>
        <v>T14</v>
      </c>
      <c r="G21" s="11" t="str">
        <f>IFERROR(__xludf.DUMMYFUNCTION("""COMPUTED_VALUE"""),"T13")</f>
        <v>T13</v>
      </c>
      <c r="H21" s="11" t="str">
        <f>IFERROR(__xludf.DUMMYFUNCTION("""COMPUTED_VALUE"""),"T12")</f>
        <v>T12</v>
      </c>
      <c r="I21" s="11" t="str">
        <f>IFERROR(__xludf.DUMMYFUNCTION("""COMPUTED_VALUE"""),"T31")</f>
        <v>T31</v>
      </c>
      <c r="J21" s="11" t="str">
        <f>IFERROR(__xludf.DUMMYFUNCTION("""COMPUTED_VALUE"""),"T2")</f>
        <v>T2</v>
      </c>
      <c r="K21" s="11" t="str">
        <f>IFERROR(__xludf.DUMMYFUNCTION("""COMPUTED_VALUE"""),"T4")</f>
        <v>T4</v>
      </c>
      <c r="L21" s="11" t="str">
        <f>IFERROR(__xludf.DUMMYFUNCTION("""COMPUTED_VALUE"""),"T30")</f>
        <v>T30</v>
      </c>
      <c r="M21" s="11" t="str">
        <f>IFERROR(__xludf.DUMMYFUNCTION("""COMPUTED_VALUE"""),"T29")</f>
        <v>T29</v>
      </c>
      <c r="N21" s="11" t="str">
        <f>IFERROR(__xludf.DUMMYFUNCTION("""COMPUTED_VALUE"""),"T16")</f>
        <v>T16</v>
      </c>
      <c r="O21" s="11" t="str">
        <f>IFERROR(__xludf.DUMMYFUNCTION("""COMPUTED_VALUE"""),"T17")</f>
        <v>T17</v>
      </c>
      <c r="P21" s="11" t="str">
        <f>IFERROR(__xludf.DUMMYFUNCTION("""COMPUTED_VALUE"""),"")</f>
        <v/>
      </c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>
      <c r="A22" s="7">
        <v>23.0</v>
      </c>
      <c r="B22" s="8" t="s">
        <v>44</v>
      </c>
      <c r="C22" s="9" t="s">
        <v>45</v>
      </c>
      <c r="D22" s="10" t="s">
        <v>44</v>
      </c>
      <c r="E22" s="11" t="str">
        <f>IFERROR(__xludf.DUMMYFUNCTION("UNIQUE('Draft 3'!E22:AB22,TRUE)"),"")</f>
        <v/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>
      <c r="A23" s="7">
        <v>24.0</v>
      </c>
      <c r="B23" s="8" t="s">
        <v>46</v>
      </c>
      <c r="C23" s="9" t="s">
        <v>47</v>
      </c>
      <c r="D23" s="10" t="s">
        <v>46</v>
      </c>
      <c r="E23" s="11" t="str">
        <f>IFERROR(__xludf.DUMMYFUNCTION("UNIQUE('Draft 3'!E23:AB23,TRUE)"),"")</f>
        <v/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>
      <c r="A24" s="7">
        <v>25.0</v>
      </c>
      <c r="B24" s="8" t="s">
        <v>48</v>
      </c>
      <c r="C24" s="9" t="s">
        <v>49</v>
      </c>
      <c r="D24" s="10" t="s">
        <v>48</v>
      </c>
      <c r="E24" s="11" t="str">
        <f>IFERROR(__xludf.DUMMYFUNCTION("UNIQUE('Draft 3'!E24:AB24,TRUE)"),"")</f>
        <v/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>
      <c r="A25" s="7">
        <v>26.0</v>
      </c>
      <c r="B25" s="8" t="s">
        <v>50</v>
      </c>
      <c r="C25" s="9" t="s">
        <v>51</v>
      </c>
      <c r="D25" s="10" t="s">
        <v>50</v>
      </c>
      <c r="E25" s="11" t="str">
        <f>IFERROR(__xludf.DUMMYFUNCTION("UNIQUE('Draft 3'!E25:AB25,TRUE)"),"")</f>
        <v/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>
      <c r="A26" s="7">
        <v>27.0</v>
      </c>
      <c r="B26" s="8" t="s">
        <v>52</v>
      </c>
      <c r="C26" s="9" t="s">
        <v>53</v>
      </c>
      <c r="D26" s="10" t="s">
        <v>52</v>
      </c>
      <c r="E26" s="11" t="str">
        <f>IFERROR(__xludf.DUMMYFUNCTION("UNIQUE('Draft 3'!E26:AB26,TRUE)"),"")</f>
        <v/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>
      <c r="A27" s="7">
        <v>28.0</v>
      </c>
      <c r="B27" s="8" t="s">
        <v>54</v>
      </c>
      <c r="C27" s="9" t="s">
        <v>55</v>
      </c>
      <c r="D27" s="10" t="s">
        <v>54</v>
      </c>
      <c r="E27" s="11" t="str">
        <f>IFERROR(__xludf.DUMMYFUNCTION("UNIQUE('Draft 3'!E27:AB27,TRUE)"),"")</f>
        <v/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>
      <c r="A28" s="7">
        <v>29.0</v>
      </c>
      <c r="B28" s="8" t="s">
        <v>56</v>
      </c>
      <c r="C28" s="9" t="s">
        <v>57</v>
      </c>
      <c r="D28" s="10" t="s">
        <v>56</v>
      </c>
      <c r="E28" s="11" t="str">
        <f>IFERROR(__xludf.DUMMYFUNCTION("UNIQUE('Draft 3'!E28:AB28,TRUE)"),"T16")</f>
        <v>T16</v>
      </c>
      <c r="F28" s="11" t="str">
        <f>IFERROR(__xludf.DUMMYFUNCTION("""COMPUTED_VALUE"""),"T27")</f>
        <v>T27</v>
      </c>
      <c r="G28" s="11" t="str">
        <f>IFERROR(__xludf.DUMMYFUNCTION("""COMPUTED_VALUE"""),"T26")</f>
        <v>T26</v>
      </c>
      <c r="H28" s="11" t="str">
        <f>IFERROR(__xludf.DUMMYFUNCTION("""COMPUTED_VALUE"""),"T25")</f>
        <v>T25</v>
      </c>
      <c r="I28" s="11" t="str">
        <f>IFERROR(__xludf.DUMMYFUNCTION("""COMPUTED_VALUE"""),"T30")</f>
        <v>T30</v>
      </c>
      <c r="J28" s="11" t="str">
        <f>IFERROR(__xludf.DUMMYFUNCTION("""COMPUTED_VALUE"""),"T29")</f>
        <v>T29</v>
      </c>
      <c r="K28" s="11" t="str">
        <f>IFERROR(__xludf.DUMMYFUNCTION("""COMPUTED_VALUE"""),"T31")</f>
        <v>T31</v>
      </c>
      <c r="L28" s="11" t="str">
        <f>IFERROR(__xludf.DUMMYFUNCTION("""COMPUTED_VALUE"""),"")</f>
        <v/>
      </c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>
      <c r="A29" s="7">
        <v>30.0</v>
      </c>
      <c r="B29" s="8" t="s">
        <v>58</v>
      </c>
      <c r="C29" s="9" t="s">
        <v>59</v>
      </c>
      <c r="D29" s="10" t="s">
        <v>58</v>
      </c>
      <c r="E29" s="11" t="str">
        <f>IFERROR(__xludf.DUMMYFUNCTION("UNIQUE('Draft 3'!E29:AB29,TRUE)"),"T16")</f>
        <v>T16</v>
      </c>
      <c r="F29" s="11" t="str">
        <f>IFERROR(__xludf.DUMMYFUNCTION("""COMPUTED_VALUE"""),"T31")</f>
        <v>T31</v>
      </c>
      <c r="G29" s="11" t="str">
        <f>IFERROR(__xludf.DUMMYFUNCTION("""COMPUTED_VALUE"""),"T27")</f>
        <v>T27</v>
      </c>
      <c r="H29" s="11" t="str">
        <f>IFERROR(__xludf.DUMMYFUNCTION("""COMPUTED_VALUE"""),"T26")</f>
        <v>T26</v>
      </c>
      <c r="I29" s="11" t="str">
        <f>IFERROR(__xludf.DUMMYFUNCTION("""COMPUTED_VALUE"""),"T25")</f>
        <v>T25</v>
      </c>
      <c r="J29" s="11" t="str">
        <f>IFERROR(__xludf.DUMMYFUNCTION("""COMPUTED_VALUE"""),"T30")</f>
        <v>T30</v>
      </c>
      <c r="K29" s="11" t="str">
        <f>IFERROR(__xludf.DUMMYFUNCTION("""COMPUTED_VALUE"""),"T29")</f>
        <v>T29</v>
      </c>
      <c r="L29" s="11" t="str">
        <f>IFERROR(__xludf.DUMMYFUNCTION("""COMPUTED_VALUE"""),"")</f>
        <v/>
      </c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>
      <c r="A30" s="7">
        <v>31.0</v>
      </c>
      <c r="B30" s="8" t="s">
        <v>60</v>
      </c>
      <c r="C30" s="9" t="s">
        <v>61</v>
      </c>
      <c r="D30" s="10" t="s">
        <v>60</v>
      </c>
      <c r="E30" s="11" t="str">
        <f>IFERROR(__xludf.DUMMYFUNCTION("UNIQUE('Draft 3'!E30:AB30,TRUE)"),"T4")</f>
        <v>T4</v>
      </c>
      <c r="F30" s="11" t="str">
        <f>IFERROR(__xludf.DUMMYFUNCTION("""COMPUTED_VALUE"""),"T28")</f>
        <v>T28</v>
      </c>
      <c r="G30" s="11" t="str">
        <f>IFERROR(__xludf.DUMMYFUNCTION("""COMPUTED_VALUE"""),"")</f>
        <v/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>
      <c r="A31" s="7">
        <v>32.0</v>
      </c>
      <c r="B31" s="8" t="s">
        <v>62</v>
      </c>
      <c r="C31" s="9" t="s">
        <v>63</v>
      </c>
      <c r="D31" s="10" t="s">
        <v>62</v>
      </c>
      <c r="E31" s="11" t="str">
        <f>IFERROR(__xludf.DUMMYFUNCTION("UNIQUE('Draft 3'!E31:AB31,TRUE)"),"T4")</f>
        <v>T4</v>
      </c>
      <c r="F31" s="11" t="str">
        <f>IFERROR(__xludf.DUMMYFUNCTION("""COMPUTED_VALUE"""),"T28")</f>
        <v>T28</v>
      </c>
      <c r="G31" s="11" t="str">
        <f>IFERROR(__xludf.DUMMYFUNCTION("""COMPUTED_VALUE"""),"")</f>
        <v/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>
      <c r="A32" s="7">
        <v>33.0</v>
      </c>
      <c r="B32" s="8" t="s">
        <v>64</v>
      </c>
      <c r="C32" s="9" t="s">
        <v>65</v>
      </c>
      <c r="D32" s="10" t="s">
        <v>64</v>
      </c>
      <c r="E32" s="11" t="str">
        <f>IFERROR(__xludf.DUMMYFUNCTION("UNIQUE('Draft 3'!E32:AB32,TRUE)"),"T10")</f>
        <v>T10</v>
      </c>
      <c r="F32" s="11" t="str">
        <f>IFERROR(__xludf.DUMMYFUNCTION("""COMPUTED_VALUE"""),"T11")</f>
        <v>T11</v>
      </c>
      <c r="G32" s="11" t="str">
        <f>IFERROR(__xludf.DUMMYFUNCTION("""COMPUTED_VALUE"""),"T9")</f>
        <v>T9</v>
      </c>
      <c r="H32" s="11" t="str">
        <f>IFERROR(__xludf.DUMMYFUNCTION("""COMPUTED_VALUE"""),"T7")</f>
        <v>T7</v>
      </c>
      <c r="I32" s="11" t="str">
        <f>IFERROR(__xludf.DUMMYFUNCTION("""COMPUTED_VALUE"""),"T22")</f>
        <v>T22</v>
      </c>
      <c r="J32" s="11" t="str">
        <f>IFERROR(__xludf.DUMMYFUNCTION("""COMPUTED_VALUE"""),"T31")</f>
        <v>T31</v>
      </c>
      <c r="K32" s="11" t="str">
        <f>IFERROR(__xludf.DUMMYFUNCTION("""COMPUTED_VALUE"""),"T30")</f>
        <v>T30</v>
      </c>
      <c r="L32" s="11" t="str">
        <f>IFERROR(__xludf.DUMMYFUNCTION("""COMPUTED_VALUE"""),"T29")</f>
        <v>T29</v>
      </c>
      <c r="M32" s="11" t="str">
        <f>IFERROR(__xludf.DUMMYFUNCTION("""COMPUTED_VALUE"""),"T23")</f>
        <v>T23</v>
      </c>
      <c r="N32" s="11" t="str">
        <f>IFERROR(__xludf.DUMMYFUNCTION("""COMPUTED_VALUE"""),"T24")</f>
        <v>T24</v>
      </c>
      <c r="O32" s="11" t="str">
        <f>IFERROR(__xludf.DUMMYFUNCTION("""COMPUTED_VALUE"""),"")</f>
        <v/>
      </c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>
      <c r="A33" s="7">
        <v>34.0</v>
      </c>
      <c r="B33" s="8" t="s">
        <v>66</v>
      </c>
      <c r="C33" s="9" t="s">
        <v>67</v>
      </c>
      <c r="D33" s="10" t="s">
        <v>66</v>
      </c>
      <c r="E33" s="11" t="str">
        <f>IFERROR(__xludf.DUMMYFUNCTION("UNIQUE('Draft 3'!E33:AB33,TRUE)"),"T10")</f>
        <v>T10</v>
      </c>
      <c r="F33" s="11" t="str">
        <f>IFERROR(__xludf.DUMMYFUNCTION("""COMPUTED_VALUE"""),"T11")</f>
        <v>T11</v>
      </c>
      <c r="G33" s="11" t="str">
        <f>IFERROR(__xludf.DUMMYFUNCTION("""COMPUTED_VALUE"""),"T9")</f>
        <v>T9</v>
      </c>
      <c r="H33" s="11" t="str">
        <f>IFERROR(__xludf.DUMMYFUNCTION("""COMPUTED_VALUE"""),"T7")</f>
        <v>T7</v>
      </c>
      <c r="I33" s="11" t="str">
        <f>IFERROR(__xludf.DUMMYFUNCTION("""COMPUTED_VALUE"""),"T31")</f>
        <v>T31</v>
      </c>
      <c r="J33" s="11" t="str">
        <f>IFERROR(__xludf.DUMMYFUNCTION("""COMPUTED_VALUE"""),"T30")</f>
        <v>T30</v>
      </c>
      <c r="K33" s="11" t="str">
        <f>IFERROR(__xludf.DUMMYFUNCTION("""COMPUTED_VALUE"""),"T22")</f>
        <v>T22</v>
      </c>
      <c r="L33" s="11" t="str">
        <f>IFERROR(__xludf.DUMMYFUNCTION("""COMPUTED_VALUE"""),"T29")</f>
        <v>T29</v>
      </c>
      <c r="M33" s="11" t="str">
        <f>IFERROR(__xludf.DUMMYFUNCTION("""COMPUTED_VALUE"""),"T23")</f>
        <v>T23</v>
      </c>
      <c r="N33" s="11" t="str">
        <f>IFERROR(__xludf.DUMMYFUNCTION("""COMPUTED_VALUE"""),"T24")</f>
        <v>T24</v>
      </c>
      <c r="O33" s="11" t="str">
        <f>IFERROR(__xludf.DUMMYFUNCTION("""COMPUTED_VALUE"""),"")</f>
        <v/>
      </c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>
      <c r="A34" s="7">
        <v>35.0</v>
      </c>
      <c r="B34" s="8" t="s">
        <v>68</v>
      </c>
      <c r="C34" s="9" t="s">
        <v>69</v>
      </c>
      <c r="D34" s="10" t="s">
        <v>68</v>
      </c>
      <c r="E34" s="11" t="str">
        <f>IFERROR(__xludf.DUMMYFUNCTION("UNIQUE('Draft 3'!E34:AB34,TRUE)"),"T10")</f>
        <v>T10</v>
      </c>
      <c r="F34" s="11" t="str">
        <f>IFERROR(__xludf.DUMMYFUNCTION("""COMPUTED_VALUE"""),"T11")</f>
        <v>T11</v>
      </c>
      <c r="G34" s="11" t="str">
        <f>IFERROR(__xludf.DUMMYFUNCTION("""COMPUTED_VALUE"""),"T9")</f>
        <v>T9</v>
      </c>
      <c r="H34" s="11" t="str">
        <f>IFERROR(__xludf.DUMMYFUNCTION("""COMPUTED_VALUE"""),"T7")</f>
        <v>T7</v>
      </c>
      <c r="I34" s="11" t="str">
        <f>IFERROR(__xludf.DUMMYFUNCTION("""COMPUTED_VALUE"""),"T27")</f>
        <v>T27</v>
      </c>
      <c r="J34" s="11" t="str">
        <f>IFERROR(__xludf.DUMMYFUNCTION("""COMPUTED_VALUE"""),"T32")</f>
        <v>T32</v>
      </c>
      <c r="K34" s="11" t="str">
        <f>IFERROR(__xludf.DUMMYFUNCTION("""COMPUTED_VALUE"""),"T22")</f>
        <v>T22</v>
      </c>
      <c r="L34" s="11" t="str">
        <f>IFERROR(__xludf.DUMMYFUNCTION("""COMPUTED_VALUE"""),"T30")</f>
        <v>T30</v>
      </c>
      <c r="M34" s="11" t="str">
        <f>IFERROR(__xludf.DUMMYFUNCTION("""COMPUTED_VALUE"""),"T29")</f>
        <v>T29</v>
      </c>
      <c r="N34" s="11" t="str">
        <f>IFERROR(__xludf.DUMMYFUNCTION("""COMPUTED_VALUE"""),"T31")</f>
        <v>T31</v>
      </c>
      <c r="O34" s="11" t="str">
        <f>IFERROR(__xludf.DUMMYFUNCTION("""COMPUTED_VALUE"""),"T23")</f>
        <v>T23</v>
      </c>
      <c r="P34" s="11" t="str">
        <f>IFERROR(__xludf.DUMMYFUNCTION("""COMPUTED_VALUE"""),"T24")</f>
        <v>T24</v>
      </c>
      <c r="Q34" s="11" t="str">
        <f>IFERROR(__xludf.DUMMYFUNCTION("""COMPUTED_VALUE"""),"")</f>
        <v/>
      </c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>
      <c r="A35" s="7">
        <v>36.0</v>
      </c>
      <c r="B35" s="8" t="s">
        <v>70</v>
      </c>
      <c r="C35" s="9" t="s">
        <v>71</v>
      </c>
      <c r="D35" s="10" t="s">
        <v>70</v>
      </c>
      <c r="E35" s="11" t="str">
        <f>IFERROR(__xludf.DUMMYFUNCTION("UNIQUE('Draft 3'!E35:AB35,TRUE)"),"T10")</f>
        <v>T10</v>
      </c>
      <c r="F35" s="11" t="str">
        <f>IFERROR(__xludf.DUMMYFUNCTION("""COMPUTED_VALUE"""),"T11")</f>
        <v>T11</v>
      </c>
      <c r="G35" s="11" t="str">
        <f>IFERROR(__xludf.DUMMYFUNCTION("""COMPUTED_VALUE"""),"T9")</f>
        <v>T9</v>
      </c>
      <c r="H35" s="11" t="str">
        <f>IFERROR(__xludf.DUMMYFUNCTION("""COMPUTED_VALUE"""),"T7")</f>
        <v>T7</v>
      </c>
      <c r="I35" s="11" t="str">
        <f>IFERROR(__xludf.DUMMYFUNCTION("""COMPUTED_VALUE"""),"T27")</f>
        <v>T27</v>
      </c>
      <c r="J35" s="11" t="str">
        <f>IFERROR(__xludf.DUMMYFUNCTION("""COMPUTED_VALUE"""),"T32")</f>
        <v>T32</v>
      </c>
      <c r="K35" s="11" t="str">
        <f>IFERROR(__xludf.DUMMYFUNCTION("""COMPUTED_VALUE"""),"T22")</f>
        <v>T22</v>
      </c>
      <c r="L35" s="11" t="str">
        <f>IFERROR(__xludf.DUMMYFUNCTION("""COMPUTED_VALUE"""),"T30")</f>
        <v>T30</v>
      </c>
      <c r="M35" s="11" t="str">
        <f>IFERROR(__xludf.DUMMYFUNCTION("""COMPUTED_VALUE"""),"T29")</f>
        <v>T29</v>
      </c>
      <c r="N35" s="11" t="str">
        <f>IFERROR(__xludf.DUMMYFUNCTION("""COMPUTED_VALUE"""),"T31")</f>
        <v>T31</v>
      </c>
      <c r="O35" s="11" t="str">
        <f>IFERROR(__xludf.DUMMYFUNCTION("""COMPUTED_VALUE"""),"T23")</f>
        <v>T23</v>
      </c>
      <c r="P35" s="11" t="str">
        <f>IFERROR(__xludf.DUMMYFUNCTION("""COMPUTED_VALUE"""),"T24")</f>
        <v>T24</v>
      </c>
      <c r="Q35" s="11" t="str">
        <f>IFERROR(__xludf.DUMMYFUNCTION("""COMPUTED_VALUE"""),"")</f>
        <v/>
      </c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>
      <c r="A36" s="7">
        <v>37.0</v>
      </c>
      <c r="B36" s="8" t="s">
        <v>72</v>
      </c>
      <c r="C36" s="9" t="s">
        <v>73</v>
      </c>
      <c r="D36" s="10" t="s">
        <v>72</v>
      </c>
      <c r="E36" s="11" t="str">
        <f>IFERROR(__xludf.DUMMYFUNCTION("UNIQUE('Draft 3'!E36:AB36,TRUE)"),"T5")</f>
        <v>T5</v>
      </c>
      <c r="F36" s="11" t="str">
        <f>IFERROR(__xludf.DUMMYFUNCTION("""COMPUTED_VALUE"""),"T6")</f>
        <v>T6</v>
      </c>
      <c r="G36" s="11" t="str">
        <f>IFERROR(__xludf.DUMMYFUNCTION("""COMPUTED_VALUE"""),"T4")</f>
        <v>T4</v>
      </c>
      <c r="H36" s="11" t="str">
        <f>IFERROR(__xludf.DUMMYFUNCTION("""COMPUTED_VALUE"""),"")</f>
        <v/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>
      <c r="A37" s="7">
        <v>38.0</v>
      </c>
      <c r="B37" s="8" t="s">
        <v>74</v>
      </c>
      <c r="C37" s="9" t="s">
        <v>75</v>
      </c>
      <c r="D37" s="10" t="s">
        <v>74</v>
      </c>
      <c r="E37" s="11" t="str">
        <f>IFERROR(__xludf.DUMMYFUNCTION("UNIQUE('Draft 3'!E37:AB37,TRUE)"),"T31")</f>
        <v>T31</v>
      </c>
      <c r="F37" s="11" t="str">
        <f>IFERROR(__xludf.DUMMYFUNCTION("""COMPUTED_VALUE"""),"T27")</f>
        <v>T27</v>
      </c>
      <c r="G37" s="11" t="str">
        <f>IFERROR(__xludf.DUMMYFUNCTION("""COMPUTED_VALUE"""),"T26")</f>
        <v>T26</v>
      </c>
      <c r="H37" s="11" t="str">
        <f>IFERROR(__xludf.DUMMYFUNCTION("""COMPUTED_VALUE"""),"T25")</f>
        <v>T25</v>
      </c>
      <c r="I37" s="11" t="str">
        <f>IFERROR(__xludf.DUMMYFUNCTION("""COMPUTED_VALUE"""),"")</f>
        <v/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>
      <c r="A38" s="7">
        <v>39.0</v>
      </c>
      <c r="B38" s="8" t="s">
        <v>76</v>
      </c>
      <c r="C38" s="9" t="s">
        <v>77</v>
      </c>
      <c r="D38" s="10" t="s">
        <v>76</v>
      </c>
      <c r="E38" s="11" t="str">
        <f>IFERROR(__xludf.DUMMYFUNCTION("UNIQUE('Draft 3'!E38:AB38,TRUE)"),"T15")</f>
        <v>T15</v>
      </c>
      <c r="F38" s="11" t="str">
        <f>IFERROR(__xludf.DUMMYFUNCTION("""COMPUTED_VALUE"""),"T14")</f>
        <v>T14</v>
      </c>
      <c r="G38" s="11" t="str">
        <f>IFERROR(__xludf.DUMMYFUNCTION("""COMPUTED_VALUE"""),"T12")</f>
        <v>T12</v>
      </c>
      <c r="H38" s="11" t="str">
        <f>IFERROR(__xludf.DUMMYFUNCTION("""COMPUTED_VALUE"""),"T31")</f>
        <v>T31</v>
      </c>
      <c r="I38" s="11" t="str">
        <f>IFERROR(__xludf.DUMMYFUNCTION("""COMPUTED_VALUE"""),"T22")</f>
        <v>T22</v>
      </c>
      <c r="J38" s="11" t="str">
        <f>IFERROR(__xludf.DUMMYFUNCTION("""COMPUTED_VALUE"""),"T13")</f>
        <v>T13</v>
      </c>
      <c r="K38" s="11" t="str">
        <f>IFERROR(__xludf.DUMMYFUNCTION("""COMPUTED_VALUE"""),"T29")</f>
        <v>T29</v>
      </c>
      <c r="L38" s="11" t="str">
        <f>IFERROR(__xludf.DUMMYFUNCTION("""COMPUTED_VALUE"""),"")</f>
        <v/>
      </c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>
      <c r="A39" s="7">
        <v>40.0</v>
      </c>
      <c r="B39" s="8" t="s">
        <v>78</v>
      </c>
      <c r="C39" s="9" t="s">
        <v>79</v>
      </c>
      <c r="D39" s="10" t="s">
        <v>78</v>
      </c>
      <c r="E39" s="11" t="str">
        <f>IFERROR(__xludf.DUMMYFUNCTION("UNIQUE('Draft 3'!E39:AB39,TRUE)"),"T9")</f>
        <v>T9</v>
      </c>
      <c r="F39" s="11" t="str">
        <f>IFERROR(__xludf.DUMMYFUNCTION("""COMPUTED_VALUE"""),"T7")</f>
        <v>T7</v>
      </c>
      <c r="G39" s="11" t="str">
        <f>IFERROR(__xludf.DUMMYFUNCTION("""COMPUTED_VALUE"""),"T10")</f>
        <v>T10</v>
      </c>
      <c r="H39" s="11" t="str">
        <f>IFERROR(__xludf.DUMMYFUNCTION("""COMPUTED_VALUE"""),"T11")</f>
        <v>T11</v>
      </c>
      <c r="I39" s="11" t="str">
        <f>IFERROR(__xludf.DUMMYFUNCTION("""COMPUTED_VALUE"""),"T27")</f>
        <v>T27</v>
      </c>
      <c r="J39" s="11" t="str">
        <f>IFERROR(__xludf.DUMMYFUNCTION("""COMPUTED_VALUE"""),"T32")</f>
        <v>T32</v>
      </c>
      <c r="K39" s="11" t="str">
        <f>IFERROR(__xludf.DUMMYFUNCTION("""COMPUTED_VALUE"""),"T22")</f>
        <v>T22</v>
      </c>
      <c r="L39" s="11" t="str">
        <f>IFERROR(__xludf.DUMMYFUNCTION("""COMPUTED_VALUE"""),"T30")</f>
        <v>T30</v>
      </c>
      <c r="M39" s="11" t="str">
        <f>IFERROR(__xludf.DUMMYFUNCTION("""COMPUTED_VALUE"""),"T29")</f>
        <v>T29</v>
      </c>
      <c r="N39" s="11" t="str">
        <f>IFERROR(__xludf.DUMMYFUNCTION("""COMPUTED_VALUE"""),"T31")</f>
        <v>T31</v>
      </c>
      <c r="O39" s="11" t="str">
        <f>IFERROR(__xludf.DUMMYFUNCTION("""COMPUTED_VALUE"""),"T23")</f>
        <v>T23</v>
      </c>
      <c r="P39" s="11" t="str">
        <f>IFERROR(__xludf.DUMMYFUNCTION("""COMPUTED_VALUE"""),"T24")</f>
        <v>T24</v>
      </c>
      <c r="Q39" s="11" t="str">
        <f>IFERROR(__xludf.DUMMYFUNCTION("""COMPUTED_VALUE"""),"")</f>
        <v/>
      </c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>
      <c r="A40" s="7">
        <v>41.0</v>
      </c>
      <c r="B40" s="8" t="s">
        <v>80</v>
      </c>
      <c r="C40" s="9" t="s">
        <v>81</v>
      </c>
      <c r="D40" s="10" t="s">
        <v>80</v>
      </c>
      <c r="E40" s="11" t="str">
        <f>IFERROR(__xludf.DUMMYFUNCTION("UNIQUE('Draft 3'!E40:AB40,TRUE)"),"T18")</f>
        <v>T18</v>
      </c>
      <c r="F40" s="11" t="str">
        <f>IFERROR(__xludf.DUMMYFUNCTION("""COMPUTED_VALUE"""),"")</f>
        <v/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>
      <c r="A41" s="7">
        <v>42.0</v>
      </c>
      <c r="B41" s="8" t="s">
        <v>82</v>
      </c>
      <c r="C41" s="9" t="s">
        <v>83</v>
      </c>
      <c r="D41" s="10" t="s">
        <v>82</v>
      </c>
      <c r="E41" s="11" t="str">
        <f>IFERROR(__xludf.DUMMYFUNCTION("UNIQUE('Draft 3'!E41:AB41,TRUE)"),"T18")</f>
        <v>T18</v>
      </c>
      <c r="F41" s="11" t="str">
        <f>IFERROR(__xludf.DUMMYFUNCTION("""COMPUTED_VALUE"""),"")</f>
        <v/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>
      <c r="A42" s="7">
        <v>43.0</v>
      </c>
      <c r="B42" s="8" t="s">
        <v>84</v>
      </c>
      <c r="C42" s="9" t="s">
        <v>85</v>
      </c>
      <c r="D42" s="10" t="s">
        <v>84</v>
      </c>
      <c r="E42" s="11" t="str">
        <f>IFERROR(__xludf.DUMMYFUNCTION("UNIQUE('Draft 3'!E42:AB42,TRUE)"),"T15")</f>
        <v>T15</v>
      </c>
      <c r="F42" s="11" t="str">
        <f>IFERROR(__xludf.DUMMYFUNCTION("""COMPUTED_VALUE"""),"T14")</f>
        <v>T14</v>
      </c>
      <c r="G42" s="11" t="str">
        <f>IFERROR(__xludf.DUMMYFUNCTION("""COMPUTED_VALUE"""),"T27")</f>
        <v>T27</v>
      </c>
      <c r="H42" s="11" t="str">
        <f>IFERROR(__xludf.DUMMYFUNCTION("""COMPUTED_VALUE"""),"T26")</f>
        <v>T26</v>
      </c>
      <c r="I42" s="11" t="str">
        <f>IFERROR(__xludf.DUMMYFUNCTION("""COMPUTED_VALUE"""),"T25")</f>
        <v>T25</v>
      </c>
      <c r="J42" s="11" t="str">
        <f>IFERROR(__xludf.DUMMYFUNCTION("""COMPUTED_VALUE"""),"T30")</f>
        <v>T30</v>
      </c>
      <c r="K42" s="11" t="str">
        <f>IFERROR(__xludf.DUMMYFUNCTION("""COMPUTED_VALUE"""),"T29")</f>
        <v>T29</v>
      </c>
      <c r="L42" s="11" t="str">
        <f>IFERROR(__xludf.DUMMYFUNCTION("""COMPUTED_VALUE"""),"T31")</f>
        <v>T31</v>
      </c>
      <c r="M42" s="11" t="str">
        <f>IFERROR(__xludf.DUMMYFUNCTION("""COMPUTED_VALUE"""),"T13")</f>
        <v>T13</v>
      </c>
      <c r="N42" s="11" t="str">
        <f>IFERROR(__xludf.DUMMYFUNCTION("""COMPUTED_VALUE"""),"")</f>
        <v/>
      </c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</sheetData>
  <mergeCells count="1">
    <mergeCell ref="E1:AB1"/>
  </mergeCells>
  <conditionalFormatting sqref="E1:AB42">
    <cfRule type="cellIs" dxfId="0" priority="1" operator="equal">
      <formula>"ERR"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3.88"/>
    <col customWidth="1" min="2" max="2" width="5.88"/>
    <col customWidth="1" min="3" max="3" width="20.0"/>
    <col customWidth="1" min="4" max="4" width="5.88"/>
    <col customWidth="1" min="5" max="28" width="7.63"/>
  </cols>
  <sheetData>
    <row r="1">
      <c r="A1" s="1" t="s">
        <v>0</v>
      </c>
      <c r="B1" s="2" t="s">
        <v>1</v>
      </c>
      <c r="C1" s="3" t="s">
        <v>2</v>
      </c>
      <c r="D1" s="4" t="s">
        <v>1</v>
      </c>
      <c r="E1" s="5" t="s">
        <v>86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7">
        <v>1.0</v>
      </c>
      <c r="B2" s="8" t="s">
        <v>4</v>
      </c>
      <c r="C2" s="9" t="s">
        <v>5</v>
      </c>
      <c r="D2" s="10" t="s">
        <v>4</v>
      </c>
      <c r="E2" s="12" t="str">
        <f t="array" ref="E2">IF('Draft 1'!E2="","",IFERROR(INDEX(Index!$B$2:$B$167,MATCH('Draft 1'!E2,Index!$A$2:$A$167,0)),"ERR"))</f>
        <v>R12.1D</v>
      </c>
      <c r="F2" s="12" t="str">
        <f t="array" ref="F2">IF('Draft 1'!F2="","",IFERROR(INDEX(Index!$B$2:$B$167,MATCH('Draft 1'!F2,Index!$A$2:$A$167,0)),"ERR"))</f>
        <v>R14.8D</v>
      </c>
      <c r="G2" s="12" t="str">
        <f t="array" ref="G2">IF('Draft 1'!G2="","",IFERROR(INDEX(Index!$B$2:$B$167,MATCH('Draft 1'!G2,Index!$A$2:$A$167,0)),"ERR"))</f>
        <v>R12.2D</v>
      </c>
      <c r="H2" s="12" t="str">
        <f t="array" ref="H2">IF('Draft 1'!H2="","",IFERROR(INDEX(Index!$B$2:$B$167,MATCH('Draft 1'!H2,Index!$A$2:$A$167,0)),"ERR"))</f>
        <v>R14.7D</v>
      </c>
      <c r="I2" s="12" t="str">
        <f t="array" ref="I2">IF('Draft 1'!I2="","",IFERROR(INDEX(Index!$B$2:$B$167,MATCH('Draft 1'!I2,Index!$A$2:$A$167,0)),"ERR"))</f>
        <v>R29.3D</v>
      </c>
      <c r="J2" s="12" t="str">
        <f t="array" ref="J2">IF('Draft 1'!J2="","",IFERROR(INDEX(Index!$B$2:$B$167,MATCH('Draft 1'!J2,Index!$A$2:$A$167,0)),"ERR"))</f>
        <v>R31.8D</v>
      </c>
      <c r="K2" s="12" t="str">
        <f t="array" ref="K2">IF('Draft 1'!K2="","",IFERROR(INDEX(Index!$B$2:$B$167,MATCH('Draft 1'!K2,Index!$A$2:$A$167,0)),"ERR"))</f>
        <v>R22.3D</v>
      </c>
      <c r="L2" s="12" t="str">
        <f t="array" ref="L2">IF('Draft 1'!L2="","",IFERROR(INDEX(Index!$B$2:$B$167,MATCH('Draft 1'!L2,Index!$A$2:$A$167,0)),"ERR"))</f>
        <v/>
      </c>
      <c r="M2" s="12" t="str">
        <f t="array" ref="M2">IF('Draft 1'!M2="","",IFERROR(INDEX(Index!$B$2:$B$167,MATCH('Draft 1'!M2,Index!$A$2:$A$167,0)),"ERR"))</f>
        <v/>
      </c>
      <c r="N2" s="12" t="str">
        <f t="array" ref="N2">IF('Draft 1'!N2="","",IFERROR(INDEX(Index!$B$2:$B$167,MATCH('Draft 1'!N2,Index!$A$2:$A$167,0)),"ERR"))</f>
        <v/>
      </c>
      <c r="O2" s="12" t="str">
        <f t="array" ref="O2">IF('Draft 1'!O2="","",IFERROR(INDEX(Index!$B$2:$B$167,MATCH('Draft 1'!O2,Index!$A$2:$A$167,0)),"ERR"))</f>
        <v/>
      </c>
      <c r="P2" s="12" t="str">
        <f t="array" ref="P2">IF('Draft 1'!P2="","",IFERROR(INDEX(Index!$B$2:$B$167,MATCH('Draft 1'!P2,Index!$A$2:$A$167,0)),"ERR"))</f>
        <v/>
      </c>
      <c r="Q2" s="12" t="str">
        <f t="array" ref="Q2">IF('Draft 1'!Q2="","",IFERROR(INDEX(Index!$B$2:$B$167,MATCH('Draft 1'!Q2,Index!$A$2:$A$167,0)),"ERR"))</f>
        <v/>
      </c>
      <c r="R2" s="12" t="str">
        <f t="array" ref="R2">IF('Draft 1'!R2="","",IFERROR(INDEX(Index!$B$2:$B$167,MATCH('Draft 1'!R2,Index!$A$2:$A$167,0)),"ERR"))</f>
        <v/>
      </c>
      <c r="S2" s="12" t="str">
        <f t="array" ref="S2">IF('Draft 1'!S2="","",IFERROR(INDEX(Index!$B$2:$B$167,MATCH('Draft 1'!S2,Index!$A$2:$A$167,0)),"ERR"))</f>
        <v/>
      </c>
      <c r="T2" s="12" t="str">
        <f t="array" ref="T2">IF('Draft 1'!T2="","",IFERROR(INDEX(Index!$B$2:$B$167,MATCH('Draft 1'!T2,Index!$A$2:$A$167,0)),"ERR"))</f>
        <v/>
      </c>
      <c r="U2" s="12" t="str">
        <f t="array" ref="U2">IF('Draft 1'!U2="","",IFERROR(INDEX(Index!$B$2:$B$167,MATCH('Draft 1'!U2,Index!$A$2:$A$167,0)),"ERR"))</f>
        <v/>
      </c>
      <c r="V2" s="12" t="str">
        <f t="array" ref="V2">IF('Draft 1'!V2="","",IFERROR(INDEX(Index!$B$2:$B$167,MATCH('Draft 1'!V2,Index!$A$2:$A$167,0)),"ERR"))</f>
        <v/>
      </c>
      <c r="W2" s="12" t="str">
        <f t="array" ref="W2">IF('Draft 1'!W2="","",IFERROR(INDEX(Index!$B$2:$B$167,MATCH('Draft 1'!W2,Index!$A$2:$A$167,0)),"ERR"))</f>
        <v/>
      </c>
      <c r="X2" s="12" t="str">
        <f t="array" ref="X2">IF('Draft 1'!X2="","",IFERROR(INDEX(Index!$B$2:$B$167,MATCH('Draft 1'!X2,Index!$A$2:$A$167,0)),"ERR"))</f>
        <v/>
      </c>
      <c r="Y2" s="12" t="str">
        <f t="array" ref="Y2">IF('Draft 1'!Y2="","",IFERROR(INDEX(Index!$B$2:$B$167,MATCH('Draft 1'!Y2,Index!$A$2:$A$167,0)),"ERR"))</f>
        <v/>
      </c>
      <c r="Z2" s="12" t="str">
        <f t="array" ref="Z2">IF('Draft 1'!Z2="","",IFERROR(INDEX(Index!$B$2:$B$167,MATCH('Draft 1'!Z2,Index!$A$2:$A$167,0)),"ERR"))</f>
        <v/>
      </c>
      <c r="AA2" s="12" t="str">
        <f t="array" ref="AA2">IF('Draft 1'!AA2="","",IFERROR(INDEX(Index!$B$2:$B$167,MATCH('Draft 1'!AA2,Index!$A$2:$A$167,0)),"ERR"))</f>
        <v/>
      </c>
      <c r="AB2" s="12" t="str">
        <f t="array" ref="AB2">IF('Draft 1'!AB2="","",IFERROR(INDEX(Index!$B$2:$B$167,MATCH('Draft 1'!AB2,Index!$A$2:$A$167,0)),"ERR"))</f>
        <v/>
      </c>
    </row>
    <row r="3">
      <c r="A3" s="7">
        <v>2.0</v>
      </c>
      <c r="B3" s="8" t="s">
        <v>6</v>
      </c>
      <c r="C3" s="9" t="s">
        <v>7</v>
      </c>
      <c r="D3" s="10" t="s">
        <v>6</v>
      </c>
      <c r="E3" s="12" t="str">
        <f t="array" ref="E3">IF('Draft 1'!E3="","",IFERROR(INDEX(Index!$B$2:$B$167,MATCH('Draft 1'!E3,Index!$A$2:$A$167,0)),"ERR"))</f>
        <v>R27.2D</v>
      </c>
      <c r="F3" s="12" t="str">
        <f t="array" ref="F3">IF('Draft 1'!F3="","",IFERROR(INDEX(Index!$B$2:$B$167,MATCH('Draft 1'!F3,Index!$A$2:$A$167,0)),"ERR"))</f>
        <v>R26.4D</v>
      </c>
      <c r="G3" s="12" t="str">
        <f t="array" ref="G3">IF('Draft 1'!G3="","",IFERROR(INDEX(Index!$B$2:$B$167,MATCH('Draft 1'!G3,Index!$A$2:$A$167,0)),"ERR"))</f>
        <v>R25.4D</v>
      </c>
      <c r="H3" s="12" t="str">
        <f t="array" ref="H3">IF('Draft 1'!H3="","",IFERROR(INDEX(Index!$B$2:$B$167,MATCH('Draft 1'!H3,Index!$A$2:$A$167,0)),"ERR"))</f>
        <v/>
      </c>
      <c r="I3" s="12" t="str">
        <f t="array" ref="I3">IF('Draft 1'!I3="","",IFERROR(INDEX(Index!$B$2:$B$167,MATCH('Draft 1'!I3,Index!$A$2:$A$167,0)),"ERR"))</f>
        <v/>
      </c>
      <c r="J3" s="12" t="str">
        <f t="array" ref="J3">IF('Draft 1'!J3="","",IFERROR(INDEX(Index!$B$2:$B$167,MATCH('Draft 1'!J3,Index!$A$2:$A$167,0)),"ERR"))</f>
        <v/>
      </c>
      <c r="K3" s="12" t="str">
        <f t="array" ref="K3">IF('Draft 1'!K3="","",IFERROR(INDEX(Index!$B$2:$B$167,MATCH('Draft 1'!K3,Index!$A$2:$A$167,0)),"ERR"))</f>
        <v/>
      </c>
      <c r="L3" s="12" t="str">
        <f t="array" ref="L3">IF('Draft 1'!L3="","",IFERROR(INDEX(Index!$B$2:$B$167,MATCH('Draft 1'!L3,Index!$A$2:$A$167,0)),"ERR"))</f>
        <v/>
      </c>
      <c r="M3" s="12" t="str">
        <f t="array" ref="M3">IF('Draft 1'!M3="","",IFERROR(INDEX(Index!$B$2:$B$167,MATCH('Draft 1'!M3,Index!$A$2:$A$167,0)),"ERR"))</f>
        <v/>
      </c>
      <c r="N3" s="12" t="str">
        <f t="array" ref="N3">IF('Draft 1'!N3="","",IFERROR(INDEX(Index!$B$2:$B$167,MATCH('Draft 1'!N3,Index!$A$2:$A$167,0)),"ERR"))</f>
        <v/>
      </c>
      <c r="O3" s="12" t="str">
        <f t="array" ref="O3">IF('Draft 1'!O3="","",IFERROR(INDEX(Index!$B$2:$B$167,MATCH('Draft 1'!O3,Index!$A$2:$A$167,0)),"ERR"))</f>
        <v/>
      </c>
      <c r="P3" s="12" t="str">
        <f t="array" ref="P3">IF('Draft 1'!P3="","",IFERROR(INDEX(Index!$B$2:$B$167,MATCH('Draft 1'!P3,Index!$A$2:$A$167,0)),"ERR"))</f>
        <v/>
      </c>
      <c r="Q3" s="12" t="str">
        <f t="array" ref="Q3">IF('Draft 1'!Q3="","",IFERROR(INDEX(Index!$B$2:$B$167,MATCH('Draft 1'!Q3,Index!$A$2:$A$167,0)),"ERR"))</f>
        <v/>
      </c>
      <c r="R3" s="12" t="str">
        <f t="array" ref="R3">IF('Draft 1'!R3="","",IFERROR(INDEX(Index!$B$2:$B$167,MATCH('Draft 1'!R3,Index!$A$2:$A$167,0)),"ERR"))</f>
        <v/>
      </c>
      <c r="S3" s="12" t="str">
        <f t="array" ref="S3">IF('Draft 1'!S3="","",IFERROR(INDEX(Index!$B$2:$B$167,MATCH('Draft 1'!S3,Index!$A$2:$A$167,0)),"ERR"))</f>
        <v/>
      </c>
      <c r="T3" s="12" t="str">
        <f t="array" ref="T3">IF('Draft 1'!T3="","",IFERROR(INDEX(Index!$B$2:$B$167,MATCH('Draft 1'!T3,Index!$A$2:$A$167,0)),"ERR"))</f>
        <v/>
      </c>
      <c r="U3" s="12" t="str">
        <f t="array" ref="U3">IF('Draft 1'!U3="","",IFERROR(INDEX(Index!$B$2:$B$167,MATCH('Draft 1'!U3,Index!$A$2:$A$167,0)),"ERR"))</f>
        <v/>
      </c>
      <c r="V3" s="12" t="str">
        <f t="array" ref="V3">IF('Draft 1'!V3="","",IFERROR(INDEX(Index!$B$2:$B$167,MATCH('Draft 1'!V3,Index!$A$2:$A$167,0)),"ERR"))</f>
        <v/>
      </c>
      <c r="W3" s="12" t="str">
        <f t="array" ref="W3">IF('Draft 1'!W3="","",IFERROR(INDEX(Index!$B$2:$B$167,MATCH('Draft 1'!W3,Index!$A$2:$A$167,0)),"ERR"))</f>
        <v/>
      </c>
      <c r="X3" s="12" t="str">
        <f t="array" ref="X3">IF('Draft 1'!X3="","",IFERROR(INDEX(Index!$B$2:$B$167,MATCH('Draft 1'!X3,Index!$A$2:$A$167,0)),"ERR"))</f>
        <v/>
      </c>
      <c r="Y3" s="12" t="str">
        <f t="array" ref="Y3">IF('Draft 1'!Y3="","",IFERROR(INDEX(Index!$B$2:$B$167,MATCH('Draft 1'!Y3,Index!$A$2:$A$167,0)),"ERR"))</f>
        <v/>
      </c>
      <c r="Z3" s="12" t="str">
        <f t="array" ref="Z3">IF('Draft 1'!Z3="","",IFERROR(INDEX(Index!$B$2:$B$167,MATCH('Draft 1'!Z3,Index!$A$2:$A$167,0)),"ERR"))</f>
        <v/>
      </c>
      <c r="AA3" s="12" t="str">
        <f t="array" ref="AA3">IF('Draft 1'!AA3="","",IFERROR(INDEX(Index!$B$2:$B$167,MATCH('Draft 1'!AA3,Index!$A$2:$A$167,0)),"ERR"))</f>
        <v/>
      </c>
      <c r="AB3" s="12" t="str">
        <f t="array" ref="AB3">IF('Draft 1'!AB3="","",IFERROR(INDEX(Index!$B$2:$B$167,MATCH('Draft 1'!AB3,Index!$A$2:$A$167,0)),"ERR"))</f>
        <v/>
      </c>
    </row>
    <row r="4">
      <c r="A4" s="7">
        <v>3.0</v>
      </c>
      <c r="B4" s="8" t="s">
        <v>8</v>
      </c>
      <c r="C4" s="9" t="s">
        <v>9</v>
      </c>
      <c r="D4" s="10" t="s">
        <v>8</v>
      </c>
      <c r="E4" s="12" t="str">
        <f t="array" ref="E4">IF('Draft 1'!E4="","",IFERROR(INDEX(Index!$B$2:$B$167,MATCH('Draft 1'!E4,Index!$A$2:$A$167,0)),"ERR"))</f>
        <v>R14.8D</v>
      </c>
      <c r="F4" s="12" t="str">
        <f t="array" ref="F4">IF('Draft 1'!F4="","",IFERROR(INDEX(Index!$B$2:$B$167,MATCH('Draft 1'!F4,Index!$A$2:$A$167,0)),"ERR"))</f>
        <v>R27.1D</v>
      </c>
      <c r="G4" s="12" t="str">
        <f t="array" ref="G4">IF('Draft 1'!G4="","",IFERROR(INDEX(Index!$B$2:$B$167,MATCH('Draft 1'!G4,Index!$A$2:$A$167,0)),"ERR"))</f>
        <v>R26.5D</v>
      </c>
      <c r="H4" s="12" t="str">
        <f t="array" ref="H4">IF('Draft 1'!H4="","",IFERROR(INDEX(Index!$B$2:$B$167,MATCH('Draft 1'!H4,Index!$A$2:$A$167,0)),"ERR"))</f>
        <v>R25.5D</v>
      </c>
      <c r="I4" s="12" t="str">
        <f t="array" ref="I4">IF('Draft 1'!I4="","",IFERROR(INDEX(Index!$B$2:$B$167,MATCH('Draft 1'!I4,Index!$A$2:$A$167,0)),"ERR"))</f>
        <v>R26.4D</v>
      </c>
      <c r="J4" s="12" t="str">
        <f t="array" ref="J4">IF('Draft 1'!J4="","",IFERROR(INDEX(Index!$B$2:$B$167,MATCH('Draft 1'!J4,Index!$A$2:$A$167,0)),"ERR"))</f>
        <v>R25.4D</v>
      </c>
      <c r="K4" s="12" t="str">
        <f t="array" ref="K4">IF('Draft 1'!K4="","",IFERROR(INDEX(Index!$B$2:$B$167,MATCH('Draft 1'!K4,Index!$A$2:$A$167,0)),"ERR"))</f>
        <v>R30.7D</v>
      </c>
      <c r="L4" s="12" t="str">
        <f t="array" ref="L4">IF('Draft 1'!L4="","",IFERROR(INDEX(Index!$B$2:$B$167,MATCH('Draft 1'!L4,Index!$A$2:$A$167,0)),"ERR"))</f>
        <v>R30.6D</v>
      </c>
      <c r="M4" s="12" t="str">
        <f t="array" ref="M4">IF('Draft 1'!M4="","",IFERROR(INDEX(Index!$B$2:$B$167,MATCH('Draft 1'!M4,Index!$A$2:$A$167,0)),"ERR"))</f>
        <v>R30.5D</v>
      </c>
      <c r="N4" s="12" t="str">
        <f t="array" ref="N4">IF('Draft 1'!N4="","",IFERROR(INDEX(Index!$B$2:$B$167,MATCH('Draft 1'!N4,Index!$A$2:$A$167,0)),"ERR"))</f>
        <v>R29.3D</v>
      </c>
      <c r="O4" s="12" t="str">
        <f t="array" ref="O4">IF('Draft 1'!O4="","",IFERROR(INDEX(Index!$B$2:$B$167,MATCH('Draft 1'!O4,Index!$A$2:$A$167,0)),"ERR"))</f>
        <v>R31.8D</v>
      </c>
      <c r="P4" s="12" t="str">
        <f t="array" ref="P4">IF('Draft 1'!P4="","",IFERROR(INDEX(Index!$B$2:$B$167,MATCH('Draft 1'!P4,Index!$A$2:$A$167,0)),"ERR"))</f>
        <v/>
      </c>
      <c r="Q4" s="12" t="str">
        <f t="array" ref="Q4">IF('Draft 1'!Q4="","",IFERROR(INDEX(Index!$B$2:$B$167,MATCH('Draft 1'!Q4,Index!$A$2:$A$167,0)),"ERR"))</f>
        <v/>
      </c>
      <c r="R4" s="12" t="str">
        <f t="array" ref="R4">IF('Draft 1'!R4="","",IFERROR(INDEX(Index!$B$2:$B$167,MATCH('Draft 1'!R4,Index!$A$2:$A$167,0)),"ERR"))</f>
        <v/>
      </c>
      <c r="S4" s="12" t="str">
        <f t="array" ref="S4">IF('Draft 1'!S4="","",IFERROR(INDEX(Index!$B$2:$B$167,MATCH('Draft 1'!S4,Index!$A$2:$A$167,0)),"ERR"))</f>
        <v/>
      </c>
      <c r="T4" s="12" t="str">
        <f t="array" ref="T4">IF('Draft 1'!T4="","",IFERROR(INDEX(Index!$B$2:$B$167,MATCH('Draft 1'!T4,Index!$A$2:$A$167,0)),"ERR"))</f>
        <v/>
      </c>
      <c r="U4" s="12" t="str">
        <f t="array" ref="U4">IF('Draft 1'!U4="","",IFERROR(INDEX(Index!$B$2:$B$167,MATCH('Draft 1'!U4,Index!$A$2:$A$167,0)),"ERR"))</f>
        <v/>
      </c>
      <c r="V4" s="12" t="str">
        <f t="array" ref="V4">IF('Draft 1'!V4="","",IFERROR(INDEX(Index!$B$2:$B$167,MATCH('Draft 1'!V4,Index!$A$2:$A$167,0)),"ERR"))</f>
        <v/>
      </c>
      <c r="W4" s="12" t="str">
        <f t="array" ref="W4">IF('Draft 1'!W4="","",IFERROR(INDEX(Index!$B$2:$B$167,MATCH('Draft 1'!W4,Index!$A$2:$A$167,0)),"ERR"))</f>
        <v/>
      </c>
      <c r="X4" s="12" t="str">
        <f t="array" ref="X4">IF('Draft 1'!X4="","",IFERROR(INDEX(Index!$B$2:$B$167,MATCH('Draft 1'!X4,Index!$A$2:$A$167,0)),"ERR"))</f>
        <v/>
      </c>
      <c r="Y4" s="12" t="str">
        <f t="array" ref="Y4">IF('Draft 1'!Y4="","",IFERROR(INDEX(Index!$B$2:$B$167,MATCH('Draft 1'!Y4,Index!$A$2:$A$167,0)),"ERR"))</f>
        <v/>
      </c>
      <c r="Z4" s="12" t="str">
        <f t="array" ref="Z4">IF('Draft 1'!Z4="","",IFERROR(INDEX(Index!$B$2:$B$167,MATCH('Draft 1'!Z4,Index!$A$2:$A$167,0)),"ERR"))</f>
        <v/>
      </c>
      <c r="AA4" s="12" t="str">
        <f t="array" ref="AA4">IF('Draft 1'!AA4="","",IFERROR(INDEX(Index!$B$2:$B$167,MATCH('Draft 1'!AA4,Index!$A$2:$A$167,0)),"ERR"))</f>
        <v/>
      </c>
      <c r="AB4" s="12" t="str">
        <f t="array" ref="AB4">IF('Draft 1'!AB4="","",IFERROR(INDEX(Index!$B$2:$B$167,MATCH('Draft 1'!AB4,Index!$A$2:$A$167,0)),"ERR"))</f>
        <v/>
      </c>
    </row>
    <row r="5">
      <c r="A5" s="7">
        <v>4.0</v>
      </c>
      <c r="B5" s="8" t="s">
        <v>10</v>
      </c>
      <c r="C5" s="9" t="s">
        <v>11</v>
      </c>
      <c r="D5" s="10" t="s">
        <v>10</v>
      </c>
      <c r="E5" s="12" t="str">
        <f t="array" ref="E5">IF('Draft 1'!E5="","",IFERROR(INDEX(Index!$B$2:$B$167,MATCH('Draft 1'!E5,Index!$A$2:$A$167,0)),"ERR"))</f>
        <v>R12.1D</v>
      </c>
      <c r="F5" s="12" t="str">
        <f t="array" ref="F5">IF('Draft 1'!F5="","",IFERROR(INDEX(Index!$B$2:$B$167,MATCH('Draft 1'!F5,Index!$A$2:$A$167,0)),"ERR"))</f>
        <v>R14.8D</v>
      </c>
      <c r="G5" s="12" t="str">
        <f t="array" ref="G5">IF('Draft 1'!G5="","",IFERROR(INDEX(Index!$B$2:$B$167,MATCH('Draft 1'!G5,Index!$A$2:$A$167,0)),"ERR"))</f>
        <v>R12.2D</v>
      </c>
      <c r="H5" s="12" t="str">
        <f t="array" ref="H5">IF('Draft 1'!H5="","",IFERROR(INDEX(Index!$B$2:$B$167,MATCH('Draft 1'!H5,Index!$A$2:$A$167,0)),"ERR"))</f>
        <v>R14.7D</v>
      </c>
      <c r="I5" s="12" t="str">
        <f t="array" ref="I5">IF('Draft 1'!I5="","",IFERROR(INDEX(Index!$B$2:$B$167,MATCH('Draft 1'!I5,Index!$A$2:$A$167,0)),"ERR"))</f>
        <v>R29.3D</v>
      </c>
      <c r="J5" s="12" t="str">
        <f t="array" ref="J5">IF('Draft 1'!J5="","",IFERROR(INDEX(Index!$B$2:$B$167,MATCH('Draft 1'!J5,Index!$A$2:$A$167,0)),"ERR"))</f>
        <v>R31.8D</v>
      </c>
      <c r="K5" s="12" t="str">
        <f t="array" ref="K5">IF('Draft 1'!K5="","",IFERROR(INDEX(Index!$B$2:$B$167,MATCH('Draft 1'!K5,Index!$A$2:$A$167,0)),"ERR"))</f>
        <v>R26.1D</v>
      </c>
      <c r="L5" s="12" t="str">
        <f t="array" ref="L5">IF('Draft 1'!L5="","",IFERROR(INDEX(Index!$B$2:$B$167,MATCH('Draft 1'!L5,Index!$A$2:$A$167,0)),"ERR"))</f>
        <v>R25.1D</v>
      </c>
      <c r="M5" s="12" t="str">
        <f t="array" ref="M5">IF('Draft 1'!M5="","",IFERROR(INDEX(Index!$B$2:$B$167,MATCH('Draft 1'!M5,Index!$A$2:$A$167,0)),"ERR"))</f>
        <v>R26.2D</v>
      </c>
      <c r="N5" s="12" t="str">
        <f t="array" ref="N5">IF('Draft 1'!N5="","",IFERROR(INDEX(Index!$B$2:$B$167,MATCH('Draft 1'!N5,Index!$A$2:$A$167,0)),"ERR"))</f>
        <v>R25.2D</v>
      </c>
      <c r="O5" s="12" t="str">
        <f t="array" ref="O5">IF('Draft 1'!O5="","",IFERROR(INDEX(Index!$B$2:$B$167,MATCH('Draft 1'!O5,Index!$A$2:$A$167,0)),"ERR"))</f>
        <v/>
      </c>
      <c r="P5" s="12" t="str">
        <f t="array" ref="P5">IF('Draft 1'!P5="","",IFERROR(INDEX(Index!$B$2:$B$167,MATCH('Draft 1'!P5,Index!$A$2:$A$167,0)),"ERR"))</f>
        <v/>
      </c>
      <c r="Q5" s="12" t="str">
        <f t="array" ref="Q5">IF('Draft 1'!Q5="","",IFERROR(INDEX(Index!$B$2:$B$167,MATCH('Draft 1'!Q5,Index!$A$2:$A$167,0)),"ERR"))</f>
        <v/>
      </c>
      <c r="R5" s="12" t="str">
        <f t="array" ref="R5">IF('Draft 1'!R5="","",IFERROR(INDEX(Index!$B$2:$B$167,MATCH('Draft 1'!R5,Index!$A$2:$A$167,0)),"ERR"))</f>
        <v/>
      </c>
      <c r="S5" s="12" t="str">
        <f t="array" ref="S5">IF('Draft 1'!S5="","",IFERROR(INDEX(Index!$B$2:$B$167,MATCH('Draft 1'!S5,Index!$A$2:$A$167,0)),"ERR"))</f>
        <v/>
      </c>
      <c r="T5" s="12" t="str">
        <f t="array" ref="T5">IF('Draft 1'!T5="","",IFERROR(INDEX(Index!$B$2:$B$167,MATCH('Draft 1'!T5,Index!$A$2:$A$167,0)),"ERR"))</f>
        <v/>
      </c>
      <c r="U5" s="12" t="str">
        <f t="array" ref="U5">IF('Draft 1'!U5="","",IFERROR(INDEX(Index!$B$2:$B$167,MATCH('Draft 1'!U5,Index!$A$2:$A$167,0)),"ERR"))</f>
        <v/>
      </c>
      <c r="V5" s="12" t="str">
        <f t="array" ref="V5">IF('Draft 1'!V5="","",IFERROR(INDEX(Index!$B$2:$B$167,MATCH('Draft 1'!V5,Index!$A$2:$A$167,0)),"ERR"))</f>
        <v/>
      </c>
      <c r="W5" s="12" t="str">
        <f t="array" ref="W5">IF('Draft 1'!W5="","",IFERROR(INDEX(Index!$B$2:$B$167,MATCH('Draft 1'!W5,Index!$A$2:$A$167,0)),"ERR"))</f>
        <v/>
      </c>
      <c r="X5" s="12" t="str">
        <f t="array" ref="X5">IF('Draft 1'!X5="","",IFERROR(INDEX(Index!$B$2:$B$167,MATCH('Draft 1'!X5,Index!$A$2:$A$167,0)),"ERR"))</f>
        <v/>
      </c>
      <c r="Y5" s="12" t="str">
        <f t="array" ref="Y5">IF('Draft 1'!Y5="","",IFERROR(INDEX(Index!$B$2:$B$167,MATCH('Draft 1'!Y5,Index!$A$2:$A$167,0)),"ERR"))</f>
        <v/>
      </c>
      <c r="Z5" s="12" t="str">
        <f t="array" ref="Z5">IF('Draft 1'!Z5="","",IFERROR(INDEX(Index!$B$2:$B$167,MATCH('Draft 1'!Z5,Index!$A$2:$A$167,0)),"ERR"))</f>
        <v/>
      </c>
      <c r="AA5" s="12" t="str">
        <f t="array" ref="AA5">IF('Draft 1'!AA5="","",IFERROR(INDEX(Index!$B$2:$B$167,MATCH('Draft 1'!AA5,Index!$A$2:$A$167,0)),"ERR"))</f>
        <v/>
      </c>
      <c r="AB5" s="12" t="str">
        <f t="array" ref="AB5">IF('Draft 1'!AB5="","",IFERROR(INDEX(Index!$B$2:$B$167,MATCH('Draft 1'!AB5,Index!$A$2:$A$167,0)),"ERR"))</f>
        <v/>
      </c>
    </row>
    <row r="6">
      <c r="A6" s="7">
        <v>5.0</v>
      </c>
      <c r="B6" s="8" t="s">
        <v>12</v>
      </c>
      <c r="C6" s="9" t="s">
        <v>13</v>
      </c>
      <c r="D6" s="10" t="s">
        <v>12</v>
      </c>
      <c r="E6" s="12" t="str">
        <f t="array" ref="E6">IF('Draft 1'!E6="","",IFERROR(INDEX(Index!$B$2:$B$167,MATCH('Draft 1'!E6,Index!$A$2:$A$167,0)),"ERR"))</f>
        <v>R12.5D</v>
      </c>
      <c r="F6" s="12" t="str">
        <f t="array" ref="F6">IF('Draft 1'!F6="","",IFERROR(INDEX(Index!$B$2:$B$167,MATCH('Draft 1'!F6,Index!$A$2:$A$167,0)),"ERR"))</f>
        <v>R14.1D</v>
      </c>
      <c r="G6" s="12" t="str">
        <f t="array" ref="G6">IF('Draft 1'!G6="","",IFERROR(INDEX(Index!$B$2:$B$167,MATCH('Draft 1'!G6,Index!$A$2:$A$167,0)),"ERR"))</f>
        <v>R14.2D</v>
      </c>
      <c r="H6" s="12" t="str">
        <f t="array" ref="H6">IF('Draft 1'!H6="","",IFERROR(INDEX(Index!$B$2:$B$167,MATCH('Draft 1'!H6,Index!$A$2:$A$167,0)),"ERR"))</f>
        <v>R14.3D</v>
      </c>
      <c r="I6" s="12" t="str">
        <f t="array" ref="I6">IF('Draft 1'!I6="","",IFERROR(INDEX(Index!$B$2:$B$167,MATCH('Draft 1'!I6,Index!$A$2:$A$167,0)),"ERR"))</f>
        <v>R14.4D</v>
      </c>
      <c r="J6" s="12" t="str">
        <f t="array" ref="J6">IF('Draft 1'!J6="","",IFERROR(INDEX(Index!$B$2:$B$167,MATCH('Draft 1'!J6,Index!$A$2:$A$167,0)),"ERR"))</f>
        <v>R31.1D</v>
      </c>
      <c r="K6" s="12" t="str">
        <f t="array" ref="K6">IF('Draft 1'!K6="","",IFERROR(INDEX(Index!$B$2:$B$167,MATCH('Draft 1'!K6,Index!$A$2:$A$167,0)),"ERR"))</f>
        <v>R14.5D</v>
      </c>
      <c r="L6" s="12" t="str">
        <f t="array" ref="L6">IF('Draft 1'!L6="","",IFERROR(INDEX(Index!$B$2:$B$167,MATCH('Draft 1'!L6,Index!$A$2:$A$167,0)),"ERR"))</f>
        <v>R29.2D</v>
      </c>
      <c r="M6" s="12" t="str">
        <f t="array" ref="M6">IF('Draft 1'!M6="","",IFERROR(INDEX(Index!$B$2:$B$167,MATCH('Draft 1'!M6,Index!$A$2:$A$167,0)),"ERR"))</f>
        <v>R26.4D</v>
      </c>
      <c r="N6" s="12" t="str">
        <f t="array" ref="N6">IF('Draft 1'!N6="","",IFERROR(INDEX(Index!$B$2:$B$167,MATCH('Draft 1'!N6,Index!$A$2:$A$167,0)),"ERR"))</f>
        <v>R25.4D</v>
      </c>
      <c r="O6" s="12" t="str">
        <f t="array" ref="O6">IF('Draft 1'!O6="","",IFERROR(INDEX(Index!$B$2:$B$167,MATCH('Draft 1'!O6,Index!$A$2:$A$167,0)),"ERR"))</f>
        <v/>
      </c>
      <c r="P6" s="12" t="str">
        <f t="array" ref="P6">IF('Draft 1'!P6="","",IFERROR(INDEX(Index!$B$2:$B$167,MATCH('Draft 1'!P6,Index!$A$2:$A$167,0)),"ERR"))</f>
        <v/>
      </c>
      <c r="Q6" s="12" t="str">
        <f t="array" ref="Q6">IF('Draft 1'!Q6="","",IFERROR(INDEX(Index!$B$2:$B$167,MATCH('Draft 1'!Q6,Index!$A$2:$A$167,0)),"ERR"))</f>
        <v/>
      </c>
      <c r="R6" s="12" t="str">
        <f t="array" ref="R6">IF('Draft 1'!R6="","",IFERROR(INDEX(Index!$B$2:$B$167,MATCH('Draft 1'!R6,Index!$A$2:$A$167,0)),"ERR"))</f>
        <v/>
      </c>
      <c r="S6" s="12" t="str">
        <f t="array" ref="S6">IF('Draft 1'!S6="","",IFERROR(INDEX(Index!$B$2:$B$167,MATCH('Draft 1'!S6,Index!$A$2:$A$167,0)),"ERR"))</f>
        <v/>
      </c>
      <c r="T6" s="12" t="str">
        <f t="array" ref="T6">IF('Draft 1'!T6="","",IFERROR(INDEX(Index!$B$2:$B$167,MATCH('Draft 1'!T6,Index!$A$2:$A$167,0)),"ERR"))</f>
        <v/>
      </c>
      <c r="U6" s="12" t="str">
        <f t="array" ref="U6">IF('Draft 1'!U6="","",IFERROR(INDEX(Index!$B$2:$B$167,MATCH('Draft 1'!U6,Index!$A$2:$A$167,0)),"ERR"))</f>
        <v/>
      </c>
      <c r="V6" s="12" t="str">
        <f t="array" ref="V6">IF('Draft 1'!V6="","",IFERROR(INDEX(Index!$B$2:$B$167,MATCH('Draft 1'!V6,Index!$A$2:$A$167,0)),"ERR"))</f>
        <v/>
      </c>
      <c r="W6" s="12" t="str">
        <f t="array" ref="W6">IF('Draft 1'!W6="","",IFERROR(INDEX(Index!$B$2:$B$167,MATCH('Draft 1'!W6,Index!$A$2:$A$167,0)),"ERR"))</f>
        <v/>
      </c>
      <c r="X6" s="12" t="str">
        <f t="array" ref="X6">IF('Draft 1'!X6="","",IFERROR(INDEX(Index!$B$2:$B$167,MATCH('Draft 1'!X6,Index!$A$2:$A$167,0)),"ERR"))</f>
        <v/>
      </c>
      <c r="Y6" s="12" t="str">
        <f t="array" ref="Y6">IF('Draft 1'!Y6="","",IFERROR(INDEX(Index!$B$2:$B$167,MATCH('Draft 1'!Y6,Index!$A$2:$A$167,0)),"ERR"))</f>
        <v/>
      </c>
      <c r="Z6" s="12" t="str">
        <f t="array" ref="Z6">IF('Draft 1'!Z6="","",IFERROR(INDEX(Index!$B$2:$B$167,MATCH('Draft 1'!Z6,Index!$A$2:$A$167,0)),"ERR"))</f>
        <v/>
      </c>
      <c r="AA6" s="12" t="str">
        <f t="array" ref="AA6">IF('Draft 1'!AA6="","",IFERROR(INDEX(Index!$B$2:$B$167,MATCH('Draft 1'!AA6,Index!$A$2:$A$167,0)),"ERR"))</f>
        <v/>
      </c>
      <c r="AB6" s="12" t="str">
        <f t="array" ref="AB6">IF('Draft 1'!AB6="","",IFERROR(INDEX(Index!$B$2:$B$167,MATCH('Draft 1'!AB6,Index!$A$2:$A$167,0)),"ERR"))</f>
        <v/>
      </c>
    </row>
    <row r="7">
      <c r="A7" s="7">
        <v>6.0</v>
      </c>
      <c r="B7" s="8" t="s">
        <v>14</v>
      </c>
      <c r="C7" s="9" t="s">
        <v>15</v>
      </c>
      <c r="D7" s="10" t="s">
        <v>14</v>
      </c>
      <c r="E7" s="12" t="str">
        <f t="array" ref="E7">IF('Draft 1'!E7="","",IFERROR(INDEX(Index!$B$2:$B$167,MATCH('Draft 1'!E7,Index!$A$2:$A$167,0)),"ERR"))</f>
        <v>R22.6D</v>
      </c>
      <c r="F7" s="12" t="str">
        <f t="array" ref="F7">IF('Draft 1'!F7="","",IFERROR(INDEX(Index!$B$2:$B$167,MATCH('Draft 1'!F7,Index!$A$2:$A$167,0)),"ERR"))</f>
        <v>R15.4E</v>
      </c>
      <c r="G7" s="12" t="str">
        <f t="array" ref="G7">IF('Draft 1'!G7="","",IFERROR(INDEX(Index!$B$2:$B$167,MATCH('Draft 1'!G7,Index!$A$2:$A$167,0)),"ERR"))</f>
        <v>R15.5E</v>
      </c>
      <c r="H7" s="12" t="str">
        <f t="array" ref="H7">IF('Draft 1'!H7="","",IFERROR(INDEX(Index!$B$2:$B$167,MATCH('Draft 1'!H7,Index!$A$2:$A$167,0)),"ERR"))</f>
        <v>R20.1D</v>
      </c>
      <c r="I7" s="12" t="str">
        <f t="array" ref="I7">IF('Draft 1'!I7="","",IFERROR(INDEX(Index!$B$2:$B$167,MATCH('Draft 1'!I7,Index!$A$2:$A$167,0)),"ERR"))</f>
        <v>R24.1D</v>
      </c>
      <c r="J7" s="12" t="str">
        <f t="array" ref="J7">IF('Draft 1'!J7="","",IFERROR(INDEX(Index!$B$2:$B$167,MATCH('Draft 1'!J7,Index!$A$2:$A$167,0)),"ERR"))</f>
        <v>R23.1D</v>
      </c>
      <c r="K7" s="12" t="str">
        <f t="array" ref="K7">IF('Draft 1'!K7="","",IFERROR(INDEX(Index!$B$2:$B$167,MATCH('Draft 1'!K7,Index!$A$2:$A$167,0)),"ERR"))</f>
        <v>R24.2D</v>
      </c>
      <c r="L7" s="12" t="str">
        <f t="array" ref="L7">IF('Draft 1'!L7="","",IFERROR(INDEX(Index!$B$2:$B$167,MATCH('Draft 1'!L7,Index!$A$2:$A$167,0)),"ERR"))</f>
        <v>R23.2D</v>
      </c>
      <c r="M7" s="12" t="str">
        <f t="array" ref="M7">IF('Draft 1'!M7="","",IFERROR(INDEX(Index!$B$2:$B$167,MATCH('Draft 1'!M7,Index!$A$2:$A$167,0)),"ERR"))</f>
        <v>R17.2E</v>
      </c>
      <c r="N7" s="12" t="str">
        <f t="array" ref="N7">IF('Draft 1'!N7="","",IFERROR(INDEX(Index!$B$2:$B$167,MATCH('Draft 1'!N7,Index!$A$2:$A$167,0)),"ERR"))</f>
        <v/>
      </c>
      <c r="O7" s="12" t="str">
        <f t="array" ref="O7">IF('Draft 1'!O7="","",IFERROR(INDEX(Index!$B$2:$B$167,MATCH('Draft 1'!O7,Index!$A$2:$A$167,0)),"ERR"))</f>
        <v/>
      </c>
      <c r="P7" s="12" t="str">
        <f t="array" ref="P7">IF('Draft 1'!P7="","",IFERROR(INDEX(Index!$B$2:$B$167,MATCH('Draft 1'!P7,Index!$A$2:$A$167,0)),"ERR"))</f>
        <v/>
      </c>
      <c r="Q7" s="12" t="str">
        <f t="array" ref="Q7">IF('Draft 1'!Q7="","",IFERROR(INDEX(Index!$B$2:$B$167,MATCH('Draft 1'!Q7,Index!$A$2:$A$167,0)),"ERR"))</f>
        <v/>
      </c>
      <c r="R7" s="12" t="str">
        <f t="array" ref="R7">IF('Draft 1'!R7="","",IFERROR(INDEX(Index!$B$2:$B$167,MATCH('Draft 1'!R7,Index!$A$2:$A$167,0)),"ERR"))</f>
        <v/>
      </c>
      <c r="S7" s="12" t="str">
        <f t="array" ref="S7">IF('Draft 1'!S7="","",IFERROR(INDEX(Index!$B$2:$B$167,MATCH('Draft 1'!S7,Index!$A$2:$A$167,0)),"ERR"))</f>
        <v/>
      </c>
      <c r="T7" s="12" t="str">
        <f t="array" ref="T7">IF('Draft 1'!T7="","",IFERROR(INDEX(Index!$B$2:$B$167,MATCH('Draft 1'!T7,Index!$A$2:$A$167,0)),"ERR"))</f>
        <v/>
      </c>
      <c r="U7" s="12" t="str">
        <f t="array" ref="U7">IF('Draft 1'!U7="","",IFERROR(INDEX(Index!$B$2:$B$167,MATCH('Draft 1'!U7,Index!$A$2:$A$167,0)),"ERR"))</f>
        <v/>
      </c>
      <c r="V7" s="12" t="str">
        <f t="array" ref="V7">IF('Draft 1'!V7="","",IFERROR(INDEX(Index!$B$2:$B$167,MATCH('Draft 1'!V7,Index!$A$2:$A$167,0)),"ERR"))</f>
        <v/>
      </c>
      <c r="W7" s="12" t="str">
        <f t="array" ref="W7">IF('Draft 1'!W7="","",IFERROR(INDEX(Index!$B$2:$B$167,MATCH('Draft 1'!W7,Index!$A$2:$A$167,0)),"ERR"))</f>
        <v/>
      </c>
      <c r="X7" s="12" t="str">
        <f t="array" ref="X7">IF('Draft 1'!X7="","",IFERROR(INDEX(Index!$B$2:$B$167,MATCH('Draft 1'!X7,Index!$A$2:$A$167,0)),"ERR"))</f>
        <v/>
      </c>
      <c r="Y7" s="12" t="str">
        <f t="array" ref="Y7">IF('Draft 1'!Y7="","",IFERROR(INDEX(Index!$B$2:$B$167,MATCH('Draft 1'!Y7,Index!$A$2:$A$167,0)),"ERR"))</f>
        <v/>
      </c>
      <c r="Z7" s="12" t="str">
        <f t="array" ref="Z7">IF('Draft 1'!Z7="","",IFERROR(INDEX(Index!$B$2:$B$167,MATCH('Draft 1'!Z7,Index!$A$2:$A$167,0)),"ERR"))</f>
        <v/>
      </c>
      <c r="AA7" s="12" t="str">
        <f t="array" ref="AA7">IF('Draft 1'!AA7="","",IFERROR(INDEX(Index!$B$2:$B$167,MATCH('Draft 1'!AA7,Index!$A$2:$A$167,0)),"ERR"))</f>
        <v/>
      </c>
      <c r="AB7" s="12" t="str">
        <f t="array" ref="AB7">IF('Draft 1'!AB7="","",IFERROR(INDEX(Index!$B$2:$B$167,MATCH('Draft 1'!AB7,Index!$A$2:$A$167,0)),"ERR"))</f>
        <v/>
      </c>
    </row>
    <row r="8">
      <c r="A8" s="7">
        <v>7.0</v>
      </c>
      <c r="B8" s="8" t="s">
        <v>16</v>
      </c>
      <c r="C8" s="9" t="s">
        <v>17</v>
      </c>
      <c r="D8" s="10" t="s">
        <v>16</v>
      </c>
      <c r="E8" s="12" t="str">
        <f t="array" ref="E8">IF('Draft 1'!E8="","",IFERROR(INDEX(Index!$B$2:$B$167,MATCH('Draft 1'!E8,Index!$A$2:$A$167,0)),"ERR"))</f>
        <v>R9.1C</v>
      </c>
      <c r="F8" s="12" t="str">
        <f t="array" ref="F8">IF('Draft 1'!F8="","",IFERROR(INDEX(Index!$B$2:$B$167,MATCH('Draft 1'!F8,Index!$A$2:$A$167,0)),"ERR"))</f>
        <v>R7.1C</v>
      </c>
      <c r="G8" s="12" t="str">
        <f t="array" ref="G8">IF('Draft 1'!G8="","",IFERROR(INDEX(Index!$B$2:$B$167,MATCH('Draft 1'!G8,Index!$A$2:$A$167,0)),"ERR"))</f>
        <v>R10.5D</v>
      </c>
      <c r="H8" s="12" t="str">
        <f t="array" ref="H8">IF('Draft 1'!H8="","",IFERROR(INDEX(Index!$B$2:$B$167,MATCH('Draft 1'!H8,Index!$A$2:$A$167,0)),"ERR"))</f>
        <v>R11.5D</v>
      </c>
      <c r="I8" s="12" t="str">
        <f t="array" ref="I8">IF('Draft 1'!I8="","",IFERROR(INDEX(Index!$B$2:$B$167,MATCH('Draft 1'!I8,Index!$A$2:$A$167,0)),"ERR"))</f>
        <v>R27.4D</v>
      </c>
      <c r="J8" s="12" t="str">
        <f t="array" ref="J8">IF('Draft 1'!J8="","",IFERROR(INDEX(Index!$B$2:$B$167,MATCH('Draft 1'!J8,Index!$A$2:$A$167,0)),"ERR"))</f>
        <v>R32.2D</v>
      </c>
      <c r="K8" s="12" t="str">
        <f t="array" ref="K8">IF('Draft 1'!K8="","",IFERROR(INDEX(Index!$B$2:$B$167,MATCH('Draft 1'!K8,Index!$A$2:$A$167,0)),"ERR"))</f>
        <v>R22.4D</v>
      </c>
      <c r="L8" s="12" t="str">
        <f t="array" ref="L8">IF('Draft 1'!L8="","",IFERROR(INDEX(Index!$B$2:$B$167,MATCH('Draft 1'!L8,Index!$A$2:$A$167,0)),"ERR"))</f>
        <v>R30.2D</v>
      </c>
      <c r="M8" s="12" t="str">
        <f t="array" ref="M8">IF('Draft 1'!M8="","",IFERROR(INDEX(Index!$B$2:$B$167,MATCH('Draft 1'!M8,Index!$A$2:$A$167,0)),"ERR"))</f>
        <v>R29.3D</v>
      </c>
      <c r="N8" s="12" t="str">
        <f t="array" ref="N8">IF('Draft 1'!N8="","",IFERROR(INDEX(Index!$B$2:$B$167,MATCH('Draft 1'!N8,Index!$A$2:$A$167,0)),"ERR"))</f>
        <v>R31.8D</v>
      </c>
      <c r="O8" s="12" t="str">
        <f t="array" ref="O8">IF('Draft 1'!O8="","",IFERROR(INDEX(Index!$B$2:$B$167,MATCH('Draft 1'!O8,Index!$A$2:$A$167,0)),"ERR"))</f>
        <v>R23.1D</v>
      </c>
      <c r="P8" s="12" t="str">
        <f t="array" ref="P8">IF('Draft 1'!P8="","",IFERROR(INDEX(Index!$B$2:$B$167,MATCH('Draft 1'!P8,Index!$A$2:$A$167,0)),"ERR"))</f>
        <v>R24.1D</v>
      </c>
      <c r="Q8" s="12" t="str">
        <f t="array" ref="Q8">IF('Draft 1'!Q8="","",IFERROR(INDEX(Index!$B$2:$B$167,MATCH('Draft 1'!Q8,Index!$A$2:$A$167,0)),"ERR"))</f>
        <v>R23.2D</v>
      </c>
      <c r="R8" s="12" t="str">
        <f t="array" ref="R8">IF('Draft 1'!R8="","",IFERROR(INDEX(Index!$B$2:$B$167,MATCH('Draft 1'!R8,Index!$A$2:$A$167,0)),"ERR"))</f>
        <v>R24.2D</v>
      </c>
      <c r="S8" s="12" t="str">
        <f t="array" ref="S8">IF('Draft 1'!S8="","",IFERROR(INDEX(Index!$B$2:$B$167,MATCH('Draft 1'!S8,Index!$A$2:$A$167,0)),"ERR"))</f>
        <v/>
      </c>
      <c r="T8" s="12" t="str">
        <f t="array" ref="T8">IF('Draft 1'!T8="","",IFERROR(INDEX(Index!$B$2:$B$167,MATCH('Draft 1'!T8,Index!$A$2:$A$167,0)),"ERR"))</f>
        <v/>
      </c>
      <c r="U8" s="12" t="str">
        <f t="array" ref="U8">IF('Draft 1'!U8="","",IFERROR(INDEX(Index!$B$2:$B$167,MATCH('Draft 1'!U8,Index!$A$2:$A$167,0)),"ERR"))</f>
        <v/>
      </c>
      <c r="V8" s="12" t="str">
        <f t="array" ref="V8">IF('Draft 1'!V8="","",IFERROR(INDEX(Index!$B$2:$B$167,MATCH('Draft 1'!V8,Index!$A$2:$A$167,0)),"ERR"))</f>
        <v/>
      </c>
      <c r="W8" s="12" t="str">
        <f t="array" ref="W8">IF('Draft 1'!W8="","",IFERROR(INDEX(Index!$B$2:$B$167,MATCH('Draft 1'!W8,Index!$A$2:$A$167,0)),"ERR"))</f>
        <v/>
      </c>
      <c r="X8" s="12" t="str">
        <f t="array" ref="X8">IF('Draft 1'!X8="","",IFERROR(INDEX(Index!$B$2:$B$167,MATCH('Draft 1'!X8,Index!$A$2:$A$167,0)),"ERR"))</f>
        <v/>
      </c>
      <c r="Y8" s="12" t="str">
        <f t="array" ref="Y8">IF('Draft 1'!Y8="","",IFERROR(INDEX(Index!$B$2:$B$167,MATCH('Draft 1'!Y8,Index!$A$2:$A$167,0)),"ERR"))</f>
        <v/>
      </c>
      <c r="Z8" s="12" t="str">
        <f t="array" ref="Z8">IF('Draft 1'!Z8="","",IFERROR(INDEX(Index!$B$2:$B$167,MATCH('Draft 1'!Z8,Index!$A$2:$A$167,0)),"ERR"))</f>
        <v/>
      </c>
      <c r="AA8" s="12" t="str">
        <f t="array" ref="AA8">IF('Draft 1'!AA8="","",IFERROR(INDEX(Index!$B$2:$B$167,MATCH('Draft 1'!AA8,Index!$A$2:$A$167,0)),"ERR"))</f>
        <v/>
      </c>
      <c r="AB8" s="12" t="str">
        <f t="array" ref="AB8">IF('Draft 1'!AB8="","",IFERROR(INDEX(Index!$B$2:$B$167,MATCH('Draft 1'!AB8,Index!$A$2:$A$167,0)),"ERR"))</f>
        <v/>
      </c>
    </row>
    <row r="9">
      <c r="A9" s="7">
        <v>8.0</v>
      </c>
      <c r="B9" s="8" t="s">
        <v>18</v>
      </c>
      <c r="C9" s="9" t="s">
        <v>19</v>
      </c>
      <c r="D9" s="10" t="s">
        <v>18</v>
      </c>
      <c r="E9" s="12" t="str">
        <f t="array" ref="E9">IF('Draft 1'!E9="","",IFERROR(INDEX(Index!$B$2:$B$167,MATCH('Draft 1'!E9,Index!$A$2:$A$167,0)),"ERR"))</f>
        <v>R9.2C</v>
      </c>
      <c r="F9" s="12" t="str">
        <f t="array" ref="F9">IF('Draft 1'!F9="","",IFERROR(INDEX(Index!$B$2:$B$167,MATCH('Draft 1'!F9,Index!$A$2:$A$167,0)),"ERR"))</f>
        <v>R7.2C</v>
      </c>
      <c r="G9" s="12" t="str">
        <f t="array" ref="G9">IF('Draft 1'!G9="","",IFERROR(INDEX(Index!$B$2:$B$167,MATCH('Draft 1'!G9,Index!$A$2:$A$167,0)),"ERR"))</f>
        <v>R10.4D</v>
      </c>
      <c r="H9" s="12" t="str">
        <f t="array" ref="H9">IF('Draft 1'!H9="","",IFERROR(INDEX(Index!$B$2:$B$167,MATCH('Draft 1'!H9,Index!$A$2:$A$167,0)),"ERR"))</f>
        <v>R11.4D</v>
      </c>
      <c r="I9" s="12" t="str">
        <f t="array" ref="I9">IF('Draft 1'!I9="","",IFERROR(INDEX(Index!$B$2:$B$167,MATCH('Draft 1'!I9,Index!$A$2:$A$167,0)),"ERR"))</f>
        <v>R27.4D</v>
      </c>
      <c r="J9" s="12" t="str">
        <f t="array" ref="J9">IF('Draft 1'!J9="","",IFERROR(INDEX(Index!$B$2:$B$167,MATCH('Draft 1'!J9,Index!$A$2:$A$167,0)),"ERR"))</f>
        <v>R32.2D</v>
      </c>
      <c r="K9" s="12" t="str">
        <f t="array" ref="K9">IF('Draft 1'!K9="","",IFERROR(INDEX(Index!$B$2:$B$167,MATCH('Draft 1'!K9,Index!$A$2:$A$167,0)),"ERR"))</f>
        <v>R22.4D</v>
      </c>
      <c r="L9" s="12" t="str">
        <f t="array" ref="L9">IF('Draft 1'!L9="","",IFERROR(INDEX(Index!$B$2:$B$167,MATCH('Draft 1'!L9,Index!$A$2:$A$167,0)),"ERR"))</f>
        <v>R30.2D</v>
      </c>
      <c r="M9" s="12" t="str">
        <f t="array" ref="M9">IF('Draft 1'!M9="","",IFERROR(INDEX(Index!$B$2:$B$167,MATCH('Draft 1'!M9,Index!$A$2:$A$167,0)),"ERR"))</f>
        <v>R29.3D</v>
      </c>
      <c r="N9" s="12" t="str">
        <f t="array" ref="N9">IF('Draft 1'!N9="","",IFERROR(INDEX(Index!$B$2:$B$167,MATCH('Draft 1'!N9,Index!$A$2:$A$167,0)),"ERR"))</f>
        <v>R31.8D</v>
      </c>
      <c r="O9" s="12" t="str">
        <f t="array" ref="O9">IF('Draft 1'!O9="","",IFERROR(INDEX(Index!$B$2:$B$167,MATCH('Draft 1'!O9,Index!$A$2:$A$167,0)),"ERR"))</f>
        <v>R23.1D</v>
      </c>
      <c r="P9" s="12" t="str">
        <f t="array" ref="P9">IF('Draft 1'!P9="","",IFERROR(INDEX(Index!$B$2:$B$167,MATCH('Draft 1'!P9,Index!$A$2:$A$167,0)),"ERR"))</f>
        <v>R24.1D</v>
      </c>
      <c r="Q9" s="12" t="str">
        <f t="array" ref="Q9">IF('Draft 1'!Q9="","",IFERROR(INDEX(Index!$B$2:$B$167,MATCH('Draft 1'!Q9,Index!$A$2:$A$167,0)),"ERR"))</f>
        <v>R23.2D</v>
      </c>
      <c r="R9" s="12" t="str">
        <f t="array" ref="R9">IF('Draft 1'!R9="","",IFERROR(INDEX(Index!$B$2:$B$167,MATCH('Draft 1'!R9,Index!$A$2:$A$167,0)),"ERR"))</f>
        <v>R24.2D</v>
      </c>
      <c r="S9" s="12" t="str">
        <f t="array" ref="S9">IF('Draft 1'!S9="","",IFERROR(INDEX(Index!$B$2:$B$167,MATCH('Draft 1'!S9,Index!$A$2:$A$167,0)),"ERR"))</f>
        <v/>
      </c>
      <c r="T9" s="12" t="str">
        <f t="array" ref="T9">IF('Draft 1'!T9="","",IFERROR(INDEX(Index!$B$2:$B$167,MATCH('Draft 1'!T9,Index!$A$2:$A$167,0)),"ERR"))</f>
        <v/>
      </c>
      <c r="U9" s="12" t="str">
        <f t="array" ref="U9">IF('Draft 1'!U9="","",IFERROR(INDEX(Index!$B$2:$B$167,MATCH('Draft 1'!U9,Index!$A$2:$A$167,0)),"ERR"))</f>
        <v/>
      </c>
      <c r="V9" s="12" t="str">
        <f t="array" ref="V9">IF('Draft 1'!V9="","",IFERROR(INDEX(Index!$B$2:$B$167,MATCH('Draft 1'!V9,Index!$A$2:$A$167,0)),"ERR"))</f>
        <v/>
      </c>
      <c r="W9" s="12" t="str">
        <f t="array" ref="W9">IF('Draft 1'!W9="","",IFERROR(INDEX(Index!$B$2:$B$167,MATCH('Draft 1'!W9,Index!$A$2:$A$167,0)),"ERR"))</f>
        <v/>
      </c>
      <c r="X9" s="12" t="str">
        <f t="array" ref="X9">IF('Draft 1'!X9="","",IFERROR(INDEX(Index!$B$2:$B$167,MATCH('Draft 1'!X9,Index!$A$2:$A$167,0)),"ERR"))</f>
        <v/>
      </c>
      <c r="Y9" s="12" t="str">
        <f t="array" ref="Y9">IF('Draft 1'!Y9="","",IFERROR(INDEX(Index!$B$2:$B$167,MATCH('Draft 1'!Y9,Index!$A$2:$A$167,0)),"ERR"))</f>
        <v/>
      </c>
      <c r="Z9" s="12" t="str">
        <f t="array" ref="Z9">IF('Draft 1'!Z9="","",IFERROR(INDEX(Index!$B$2:$B$167,MATCH('Draft 1'!Z9,Index!$A$2:$A$167,0)),"ERR"))</f>
        <v/>
      </c>
      <c r="AA9" s="12" t="str">
        <f t="array" ref="AA9">IF('Draft 1'!AA9="","",IFERROR(INDEX(Index!$B$2:$B$167,MATCH('Draft 1'!AA9,Index!$A$2:$A$167,0)),"ERR"))</f>
        <v/>
      </c>
      <c r="AB9" s="12" t="str">
        <f t="array" ref="AB9">IF('Draft 1'!AB9="","",IFERROR(INDEX(Index!$B$2:$B$167,MATCH('Draft 1'!AB9,Index!$A$2:$A$167,0)),"ERR"))</f>
        <v/>
      </c>
    </row>
    <row r="10">
      <c r="A10" s="7">
        <v>9.0</v>
      </c>
      <c r="B10" s="8" t="s">
        <v>20</v>
      </c>
      <c r="C10" s="9" t="s">
        <v>21</v>
      </c>
      <c r="D10" s="10" t="s">
        <v>20</v>
      </c>
      <c r="E10" s="12" t="str">
        <f t="array" ref="E10">IF('Draft 1'!E10="","",IFERROR(INDEX(Index!$B$2:$B$167,MATCH('Draft 1'!E10,Index!$A$2:$A$167,0)),"ERR"))</f>
        <v>R9.4C</v>
      </c>
      <c r="F10" s="12" t="str">
        <f t="array" ref="F10">IF('Draft 1'!F10="","",IFERROR(INDEX(Index!$B$2:$B$167,MATCH('Draft 1'!F10,Index!$A$2:$A$167,0)),"ERR"))</f>
        <v>R7.4C</v>
      </c>
      <c r="G10" s="12" t="str">
        <f t="array" ref="G10">IF('Draft 1'!G10="","",IFERROR(INDEX(Index!$B$2:$B$167,MATCH('Draft 1'!G10,Index!$A$2:$A$167,0)),"ERR"))</f>
        <v>R10.2D</v>
      </c>
      <c r="H10" s="12" t="str">
        <f t="array" ref="H10">IF('Draft 1'!H10="","",IFERROR(INDEX(Index!$B$2:$B$167,MATCH('Draft 1'!H10,Index!$A$2:$A$167,0)),"ERR"))</f>
        <v>R11.2D</v>
      </c>
      <c r="I10" s="12" t="str">
        <f t="array" ref="I10">IF('Draft 1'!I10="","",IFERROR(INDEX(Index!$B$2:$B$167,MATCH('Draft 1'!I10,Index!$A$2:$A$167,0)),"ERR"))</f>
        <v>R31.2D</v>
      </c>
      <c r="J10" s="12" t="str">
        <f t="array" ref="J10">IF('Draft 1'!J10="","",IFERROR(INDEX(Index!$B$2:$B$167,MATCH('Draft 1'!J10,Index!$A$2:$A$167,0)),"ERR"))</f>
        <v>R30.3D</v>
      </c>
      <c r="K10" s="12" t="str">
        <f t="array" ref="K10">IF('Draft 1'!K10="","",IFERROR(INDEX(Index!$B$2:$B$167,MATCH('Draft 1'!K10,Index!$A$2:$A$167,0)),"ERR"))</f>
        <v>R22.5D</v>
      </c>
      <c r="L10" s="12" t="str">
        <f t="array" ref="L10">IF('Draft 1'!L10="","",IFERROR(INDEX(Index!$B$2:$B$167,MATCH('Draft 1'!L10,Index!$A$2:$A$167,0)),"ERR"))</f>
        <v>R29.2D</v>
      </c>
      <c r="M10" s="12" t="str">
        <f t="array" ref="M10">IF('Draft 1'!M10="","",IFERROR(INDEX(Index!$B$2:$B$167,MATCH('Draft 1'!M10,Index!$A$2:$A$167,0)),"ERR"))</f>
        <v>R23.1D</v>
      </c>
      <c r="N10" s="12" t="str">
        <f t="array" ref="N10">IF('Draft 1'!N10="","",IFERROR(INDEX(Index!$B$2:$B$167,MATCH('Draft 1'!N10,Index!$A$2:$A$167,0)),"ERR"))</f>
        <v>R24.1D</v>
      </c>
      <c r="O10" s="12" t="str">
        <f t="array" ref="O10">IF('Draft 1'!O10="","",IFERROR(INDEX(Index!$B$2:$B$167,MATCH('Draft 1'!O10,Index!$A$2:$A$167,0)),"ERR"))</f>
        <v>R23.2D</v>
      </c>
      <c r="P10" s="12" t="str">
        <f t="array" ref="P10">IF('Draft 1'!P10="","",IFERROR(INDEX(Index!$B$2:$B$167,MATCH('Draft 1'!P10,Index!$A$2:$A$167,0)),"ERR"))</f>
        <v>R24.2D</v>
      </c>
      <c r="Q10" s="12" t="str">
        <f t="array" ref="Q10">IF('Draft 1'!Q10="","",IFERROR(INDEX(Index!$B$2:$B$167,MATCH('Draft 1'!Q10,Index!$A$2:$A$167,0)),"ERR"))</f>
        <v/>
      </c>
      <c r="R10" s="12" t="str">
        <f t="array" ref="R10">IF('Draft 1'!R10="","",IFERROR(INDEX(Index!$B$2:$B$167,MATCH('Draft 1'!R10,Index!$A$2:$A$167,0)),"ERR"))</f>
        <v/>
      </c>
      <c r="S10" s="12" t="str">
        <f t="array" ref="S10">IF('Draft 1'!S10="","",IFERROR(INDEX(Index!$B$2:$B$167,MATCH('Draft 1'!S10,Index!$A$2:$A$167,0)),"ERR"))</f>
        <v/>
      </c>
      <c r="T10" s="12" t="str">
        <f t="array" ref="T10">IF('Draft 1'!T10="","",IFERROR(INDEX(Index!$B$2:$B$167,MATCH('Draft 1'!T10,Index!$A$2:$A$167,0)),"ERR"))</f>
        <v/>
      </c>
      <c r="U10" s="12" t="str">
        <f t="array" ref="U10">IF('Draft 1'!U10="","",IFERROR(INDEX(Index!$B$2:$B$167,MATCH('Draft 1'!U10,Index!$A$2:$A$167,0)),"ERR"))</f>
        <v/>
      </c>
      <c r="V10" s="12" t="str">
        <f t="array" ref="V10">IF('Draft 1'!V10="","",IFERROR(INDEX(Index!$B$2:$B$167,MATCH('Draft 1'!V10,Index!$A$2:$A$167,0)),"ERR"))</f>
        <v/>
      </c>
      <c r="W10" s="12" t="str">
        <f t="array" ref="W10">IF('Draft 1'!W10="","",IFERROR(INDEX(Index!$B$2:$B$167,MATCH('Draft 1'!W10,Index!$A$2:$A$167,0)),"ERR"))</f>
        <v/>
      </c>
      <c r="X10" s="12" t="str">
        <f t="array" ref="X10">IF('Draft 1'!X10="","",IFERROR(INDEX(Index!$B$2:$B$167,MATCH('Draft 1'!X10,Index!$A$2:$A$167,0)),"ERR"))</f>
        <v/>
      </c>
      <c r="Y10" s="12" t="str">
        <f t="array" ref="Y10">IF('Draft 1'!Y10="","",IFERROR(INDEX(Index!$B$2:$B$167,MATCH('Draft 1'!Y10,Index!$A$2:$A$167,0)),"ERR"))</f>
        <v/>
      </c>
      <c r="Z10" s="12" t="str">
        <f t="array" ref="Z10">IF('Draft 1'!Z10="","",IFERROR(INDEX(Index!$B$2:$B$167,MATCH('Draft 1'!Z10,Index!$A$2:$A$167,0)),"ERR"))</f>
        <v/>
      </c>
      <c r="AA10" s="12" t="str">
        <f t="array" ref="AA10">IF('Draft 1'!AA10="","",IFERROR(INDEX(Index!$B$2:$B$167,MATCH('Draft 1'!AA10,Index!$A$2:$A$167,0)),"ERR"))</f>
        <v/>
      </c>
      <c r="AB10" s="12" t="str">
        <f t="array" ref="AB10">IF('Draft 1'!AB10="","",IFERROR(INDEX(Index!$B$2:$B$167,MATCH('Draft 1'!AB10,Index!$A$2:$A$167,0)),"ERR"))</f>
        <v/>
      </c>
    </row>
    <row r="11">
      <c r="A11" s="7">
        <v>10.0</v>
      </c>
      <c r="B11" s="8" t="s">
        <v>22</v>
      </c>
      <c r="C11" s="9" t="s">
        <v>23</v>
      </c>
      <c r="D11" s="10" t="s">
        <v>22</v>
      </c>
      <c r="E11" s="12" t="str">
        <f t="array" ref="E11">IF('Draft 1'!E11="","",IFERROR(INDEX(Index!$B$2:$B$167,MATCH('Draft 1'!E11,Index!$A$2:$A$167,0)),"ERR"))</f>
        <v>R9.5C</v>
      </c>
      <c r="F11" s="12" t="str">
        <f t="array" ref="F11">IF('Draft 1'!F11="","",IFERROR(INDEX(Index!$B$2:$B$167,MATCH('Draft 1'!F11,Index!$A$2:$A$167,0)),"ERR"))</f>
        <v>R7.5C</v>
      </c>
      <c r="G11" s="12" t="str">
        <f t="array" ref="G11">IF('Draft 1'!G11="","",IFERROR(INDEX(Index!$B$2:$B$167,MATCH('Draft 1'!G11,Index!$A$2:$A$167,0)),"ERR"))</f>
        <v>R10.1D</v>
      </c>
      <c r="H11" s="12" t="str">
        <f t="array" ref="H11">IF('Draft 1'!H11="","",IFERROR(INDEX(Index!$B$2:$B$167,MATCH('Draft 1'!H11,Index!$A$2:$A$167,0)),"ERR"))</f>
        <v>R11.1D</v>
      </c>
      <c r="I11" s="12" t="str">
        <f t="array" ref="I11">IF('Draft 1'!I11="","",IFERROR(INDEX(Index!$B$2:$B$167,MATCH('Draft 1'!I11,Index!$A$2:$A$167,0)),"ERR"))</f>
        <v>R22.2D</v>
      </c>
      <c r="J11" s="12" t="str">
        <f t="array" ref="J11">IF('Draft 1'!J11="","",IFERROR(INDEX(Index!$B$2:$B$167,MATCH('Draft 1'!J11,Index!$A$2:$A$167,0)),"ERR"))</f>
        <v>R31.2D</v>
      </c>
      <c r="K11" s="12" t="str">
        <f t="array" ref="K11">IF('Draft 1'!K11="","",IFERROR(INDEX(Index!$B$2:$B$167,MATCH('Draft 1'!K11,Index!$A$2:$A$167,0)),"ERR"))</f>
        <v>R30.4D</v>
      </c>
      <c r="L11" s="12" t="str">
        <f t="array" ref="L11">IF('Draft 1'!L11="","",IFERROR(INDEX(Index!$B$2:$B$167,MATCH('Draft 1'!L11,Index!$A$2:$A$167,0)),"ERR"))</f>
        <v>R30.3D</v>
      </c>
      <c r="M11" s="12" t="str">
        <f t="array" ref="M11">IF('Draft 1'!M11="","",IFERROR(INDEX(Index!$B$2:$B$167,MATCH('Draft 1'!M11,Index!$A$2:$A$167,0)),"ERR"))</f>
        <v>R29.2D</v>
      </c>
      <c r="N11" s="12" t="str">
        <f t="array" ref="N11">IF('Draft 1'!N11="","",IFERROR(INDEX(Index!$B$2:$B$167,MATCH('Draft 1'!N11,Index!$A$2:$A$167,0)),"ERR"))</f>
        <v>R23.1D</v>
      </c>
      <c r="O11" s="12" t="str">
        <f t="array" ref="O11">IF('Draft 1'!O11="","",IFERROR(INDEX(Index!$B$2:$B$167,MATCH('Draft 1'!O11,Index!$A$2:$A$167,0)),"ERR"))</f>
        <v>R24.1D</v>
      </c>
      <c r="P11" s="12" t="str">
        <f t="array" ref="P11">IF('Draft 1'!P11="","",IFERROR(INDEX(Index!$B$2:$B$167,MATCH('Draft 1'!P11,Index!$A$2:$A$167,0)),"ERR"))</f>
        <v>R23.2D</v>
      </c>
      <c r="Q11" s="12" t="str">
        <f t="array" ref="Q11">IF('Draft 1'!Q11="","",IFERROR(INDEX(Index!$B$2:$B$167,MATCH('Draft 1'!Q11,Index!$A$2:$A$167,0)),"ERR"))</f>
        <v>R24.2D</v>
      </c>
      <c r="R11" s="12" t="str">
        <f t="array" ref="R11">IF('Draft 1'!R11="","",IFERROR(INDEX(Index!$B$2:$B$167,MATCH('Draft 1'!R11,Index!$A$2:$A$167,0)),"ERR"))</f>
        <v>R23.5D</v>
      </c>
      <c r="S11" s="12" t="str">
        <f t="array" ref="S11">IF('Draft 1'!S11="","",IFERROR(INDEX(Index!$B$2:$B$167,MATCH('Draft 1'!S11,Index!$A$2:$A$167,0)),"ERR"))</f>
        <v>R24.5D</v>
      </c>
      <c r="T11" s="12" t="str">
        <f t="array" ref="T11">IF('Draft 1'!T11="","",IFERROR(INDEX(Index!$B$2:$B$167,MATCH('Draft 1'!T11,Index!$A$2:$A$167,0)),"ERR"))</f>
        <v>R23.4D</v>
      </c>
      <c r="U11" s="12" t="str">
        <f t="array" ref="U11">IF('Draft 1'!U11="","",IFERROR(INDEX(Index!$B$2:$B$167,MATCH('Draft 1'!U11,Index!$A$2:$A$167,0)),"ERR"))</f>
        <v>R24.4D</v>
      </c>
      <c r="V11" s="12" t="str">
        <f t="array" ref="V11">IF('Draft 1'!V11="","",IFERROR(INDEX(Index!$B$2:$B$167,MATCH('Draft 1'!V11,Index!$A$2:$A$167,0)),"ERR"))</f>
        <v/>
      </c>
      <c r="W11" s="12" t="str">
        <f t="array" ref="W11">IF('Draft 1'!W11="","",IFERROR(INDEX(Index!$B$2:$B$167,MATCH('Draft 1'!W11,Index!$A$2:$A$167,0)),"ERR"))</f>
        <v/>
      </c>
      <c r="X11" s="12" t="str">
        <f t="array" ref="X11">IF('Draft 1'!X11="","",IFERROR(INDEX(Index!$B$2:$B$167,MATCH('Draft 1'!X11,Index!$A$2:$A$167,0)),"ERR"))</f>
        <v/>
      </c>
      <c r="Y11" s="12" t="str">
        <f t="array" ref="Y11">IF('Draft 1'!Y11="","",IFERROR(INDEX(Index!$B$2:$B$167,MATCH('Draft 1'!Y11,Index!$A$2:$A$167,0)),"ERR"))</f>
        <v/>
      </c>
      <c r="Z11" s="12" t="str">
        <f t="array" ref="Z11">IF('Draft 1'!Z11="","",IFERROR(INDEX(Index!$B$2:$B$167,MATCH('Draft 1'!Z11,Index!$A$2:$A$167,0)),"ERR"))</f>
        <v/>
      </c>
      <c r="AA11" s="12" t="str">
        <f t="array" ref="AA11">IF('Draft 1'!AA11="","",IFERROR(INDEX(Index!$B$2:$B$167,MATCH('Draft 1'!AA11,Index!$A$2:$A$167,0)),"ERR"))</f>
        <v/>
      </c>
      <c r="AB11" s="12" t="str">
        <f t="array" ref="AB11">IF('Draft 1'!AB11="","",IFERROR(INDEX(Index!$B$2:$B$167,MATCH('Draft 1'!AB11,Index!$A$2:$A$167,0)),"ERR"))</f>
        <v/>
      </c>
    </row>
    <row r="12">
      <c r="A12" s="7">
        <v>11.0</v>
      </c>
      <c r="B12" s="8" t="s">
        <v>24</v>
      </c>
      <c r="C12" s="9" t="s">
        <v>25</v>
      </c>
      <c r="D12" s="10" t="s">
        <v>24</v>
      </c>
      <c r="E12" s="12" t="str">
        <f t="array" ref="E12">IF('Draft 1'!E12="","",IFERROR(INDEX(Index!$B$2:$B$167,MATCH('Draft 1'!E12,Index!$A$2:$A$167,0)),"ERR"))</f>
        <v>R19.1C</v>
      </c>
      <c r="F12" s="12" t="str">
        <f t="array" ref="F12">IF('Draft 1'!F12="","",IFERROR(INDEX(Index!$B$2:$B$167,MATCH('Draft 1'!F12,Index!$A$2:$A$167,0)),"ERR"))</f>
        <v>R19.2C</v>
      </c>
      <c r="G12" s="12" t="str">
        <f t="array" ref="G12">IF('Draft 1'!G12="","",IFERROR(INDEX(Index!$B$2:$B$167,MATCH('Draft 1'!G12,Index!$A$2:$A$167,0)),"ERR"))</f>
        <v/>
      </c>
      <c r="H12" s="12" t="str">
        <f t="array" ref="H12">IF('Draft 1'!H12="","",IFERROR(INDEX(Index!$B$2:$B$167,MATCH('Draft 1'!H12,Index!$A$2:$A$167,0)),"ERR"))</f>
        <v/>
      </c>
      <c r="I12" s="12" t="str">
        <f t="array" ref="I12">IF('Draft 1'!I12="","",IFERROR(INDEX(Index!$B$2:$B$167,MATCH('Draft 1'!I12,Index!$A$2:$A$167,0)),"ERR"))</f>
        <v/>
      </c>
      <c r="J12" s="12" t="str">
        <f t="array" ref="J12">IF('Draft 1'!J12="","",IFERROR(INDEX(Index!$B$2:$B$167,MATCH('Draft 1'!J12,Index!$A$2:$A$167,0)),"ERR"))</f>
        <v/>
      </c>
      <c r="K12" s="12" t="str">
        <f t="array" ref="K12">IF('Draft 1'!K12="","",IFERROR(INDEX(Index!$B$2:$B$167,MATCH('Draft 1'!K12,Index!$A$2:$A$167,0)),"ERR"))</f>
        <v/>
      </c>
      <c r="L12" s="12" t="str">
        <f t="array" ref="L12">IF('Draft 1'!L12="","",IFERROR(INDEX(Index!$B$2:$B$167,MATCH('Draft 1'!L12,Index!$A$2:$A$167,0)),"ERR"))</f>
        <v/>
      </c>
      <c r="M12" s="12" t="str">
        <f t="array" ref="M12">IF('Draft 1'!M12="","",IFERROR(INDEX(Index!$B$2:$B$167,MATCH('Draft 1'!M12,Index!$A$2:$A$167,0)),"ERR"))</f>
        <v/>
      </c>
      <c r="N12" s="12" t="str">
        <f t="array" ref="N12">IF('Draft 1'!N12="","",IFERROR(INDEX(Index!$B$2:$B$167,MATCH('Draft 1'!N12,Index!$A$2:$A$167,0)),"ERR"))</f>
        <v/>
      </c>
      <c r="O12" s="12" t="str">
        <f t="array" ref="O12">IF('Draft 1'!O12="","",IFERROR(INDEX(Index!$B$2:$B$167,MATCH('Draft 1'!O12,Index!$A$2:$A$167,0)),"ERR"))</f>
        <v/>
      </c>
      <c r="P12" s="12" t="str">
        <f t="array" ref="P12">IF('Draft 1'!P12="","",IFERROR(INDEX(Index!$B$2:$B$167,MATCH('Draft 1'!P12,Index!$A$2:$A$167,0)),"ERR"))</f>
        <v/>
      </c>
      <c r="Q12" s="12" t="str">
        <f t="array" ref="Q12">IF('Draft 1'!Q12="","",IFERROR(INDEX(Index!$B$2:$B$167,MATCH('Draft 1'!Q12,Index!$A$2:$A$167,0)),"ERR"))</f>
        <v/>
      </c>
      <c r="R12" s="12" t="str">
        <f t="array" ref="R12">IF('Draft 1'!R12="","",IFERROR(INDEX(Index!$B$2:$B$167,MATCH('Draft 1'!R12,Index!$A$2:$A$167,0)),"ERR"))</f>
        <v/>
      </c>
      <c r="S12" s="12" t="str">
        <f t="array" ref="S12">IF('Draft 1'!S12="","",IFERROR(INDEX(Index!$B$2:$B$167,MATCH('Draft 1'!S12,Index!$A$2:$A$167,0)),"ERR"))</f>
        <v/>
      </c>
      <c r="T12" s="12" t="str">
        <f t="array" ref="T12">IF('Draft 1'!T12="","",IFERROR(INDEX(Index!$B$2:$B$167,MATCH('Draft 1'!T12,Index!$A$2:$A$167,0)),"ERR"))</f>
        <v/>
      </c>
      <c r="U12" s="12" t="str">
        <f t="array" ref="U12">IF('Draft 1'!U12="","",IFERROR(INDEX(Index!$B$2:$B$167,MATCH('Draft 1'!U12,Index!$A$2:$A$167,0)),"ERR"))</f>
        <v/>
      </c>
      <c r="V12" s="12" t="str">
        <f t="array" ref="V12">IF('Draft 1'!V12="","",IFERROR(INDEX(Index!$B$2:$B$167,MATCH('Draft 1'!V12,Index!$A$2:$A$167,0)),"ERR"))</f>
        <v/>
      </c>
      <c r="W12" s="12" t="str">
        <f t="array" ref="W12">IF('Draft 1'!W12="","",IFERROR(INDEX(Index!$B$2:$B$167,MATCH('Draft 1'!W12,Index!$A$2:$A$167,0)),"ERR"))</f>
        <v/>
      </c>
      <c r="X12" s="12" t="str">
        <f t="array" ref="X12">IF('Draft 1'!X12="","",IFERROR(INDEX(Index!$B$2:$B$167,MATCH('Draft 1'!X12,Index!$A$2:$A$167,0)),"ERR"))</f>
        <v/>
      </c>
      <c r="Y12" s="12" t="str">
        <f t="array" ref="Y12">IF('Draft 1'!Y12="","",IFERROR(INDEX(Index!$B$2:$B$167,MATCH('Draft 1'!Y12,Index!$A$2:$A$167,0)),"ERR"))</f>
        <v/>
      </c>
      <c r="Z12" s="12" t="str">
        <f t="array" ref="Z12">IF('Draft 1'!Z12="","",IFERROR(INDEX(Index!$B$2:$B$167,MATCH('Draft 1'!Z12,Index!$A$2:$A$167,0)),"ERR"))</f>
        <v/>
      </c>
      <c r="AA12" s="12" t="str">
        <f t="array" ref="AA12">IF('Draft 1'!AA12="","",IFERROR(INDEX(Index!$B$2:$B$167,MATCH('Draft 1'!AA12,Index!$A$2:$A$167,0)),"ERR"))</f>
        <v/>
      </c>
      <c r="AB12" s="12" t="str">
        <f t="array" ref="AB12">IF('Draft 1'!AB12="","",IFERROR(INDEX(Index!$B$2:$B$167,MATCH('Draft 1'!AB12,Index!$A$2:$A$167,0)),"ERR"))</f>
        <v/>
      </c>
    </row>
    <row r="13">
      <c r="A13" s="7">
        <v>12.0</v>
      </c>
      <c r="B13" s="8" t="s">
        <v>26</v>
      </c>
      <c r="C13" s="9" t="s">
        <v>27</v>
      </c>
      <c r="D13" s="10" t="s">
        <v>26</v>
      </c>
      <c r="E13" s="12" t="str">
        <f t="array" ref="E13">IF('Draft 1'!E13="","",IFERROR(INDEX(Index!$B$2:$B$167,MATCH('Draft 1'!E13,Index!$A$2:$A$167,0)),"ERR"))</f>
        <v>R31.7D</v>
      </c>
      <c r="F13" s="12" t="str">
        <f t="array" ref="F13">IF('Draft 1'!F13="","",IFERROR(INDEX(Index!$B$2:$B$167,MATCH('Draft 1'!F13,Index!$A$2:$A$167,0)),"ERR"))</f>
        <v>R32.2D</v>
      </c>
      <c r="G13" s="12" t="str">
        <f t="array" ref="G13">IF('Draft 1'!G13="","",IFERROR(INDEX(Index!$B$2:$B$167,MATCH('Draft 1'!G13,Index!$A$2:$A$167,0)),"ERR"))</f>
        <v>R32.3D</v>
      </c>
      <c r="H13" s="12" t="str">
        <f t="array" ref="H13">IF('Draft 1'!H13="","",IFERROR(INDEX(Index!$B$2:$B$167,MATCH('Draft 1'!H13,Index!$A$2:$A$167,0)),"ERR"))</f>
        <v/>
      </c>
      <c r="I13" s="12" t="str">
        <f t="array" ref="I13">IF('Draft 1'!I13="","",IFERROR(INDEX(Index!$B$2:$B$167,MATCH('Draft 1'!I13,Index!$A$2:$A$167,0)),"ERR"))</f>
        <v/>
      </c>
      <c r="J13" s="12" t="str">
        <f t="array" ref="J13">IF('Draft 1'!J13="","",IFERROR(INDEX(Index!$B$2:$B$167,MATCH('Draft 1'!J13,Index!$A$2:$A$167,0)),"ERR"))</f>
        <v/>
      </c>
      <c r="K13" s="12" t="str">
        <f t="array" ref="K13">IF('Draft 1'!K13="","",IFERROR(INDEX(Index!$B$2:$B$167,MATCH('Draft 1'!K13,Index!$A$2:$A$167,0)),"ERR"))</f>
        <v/>
      </c>
      <c r="L13" s="12" t="str">
        <f t="array" ref="L13">IF('Draft 1'!L13="","",IFERROR(INDEX(Index!$B$2:$B$167,MATCH('Draft 1'!L13,Index!$A$2:$A$167,0)),"ERR"))</f>
        <v/>
      </c>
      <c r="M13" s="12" t="str">
        <f t="array" ref="M13">IF('Draft 1'!M13="","",IFERROR(INDEX(Index!$B$2:$B$167,MATCH('Draft 1'!M13,Index!$A$2:$A$167,0)),"ERR"))</f>
        <v/>
      </c>
      <c r="N13" s="12" t="str">
        <f t="array" ref="N13">IF('Draft 1'!N13="","",IFERROR(INDEX(Index!$B$2:$B$167,MATCH('Draft 1'!N13,Index!$A$2:$A$167,0)),"ERR"))</f>
        <v/>
      </c>
      <c r="O13" s="12" t="str">
        <f t="array" ref="O13">IF('Draft 1'!O13="","",IFERROR(INDEX(Index!$B$2:$B$167,MATCH('Draft 1'!O13,Index!$A$2:$A$167,0)),"ERR"))</f>
        <v/>
      </c>
      <c r="P13" s="12" t="str">
        <f t="array" ref="P13">IF('Draft 1'!P13="","",IFERROR(INDEX(Index!$B$2:$B$167,MATCH('Draft 1'!P13,Index!$A$2:$A$167,0)),"ERR"))</f>
        <v/>
      </c>
      <c r="Q13" s="12" t="str">
        <f t="array" ref="Q13">IF('Draft 1'!Q13="","",IFERROR(INDEX(Index!$B$2:$B$167,MATCH('Draft 1'!Q13,Index!$A$2:$A$167,0)),"ERR"))</f>
        <v/>
      </c>
      <c r="R13" s="12" t="str">
        <f t="array" ref="R13">IF('Draft 1'!R13="","",IFERROR(INDEX(Index!$B$2:$B$167,MATCH('Draft 1'!R13,Index!$A$2:$A$167,0)),"ERR"))</f>
        <v/>
      </c>
      <c r="S13" s="12" t="str">
        <f t="array" ref="S13">IF('Draft 1'!S13="","",IFERROR(INDEX(Index!$B$2:$B$167,MATCH('Draft 1'!S13,Index!$A$2:$A$167,0)),"ERR"))</f>
        <v/>
      </c>
      <c r="T13" s="12" t="str">
        <f t="array" ref="T13">IF('Draft 1'!T13="","",IFERROR(INDEX(Index!$B$2:$B$167,MATCH('Draft 1'!T13,Index!$A$2:$A$167,0)),"ERR"))</f>
        <v/>
      </c>
      <c r="U13" s="12" t="str">
        <f t="array" ref="U13">IF('Draft 1'!U13="","",IFERROR(INDEX(Index!$B$2:$B$167,MATCH('Draft 1'!U13,Index!$A$2:$A$167,0)),"ERR"))</f>
        <v/>
      </c>
      <c r="V13" s="12" t="str">
        <f t="array" ref="V13">IF('Draft 1'!V13="","",IFERROR(INDEX(Index!$B$2:$B$167,MATCH('Draft 1'!V13,Index!$A$2:$A$167,0)),"ERR"))</f>
        <v/>
      </c>
      <c r="W13" s="12" t="str">
        <f t="array" ref="W13">IF('Draft 1'!W13="","",IFERROR(INDEX(Index!$B$2:$B$167,MATCH('Draft 1'!W13,Index!$A$2:$A$167,0)),"ERR"))</f>
        <v/>
      </c>
      <c r="X13" s="12" t="str">
        <f t="array" ref="X13">IF('Draft 1'!X13="","",IFERROR(INDEX(Index!$B$2:$B$167,MATCH('Draft 1'!X13,Index!$A$2:$A$167,0)),"ERR"))</f>
        <v/>
      </c>
      <c r="Y13" s="12" t="str">
        <f t="array" ref="Y13">IF('Draft 1'!Y13="","",IFERROR(INDEX(Index!$B$2:$B$167,MATCH('Draft 1'!Y13,Index!$A$2:$A$167,0)),"ERR"))</f>
        <v/>
      </c>
      <c r="Z13" s="12" t="str">
        <f t="array" ref="Z13">IF('Draft 1'!Z13="","",IFERROR(INDEX(Index!$B$2:$B$167,MATCH('Draft 1'!Z13,Index!$A$2:$A$167,0)),"ERR"))</f>
        <v/>
      </c>
      <c r="AA13" s="12" t="str">
        <f t="array" ref="AA13">IF('Draft 1'!AA13="","",IFERROR(INDEX(Index!$B$2:$B$167,MATCH('Draft 1'!AA13,Index!$A$2:$A$167,0)),"ERR"))</f>
        <v/>
      </c>
      <c r="AB13" s="12" t="str">
        <f t="array" ref="AB13">IF('Draft 1'!AB13="","",IFERROR(INDEX(Index!$B$2:$B$167,MATCH('Draft 1'!AB13,Index!$A$2:$A$167,0)),"ERR"))</f>
        <v/>
      </c>
    </row>
    <row r="14">
      <c r="A14" s="7">
        <v>13.0</v>
      </c>
      <c r="B14" s="8" t="s">
        <v>28</v>
      </c>
      <c r="C14" s="9" t="s">
        <v>29</v>
      </c>
      <c r="D14" s="10" t="s">
        <v>28</v>
      </c>
      <c r="E14" s="12" t="str">
        <f t="array" ref="E14">IF('Draft 1'!E14="","",IFERROR(INDEX(Index!$B$2:$B$167,MATCH('Draft 1'!E14,Index!$A$2:$A$167,0)),"ERR"))</f>
        <v>R1.5A</v>
      </c>
      <c r="F14" s="12" t="str">
        <f t="array" ref="F14">IF('Draft 1'!F14="","",IFERROR(INDEX(Index!$B$2:$B$167,MATCH('Draft 1'!F14,Index!$A$2:$A$167,0)),"ERR"))</f>
        <v>R2.5B</v>
      </c>
      <c r="G14" s="12" t="str">
        <f t="array" ref="G14">IF('Draft 1'!G14="","",IFERROR(INDEX(Index!$B$2:$B$167,MATCH('Draft 1'!G14,Index!$A$2:$A$167,0)),"ERR"))</f>
        <v>R3.5C</v>
      </c>
      <c r="H14" s="12" t="str">
        <f t="array" ref="H14">IF('Draft 1'!H14="","",IFERROR(INDEX(Index!$B$2:$B$167,MATCH('Draft 1'!H14,Index!$A$2:$A$167,0)),"ERR"))</f>
        <v>R1.4A</v>
      </c>
      <c r="I14" s="12" t="str">
        <f t="array" ref="I14">IF('Draft 1'!I14="","",IFERROR(INDEX(Index!$B$2:$B$167,MATCH('Draft 1'!I14,Index!$A$2:$A$167,0)),"ERR"))</f>
        <v>R2.4B</v>
      </c>
      <c r="J14" s="12" t="str">
        <f t="array" ref="J14">IF('Draft 1'!J14="","",IFERROR(INDEX(Index!$B$2:$B$167,MATCH('Draft 1'!J14,Index!$A$2:$A$167,0)),"ERR"))</f>
        <v>R3.4C</v>
      </c>
      <c r="K14" s="12" t="str">
        <f t="array" ref="K14">IF('Draft 1'!K14="","",IFERROR(INDEX(Index!$B$2:$B$167,MATCH('Draft 1'!K14,Index!$A$2:$A$167,0)),"ERR"))</f>
        <v>R4.5E</v>
      </c>
      <c r="L14" s="12" t="str">
        <f t="array" ref="L14">IF('Draft 1'!L14="","",IFERROR(INDEX(Index!$B$2:$B$167,MATCH('Draft 1'!L14,Index!$A$2:$A$167,0)),"ERR"))</f>
        <v>R4.4E</v>
      </c>
      <c r="M14" s="12" t="str">
        <f t="array" ref="M14">IF('Draft 1'!M14="","",IFERROR(INDEX(Index!$B$2:$B$167,MATCH('Draft 1'!M14,Index!$A$2:$A$167,0)),"ERR"))</f>
        <v/>
      </c>
      <c r="N14" s="12" t="str">
        <f t="array" ref="N14">IF('Draft 1'!N14="","",IFERROR(INDEX(Index!$B$2:$B$167,MATCH('Draft 1'!N14,Index!$A$2:$A$167,0)),"ERR"))</f>
        <v/>
      </c>
      <c r="O14" s="12" t="str">
        <f t="array" ref="O14">IF('Draft 1'!O14="","",IFERROR(INDEX(Index!$B$2:$B$167,MATCH('Draft 1'!O14,Index!$A$2:$A$167,0)),"ERR"))</f>
        <v/>
      </c>
      <c r="P14" s="12" t="str">
        <f t="array" ref="P14">IF('Draft 1'!P14="","",IFERROR(INDEX(Index!$B$2:$B$167,MATCH('Draft 1'!P14,Index!$A$2:$A$167,0)),"ERR"))</f>
        <v/>
      </c>
      <c r="Q14" s="12" t="str">
        <f t="array" ref="Q14">IF('Draft 1'!Q14="","",IFERROR(INDEX(Index!$B$2:$B$167,MATCH('Draft 1'!Q14,Index!$A$2:$A$167,0)),"ERR"))</f>
        <v/>
      </c>
      <c r="R14" s="12" t="str">
        <f t="array" ref="R14">IF('Draft 1'!R14="","",IFERROR(INDEX(Index!$B$2:$B$167,MATCH('Draft 1'!R14,Index!$A$2:$A$167,0)),"ERR"))</f>
        <v/>
      </c>
      <c r="S14" s="12" t="str">
        <f t="array" ref="S14">IF('Draft 1'!S14="","",IFERROR(INDEX(Index!$B$2:$B$167,MATCH('Draft 1'!S14,Index!$A$2:$A$167,0)),"ERR"))</f>
        <v/>
      </c>
      <c r="T14" s="12" t="str">
        <f t="array" ref="T14">IF('Draft 1'!T14="","",IFERROR(INDEX(Index!$B$2:$B$167,MATCH('Draft 1'!T14,Index!$A$2:$A$167,0)),"ERR"))</f>
        <v/>
      </c>
      <c r="U14" s="12" t="str">
        <f t="array" ref="U14">IF('Draft 1'!U14="","",IFERROR(INDEX(Index!$B$2:$B$167,MATCH('Draft 1'!U14,Index!$A$2:$A$167,0)),"ERR"))</f>
        <v/>
      </c>
      <c r="V14" s="12" t="str">
        <f t="array" ref="V14">IF('Draft 1'!V14="","",IFERROR(INDEX(Index!$B$2:$B$167,MATCH('Draft 1'!V14,Index!$A$2:$A$167,0)),"ERR"))</f>
        <v/>
      </c>
      <c r="W14" s="12" t="str">
        <f t="array" ref="W14">IF('Draft 1'!W14="","",IFERROR(INDEX(Index!$B$2:$B$167,MATCH('Draft 1'!W14,Index!$A$2:$A$167,0)),"ERR"))</f>
        <v/>
      </c>
      <c r="X14" s="12" t="str">
        <f t="array" ref="X14">IF('Draft 1'!X14="","",IFERROR(INDEX(Index!$B$2:$B$167,MATCH('Draft 1'!X14,Index!$A$2:$A$167,0)),"ERR"))</f>
        <v/>
      </c>
      <c r="Y14" s="12" t="str">
        <f t="array" ref="Y14">IF('Draft 1'!Y14="","",IFERROR(INDEX(Index!$B$2:$B$167,MATCH('Draft 1'!Y14,Index!$A$2:$A$167,0)),"ERR"))</f>
        <v/>
      </c>
      <c r="Z14" s="12" t="str">
        <f t="array" ref="Z14">IF('Draft 1'!Z14="","",IFERROR(INDEX(Index!$B$2:$B$167,MATCH('Draft 1'!Z14,Index!$A$2:$A$167,0)),"ERR"))</f>
        <v/>
      </c>
      <c r="AA14" s="12" t="str">
        <f t="array" ref="AA14">IF('Draft 1'!AA14="","",IFERROR(INDEX(Index!$B$2:$B$167,MATCH('Draft 1'!AA14,Index!$A$2:$A$167,0)),"ERR"))</f>
        <v/>
      </c>
      <c r="AB14" s="12" t="str">
        <f t="array" ref="AB14">IF('Draft 1'!AB14="","",IFERROR(INDEX(Index!$B$2:$B$167,MATCH('Draft 1'!AB14,Index!$A$2:$A$167,0)),"ERR"))</f>
        <v/>
      </c>
    </row>
    <row r="15">
      <c r="A15" s="7">
        <v>14.0</v>
      </c>
      <c r="B15" s="8" t="s">
        <v>30</v>
      </c>
      <c r="C15" s="9" t="s">
        <v>31</v>
      </c>
      <c r="D15" s="10" t="s">
        <v>30</v>
      </c>
      <c r="E15" s="12" t="str">
        <f t="array" ref="E15">IF('Draft 1'!E15="","",IFERROR(INDEX(Index!$B$2:$B$167,MATCH('Draft 1'!E15,Index!$A$2:$A$167,0)),"ERR"))</f>
        <v>R1.1A</v>
      </c>
      <c r="F15" s="12" t="str">
        <f t="array" ref="F15">IF('Draft 1'!F15="","",IFERROR(INDEX(Index!$B$2:$B$167,MATCH('Draft 1'!F15,Index!$A$2:$A$167,0)),"ERR"))</f>
        <v>R2.1B</v>
      </c>
      <c r="G15" s="12" t="str">
        <f t="array" ref="G15">IF('Draft 1'!G15="","",IFERROR(INDEX(Index!$B$2:$B$167,MATCH('Draft 1'!G15,Index!$A$2:$A$167,0)),"ERR"))</f>
        <v>R3.1C</v>
      </c>
      <c r="H15" s="12" t="str">
        <f t="array" ref="H15">IF('Draft 1'!H15="","",IFERROR(INDEX(Index!$B$2:$B$167,MATCH('Draft 1'!H15,Index!$A$2:$A$167,0)),"ERR"))</f>
        <v>R1.2A</v>
      </c>
      <c r="I15" s="12" t="str">
        <f t="array" ref="I15">IF('Draft 1'!I15="","",IFERROR(INDEX(Index!$B$2:$B$167,MATCH('Draft 1'!I15,Index!$A$2:$A$167,0)),"ERR"))</f>
        <v>R2.2B</v>
      </c>
      <c r="J15" s="12" t="str">
        <f t="array" ref="J15">IF('Draft 1'!J15="","",IFERROR(INDEX(Index!$B$2:$B$167,MATCH('Draft 1'!J15,Index!$A$2:$A$167,0)),"ERR"))</f>
        <v>R3.2C</v>
      </c>
      <c r="K15" s="12" t="str">
        <f t="array" ref="K15">IF('Draft 1'!K15="","",IFERROR(INDEX(Index!$B$2:$B$167,MATCH('Draft 1'!K15,Index!$A$2:$A$167,0)),"ERR"))</f>
        <v>R4.1E</v>
      </c>
      <c r="L15" s="12" t="str">
        <f t="array" ref="L15">IF('Draft 1'!L15="","",IFERROR(INDEX(Index!$B$2:$B$167,MATCH('Draft 1'!L15,Index!$A$2:$A$167,0)),"ERR"))</f>
        <v>R4.2E</v>
      </c>
      <c r="M15" s="12" t="str">
        <f t="array" ref="M15">IF('Draft 1'!M15="","",IFERROR(INDEX(Index!$B$2:$B$167,MATCH('Draft 1'!M15,Index!$A$2:$A$167,0)),"ERR"))</f>
        <v/>
      </c>
      <c r="N15" s="12" t="str">
        <f t="array" ref="N15">IF('Draft 1'!N15="","",IFERROR(INDEX(Index!$B$2:$B$167,MATCH('Draft 1'!N15,Index!$A$2:$A$167,0)),"ERR"))</f>
        <v/>
      </c>
      <c r="O15" s="12" t="str">
        <f t="array" ref="O15">IF('Draft 1'!O15="","",IFERROR(INDEX(Index!$B$2:$B$167,MATCH('Draft 1'!O15,Index!$A$2:$A$167,0)),"ERR"))</f>
        <v/>
      </c>
      <c r="P15" s="12" t="str">
        <f t="array" ref="P15">IF('Draft 1'!P15="","",IFERROR(INDEX(Index!$B$2:$B$167,MATCH('Draft 1'!P15,Index!$A$2:$A$167,0)),"ERR"))</f>
        <v/>
      </c>
      <c r="Q15" s="12" t="str">
        <f t="array" ref="Q15">IF('Draft 1'!Q15="","",IFERROR(INDEX(Index!$B$2:$B$167,MATCH('Draft 1'!Q15,Index!$A$2:$A$167,0)),"ERR"))</f>
        <v/>
      </c>
      <c r="R15" s="12" t="str">
        <f t="array" ref="R15">IF('Draft 1'!R15="","",IFERROR(INDEX(Index!$B$2:$B$167,MATCH('Draft 1'!R15,Index!$A$2:$A$167,0)),"ERR"))</f>
        <v/>
      </c>
      <c r="S15" s="12" t="str">
        <f t="array" ref="S15">IF('Draft 1'!S15="","",IFERROR(INDEX(Index!$B$2:$B$167,MATCH('Draft 1'!S15,Index!$A$2:$A$167,0)),"ERR"))</f>
        <v/>
      </c>
      <c r="T15" s="12" t="str">
        <f t="array" ref="T15">IF('Draft 1'!T15="","",IFERROR(INDEX(Index!$B$2:$B$167,MATCH('Draft 1'!T15,Index!$A$2:$A$167,0)),"ERR"))</f>
        <v/>
      </c>
      <c r="U15" s="12" t="str">
        <f t="array" ref="U15">IF('Draft 1'!U15="","",IFERROR(INDEX(Index!$B$2:$B$167,MATCH('Draft 1'!U15,Index!$A$2:$A$167,0)),"ERR"))</f>
        <v/>
      </c>
      <c r="V15" s="12" t="str">
        <f t="array" ref="V15">IF('Draft 1'!V15="","",IFERROR(INDEX(Index!$B$2:$B$167,MATCH('Draft 1'!V15,Index!$A$2:$A$167,0)),"ERR"))</f>
        <v/>
      </c>
      <c r="W15" s="12" t="str">
        <f t="array" ref="W15">IF('Draft 1'!W15="","",IFERROR(INDEX(Index!$B$2:$B$167,MATCH('Draft 1'!W15,Index!$A$2:$A$167,0)),"ERR"))</f>
        <v/>
      </c>
      <c r="X15" s="12" t="str">
        <f t="array" ref="X15">IF('Draft 1'!X15="","",IFERROR(INDEX(Index!$B$2:$B$167,MATCH('Draft 1'!X15,Index!$A$2:$A$167,0)),"ERR"))</f>
        <v/>
      </c>
      <c r="Y15" s="12" t="str">
        <f t="array" ref="Y15">IF('Draft 1'!Y15="","",IFERROR(INDEX(Index!$B$2:$B$167,MATCH('Draft 1'!Y15,Index!$A$2:$A$167,0)),"ERR"))</f>
        <v/>
      </c>
      <c r="Z15" s="12" t="str">
        <f t="array" ref="Z15">IF('Draft 1'!Z15="","",IFERROR(INDEX(Index!$B$2:$B$167,MATCH('Draft 1'!Z15,Index!$A$2:$A$167,0)),"ERR"))</f>
        <v/>
      </c>
      <c r="AA15" s="12" t="str">
        <f t="array" ref="AA15">IF('Draft 1'!AA15="","",IFERROR(INDEX(Index!$B$2:$B$167,MATCH('Draft 1'!AA15,Index!$A$2:$A$167,0)),"ERR"))</f>
        <v/>
      </c>
      <c r="AB15" s="12" t="str">
        <f t="array" ref="AB15">IF('Draft 1'!AB15="","",IFERROR(INDEX(Index!$B$2:$B$167,MATCH('Draft 1'!AB15,Index!$A$2:$A$167,0)),"ERR"))</f>
        <v/>
      </c>
    </row>
    <row r="16">
      <c r="A16" s="7">
        <v>15.0</v>
      </c>
      <c r="B16" s="8" t="s">
        <v>32</v>
      </c>
      <c r="C16" s="9" t="s">
        <v>33</v>
      </c>
      <c r="D16" s="10" t="s">
        <v>32</v>
      </c>
      <c r="E16" s="12" t="str">
        <f t="array" ref="E16">IF('Draft 1'!E16="","",IFERROR(INDEX(Index!$B$2:$B$167,MATCH('Draft 1'!E16,Index!$A$2:$A$167,0)),"ERR"))</f>
        <v>R9.1C</v>
      </c>
      <c r="F16" s="12" t="str">
        <f t="array" ref="F16">IF('Draft 1'!F16="","",IFERROR(INDEX(Index!$B$2:$B$167,MATCH('Draft 1'!F16,Index!$A$2:$A$167,0)),"ERR"))</f>
        <v>R7.1C</v>
      </c>
      <c r="G16" s="12" t="str">
        <f t="array" ref="G16">IF('Draft 1'!G16="","",IFERROR(INDEX(Index!$B$2:$B$167,MATCH('Draft 1'!G16,Index!$A$2:$A$167,0)),"ERR"))</f>
        <v>R10.5D</v>
      </c>
      <c r="H16" s="12" t="str">
        <f t="array" ref="H16">IF('Draft 1'!H16="","",IFERROR(INDEX(Index!$B$2:$B$167,MATCH('Draft 1'!H16,Index!$A$2:$A$167,0)),"ERR"))</f>
        <v>R11.5D</v>
      </c>
      <c r="I16" s="12" t="str">
        <f t="array" ref="I16">IF('Draft 1'!I16="","",IFERROR(INDEX(Index!$B$2:$B$167,MATCH('Draft 1'!I16,Index!$A$2:$A$167,0)),"ERR"))</f>
        <v>R9.2C</v>
      </c>
      <c r="J16" s="12" t="str">
        <f t="array" ref="J16">IF('Draft 1'!J16="","",IFERROR(INDEX(Index!$B$2:$B$167,MATCH('Draft 1'!J16,Index!$A$2:$A$167,0)),"ERR"))</f>
        <v>R7.2C</v>
      </c>
      <c r="K16" s="12" t="str">
        <f t="array" ref="K16">IF('Draft 1'!K16="","",IFERROR(INDEX(Index!$B$2:$B$167,MATCH('Draft 1'!K16,Index!$A$2:$A$167,0)),"ERR"))</f>
        <v>R10.4D</v>
      </c>
      <c r="L16" s="12" t="str">
        <f t="array" ref="L16">IF('Draft 1'!L16="","",IFERROR(INDEX(Index!$B$2:$B$167,MATCH('Draft 1'!L16,Index!$A$2:$A$167,0)),"ERR"))</f>
        <v>R11.4D</v>
      </c>
      <c r="M16" s="12" t="str">
        <f t="array" ref="M16">IF('Draft 1'!M16="","",IFERROR(INDEX(Index!$B$2:$B$167,MATCH('Draft 1'!M16,Index!$A$2:$A$167,0)),"ERR"))</f>
        <v>R27.4D</v>
      </c>
      <c r="N16" s="12" t="str">
        <f t="array" ref="N16">IF('Draft 1'!N16="","",IFERROR(INDEX(Index!$B$2:$B$167,MATCH('Draft 1'!N16,Index!$A$2:$A$167,0)),"ERR"))</f>
        <v>R32.2D</v>
      </c>
      <c r="O16" s="12" t="str">
        <f t="array" ref="O16">IF('Draft 1'!O16="","",IFERROR(INDEX(Index!$B$2:$B$167,MATCH('Draft 1'!O16,Index!$A$2:$A$167,0)),"ERR"))</f>
        <v>R22.4D</v>
      </c>
      <c r="P16" s="12" t="str">
        <f t="array" ref="P16">IF('Draft 1'!P16="","",IFERROR(INDEX(Index!$B$2:$B$167,MATCH('Draft 1'!P16,Index!$A$2:$A$167,0)),"ERR"))</f>
        <v>R30.2D</v>
      </c>
      <c r="Q16" s="12" t="str">
        <f t="array" ref="Q16">IF('Draft 1'!Q16="","",IFERROR(INDEX(Index!$B$2:$B$167,MATCH('Draft 1'!Q16,Index!$A$2:$A$167,0)),"ERR"))</f>
        <v>R29.3D</v>
      </c>
      <c r="R16" s="12" t="str">
        <f t="array" ref="R16">IF('Draft 1'!R16="","",IFERROR(INDEX(Index!$B$2:$B$167,MATCH('Draft 1'!R16,Index!$A$2:$A$167,0)),"ERR"))</f>
        <v>R31.8D</v>
      </c>
      <c r="S16" s="12" t="str">
        <f t="array" ref="S16">IF('Draft 1'!S16="","",IFERROR(INDEX(Index!$B$2:$B$167,MATCH('Draft 1'!S16,Index!$A$2:$A$167,0)),"ERR"))</f>
        <v>R23.1D</v>
      </c>
      <c r="T16" s="12" t="str">
        <f t="array" ref="T16">IF('Draft 1'!T16="","",IFERROR(INDEX(Index!$B$2:$B$167,MATCH('Draft 1'!T16,Index!$A$2:$A$167,0)),"ERR"))</f>
        <v>R24.1D</v>
      </c>
      <c r="U16" s="12" t="str">
        <f t="array" ref="U16">IF('Draft 1'!U16="","",IFERROR(INDEX(Index!$B$2:$B$167,MATCH('Draft 1'!U16,Index!$A$2:$A$167,0)),"ERR"))</f>
        <v>R23.2D</v>
      </c>
      <c r="V16" s="12" t="str">
        <f t="array" ref="V16">IF('Draft 1'!V16="","",IFERROR(INDEX(Index!$B$2:$B$167,MATCH('Draft 1'!V16,Index!$A$2:$A$167,0)),"ERR"))</f>
        <v>R24.2D</v>
      </c>
      <c r="W16" s="12" t="str">
        <f t="array" ref="W16">IF('Draft 1'!W16="","",IFERROR(INDEX(Index!$B$2:$B$167,MATCH('Draft 1'!W16,Index!$A$2:$A$167,0)),"ERR"))</f>
        <v>R4.5E</v>
      </c>
      <c r="X16" s="12" t="str">
        <f t="array" ref="X16">IF('Draft 1'!X16="","",IFERROR(INDEX(Index!$B$2:$B$167,MATCH('Draft 1'!X16,Index!$A$2:$A$167,0)),"ERR"))</f>
        <v>R4.4E</v>
      </c>
      <c r="Y16" s="12" t="str">
        <f t="array" ref="Y16">IF('Draft 1'!Y16="","",IFERROR(INDEX(Index!$B$2:$B$167,MATCH('Draft 1'!Y16,Index!$A$2:$A$167,0)),"ERR"))</f>
        <v/>
      </c>
      <c r="Z16" s="12" t="str">
        <f t="array" ref="Z16">IF('Draft 1'!Z16="","",IFERROR(INDEX(Index!$B$2:$B$167,MATCH('Draft 1'!Z16,Index!$A$2:$A$167,0)),"ERR"))</f>
        <v/>
      </c>
      <c r="AA16" s="12" t="str">
        <f t="array" ref="AA16">IF('Draft 1'!AA16="","",IFERROR(INDEX(Index!$B$2:$B$167,MATCH('Draft 1'!AA16,Index!$A$2:$A$167,0)),"ERR"))</f>
        <v/>
      </c>
      <c r="AB16" s="12" t="str">
        <f t="array" ref="AB16">IF('Draft 1'!AB16="","",IFERROR(INDEX(Index!$B$2:$B$167,MATCH('Draft 1'!AB16,Index!$A$2:$A$167,0)),"ERR"))</f>
        <v/>
      </c>
    </row>
    <row r="17">
      <c r="A17" s="7">
        <v>16.0</v>
      </c>
      <c r="B17" s="8" t="s">
        <v>34</v>
      </c>
      <c r="C17" s="9" t="s">
        <v>35</v>
      </c>
      <c r="D17" s="10" t="s">
        <v>34</v>
      </c>
      <c r="E17" s="12" t="str">
        <f t="array" ref="E17">IF('Draft 1'!E17="","",IFERROR(INDEX(Index!$B$2:$B$167,MATCH('Draft 1'!E17,Index!$A$2:$A$167,0)),"ERR"))</f>
        <v>R9.5C</v>
      </c>
      <c r="F17" s="12" t="str">
        <f t="array" ref="F17">IF('Draft 1'!F17="","",IFERROR(INDEX(Index!$B$2:$B$167,MATCH('Draft 1'!F17,Index!$A$2:$A$167,0)),"ERR"))</f>
        <v>R7.5C</v>
      </c>
      <c r="G17" s="12" t="str">
        <f t="array" ref="G17">IF('Draft 1'!G17="","",IFERROR(INDEX(Index!$B$2:$B$167,MATCH('Draft 1'!G17,Index!$A$2:$A$167,0)),"ERR"))</f>
        <v>R10.1D</v>
      </c>
      <c r="H17" s="12" t="str">
        <f t="array" ref="H17">IF('Draft 1'!H17="","",IFERROR(INDEX(Index!$B$2:$B$167,MATCH('Draft 1'!H17,Index!$A$2:$A$167,0)),"ERR"))</f>
        <v>R11.1D</v>
      </c>
      <c r="I17" s="12" t="str">
        <f t="array" ref="I17">IF('Draft 1'!I17="","",IFERROR(INDEX(Index!$B$2:$B$167,MATCH('Draft 1'!I17,Index!$A$2:$A$167,0)),"ERR"))</f>
        <v>R9.5C</v>
      </c>
      <c r="J17" s="12" t="str">
        <f t="array" ref="J17">IF('Draft 1'!J17="","",IFERROR(INDEX(Index!$B$2:$B$167,MATCH('Draft 1'!J17,Index!$A$2:$A$167,0)),"ERR"))</f>
        <v>R7.5C</v>
      </c>
      <c r="K17" s="12" t="str">
        <f t="array" ref="K17">IF('Draft 1'!K17="","",IFERROR(INDEX(Index!$B$2:$B$167,MATCH('Draft 1'!K17,Index!$A$2:$A$167,0)),"ERR"))</f>
        <v>R10.1D</v>
      </c>
      <c r="L17" s="12" t="str">
        <f t="array" ref="L17">IF('Draft 1'!L17="","",IFERROR(INDEX(Index!$B$2:$B$167,MATCH('Draft 1'!L17,Index!$A$2:$A$167,0)),"ERR"))</f>
        <v>R11.1D</v>
      </c>
      <c r="M17" s="12" t="str">
        <f t="array" ref="M17">IF('Draft 1'!M17="","",IFERROR(INDEX(Index!$B$2:$B$167,MATCH('Draft 1'!M17,Index!$A$2:$A$167,0)),"ERR"))</f>
        <v>R22.2D</v>
      </c>
      <c r="N17" s="12" t="str">
        <f t="array" ref="N17">IF('Draft 1'!N17="","",IFERROR(INDEX(Index!$B$2:$B$167,MATCH('Draft 1'!N17,Index!$A$2:$A$167,0)),"ERR"))</f>
        <v>R22.5D</v>
      </c>
      <c r="O17" s="12" t="str">
        <f t="array" ref="O17">IF('Draft 1'!O17="","",IFERROR(INDEX(Index!$B$2:$B$167,MATCH('Draft 1'!O17,Index!$A$2:$A$167,0)),"ERR"))</f>
        <v>R31.2D</v>
      </c>
      <c r="P17" s="12" t="str">
        <f t="array" ref="P17">IF('Draft 1'!P17="","",IFERROR(INDEX(Index!$B$2:$B$167,MATCH('Draft 1'!P17,Index!$A$2:$A$167,0)),"ERR"))</f>
        <v>R30.4D</v>
      </c>
      <c r="Q17" s="12" t="str">
        <f t="array" ref="Q17">IF('Draft 1'!Q17="","",IFERROR(INDEX(Index!$B$2:$B$167,MATCH('Draft 1'!Q17,Index!$A$2:$A$167,0)),"ERR"))</f>
        <v>R30.3D</v>
      </c>
      <c r="R17" s="12" t="str">
        <f t="array" ref="R17">IF('Draft 1'!R17="","",IFERROR(INDEX(Index!$B$2:$B$167,MATCH('Draft 1'!R17,Index!$A$2:$A$167,0)),"ERR"))</f>
        <v>R29.2D</v>
      </c>
      <c r="S17" s="12" t="str">
        <f t="array" ref="S17">IF('Draft 1'!S17="","",IFERROR(INDEX(Index!$B$2:$B$167,MATCH('Draft 1'!S17,Index!$A$2:$A$167,0)),"ERR"))</f>
        <v>R23.1D</v>
      </c>
      <c r="T17" s="12" t="str">
        <f t="array" ref="T17">IF('Draft 1'!T17="","",IFERROR(INDEX(Index!$B$2:$B$167,MATCH('Draft 1'!T17,Index!$A$2:$A$167,0)),"ERR"))</f>
        <v>R24.1D</v>
      </c>
      <c r="U17" s="12" t="str">
        <f t="array" ref="U17">IF('Draft 1'!U17="","",IFERROR(INDEX(Index!$B$2:$B$167,MATCH('Draft 1'!U17,Index!$A$2:$A$167,0)),"ERR"))</f>
        <v>R23.2D</v>
      </c>
      <c r="V17" s="12" t="str">
        <f t="array" ref="V17">IF('Draft 1'!V17="","",IFERROR(INDEX(Index!$B$2:$B$167,MATCH('Draft 1'!V17,Index!$A$2:$A$167,0)),"ERR"))</f>
        <v>R24.2D</v>
      </c>
      <c r="W17" s="12" t="str">
        <f t="array" ref="W17">IF('Draft 1'!W17="","",IFERROR(INDEX(Index!$B$2:$B$167,MATCH('Draft 1'!W17,Index!$A$2:$A$167,0)),"ERR"))</f>
        <v>R23.5D</v>
      </c>
      <c r="X17" s="12" t="str">
        <f t="array" ref="X17">IF('Draft 1'!X17="","",IFERROR(INDEX(Index!$B$2:$B$167,MATCH('Draft 1'!X17,Index!$A$2:$A$167,0)),"ERR"))</f>
        <v>R24.5D</v>
      </c>
      <c r="Y17" s="12" t="str">
        <f t="array" ref="Y17">IF('Draft 1'!Y17="","",IFERROR(INDEX(Index!$B$2:$B$167,MATCH('Draft 1'!Y17,Index!$A$2:$A$167,0)),"ERR"))</f>
        <v>R23.4D</v>
      </c>
      <c r="Z17" s="12" t="str">
        <f t="array" ref="Z17">IF('Draft 1'!Z17="","",IFERROR(INDEX(Index!$B$2:$B$167,MATCH('Draft 1'!Z17,Index!$A$2:$A$167,0)),"ERR"))</f>
        <v>R24.4D</v>
      </c>
      <c r="AA17" s="12" t="str">
        <f t="array" ref="AA17">IF('Draft 1'!AA17="","",IFERROR(INDEX(Index!$B$2:$B$167,MATCH('Draft 1'!AA17,Index!$A$2:$A$167,0)),"ERR"))</f>
        <v>R4.1E</v>
      </c>
      <c r="AB17" s="12" t="str">
        <f t="array" ref="AB17">IF('Draft 1'!AB17="","",IFERROR(INDEX(Index!$B$2:$B$167,MATCH('Draft 1'!AB17,Index!$A$2:$A$167,0)),"ERR"))</f>
        <v>R4.2E</v>
      </c>
    </row>
    <row r="18">
      <c r="A18" s="7">
        <v>19.0</v>
      </c>
      <c r="B18" s="8" t="s">
        <v>36</v>
      </c>
      <c r="C18" s="9" t="s">
        <v>37</v>
      </c>
      <c r="D18" s="10" t="s">
        <v>36</v>
      </c>
      <c r="E18" s="12" t="str">
        <f t="array" ref="E18">IF('Draft 1'!E18="","",IFERROR(INDEX(Index!$B$2:$B$167,MATCH('Draft 1'!E18,Index!$A$2:$A$167,0)),"ERR"))</f>
        <v>R32.3D</v>
      </c>
      <c r="F18" s="12" t="str">
        <f t="array" ref="F18">IF('Draft 1'!F18="","",IFERROR(INDEX(Index!$B$2:$B$167,MATCH('Draft 1'!F18,Index!$A$2:$A$167,0)),"ERR"))</f>
        <v/>
      </c>
      <c r="G18" s="12" t="str">
        <f t="array" ref="G18">IF('Draft 1'!G18="","",IFERROR(INDEX(Index!$B$2:$B$167,MATCH('Draft 1'!G18,Index!$A$2:$A$167,0)),"ERR"))</f>
        <v/>
      </c>
      <c r="H18" s="12" t="str">
        <f t="array" ref="H18">IF('Draft 1'!H18="","",IFERROR(INDEX(Index!$B$2:$B$167,MATCH('Draft 1'!H18,Index!$A$2:$A$167,0)),"ERR"))</f>
        <v/>
      </c>
      <c r="I18" s="12" t="str">
        <f t="array" ref="I18">IF('Draft 1'!I18="","",IFERROR(INDEX(Index!$B$2:$B$167,MATCH('Draft 1'!I18,Index!$A$2:$A$167,0)),"ERR"))</f>
        <v/>
      </c>
      <c r="J18" s="12" t="str">
        <f t="array" ref="J18">IF('Draft 1'!J18="","",IFERROR(INDEX(Index!$B$2:$B$167,MATCH('Draft 1'!J18,Index!$A$2:$A$167,0)),"ERR"))</f>
        <v/>
      </c>
      <c r="K18" s="12" t="str">
        <f t="array" ref="K18">IF('Draft 1'!K18="","",IFERROR(INDEX(Index!$B$2:$B$167,MATCH('Draft 1'!K18,Index!$A$2:$A$167,0)),"ERR"))</f>
        <v/>
      </c>
      <c r="L18" s="12" t="str">
        <f t="array" ref="L18">IF('Draft 1'!L18="","",IFERROR(INDEX(Index!$B$2:$B$167,MATCH('Draft 1'!L18,Index!$A$2:$A$167,0)),"ERR"))</f>
        <v/>
      </c>
      <c r="M18" s="12" t="str">
        <f t="array" ref="M18">IF('Draft 1'!M18="","",IFERROR(INDEX(Index!$B$2:$B$167,MATCH('Draft 1'!M18,Index!$A$2:$A$167,0)),"ERR"))</f>
        <v/>
      </c>
      <c r="N18" s="12" t="str">
        <f t="array" ref="N18">IF('Draft 1'!N18="","",IFERROR(INDEX(Index!$B$2:$B$167,MATCH('Draft 1'!N18,Index!$A$2:$A$167,0)),"ERR"))</f>
        <v/>
      </c>
      <c r="O18" s="12" t="str">
        <f t="array" ref="O18">IF('Draft 1'!O18="","",IFERROR(INDEX(Index!$B$2:$B$167,MATCH('Draft 1'!O18,Index!$A$2:$A$167,0)),"ERR"))</f>
        <v/>
      </c>
      <c r="P18" s="12" t="str">
        <f t="array" ref="P18">IF('Draft 1'!P18="","",IFERROR(INDEX(Index!$B$2:$B$167,MATCH('Draft 1'!P18,Index!$A$2:$A$167,0)),"ERR"))</f>
        <v/>
      </c>
      <c r="Q18" s="12" t="str">
        <f t="array" ref="Q18">IF('Draft 1'!Q18="","",IFERROR(INDEX(Index!$B$2:$B$167,MATCH('Draft 1'!Q18,Index!$A$2:$A$167,0)),"ERR"))</f>
        <v/>
      </c>
      <c r="R18" s="12" t="str">
        <f t="array" ref="R18">IF('Draft 1'!R18="","",IFERROR(INDEX(Index!$B$2:$B$167,MATCH('Draft 1'!R18,Index!$A$2:$A$167,0)),"ERR"))</f>
        <v/>
      </c>
      <c r="S18" s="12" t="str">
        <f t="array" ref="S18">IF('Draft 1'!S18="","",IFERROR(INDEX(Index!$B$2:$B$167,MATCH('Draft 1'!S18,Index!$A$2:$A$167,0)),"ERR"))</f>
        <v/>
      </c>
      <c r="T18" s="12" t="str">
        <f t="array" ref="T18">IF('Draft 1'!T18="","",IFERROR(INDEX(Index!$B$2:$B$167,MATCH('Draft 1'!T18,Index!$A$2:$A$167,0)),"ERR"))</f>
        <v/>
      </c>
      <c r="U18" s="12" t="str">
        <f t="array" ref="U18">IF('Draft 1'!U18="","",IFERROR(INDEX(Index!$B$2:$B$167,MATCH('Draft 1'!U18,Index!$A$2:$A$167,0)),"ERR"))</f>
        <v/>
      </c>
      <c r="V18" s="12" t="str">
        <f t="array" ref="V18">IF('Draft 1'!V18="","",IFERROR(INDEX(Index!$B$2:$B$167,MATCH('Draft 1'!V18,Index!$A$2:$A$167,0)),"ERR"))</f>
        <v/>
      </c>
      <c r="W18" s="12" t="str">
        <f t="array" ref="W18">IF('Draft 1'!W18="","",IFERROR(INDEX(Index!$B$2:$B$167,MATCH('Draft 1'!W18,Index!$A$2:$A$167,0)),"ERR"))</f>
        <v/>
      </c>
      <c r="X18" s="12" t="str">
        <f t="array" ref="X18">IF('Draft 1'!X18="","",IFERROR(INDEX(Index!$B$2:$B$167,MATCH('Draft 1'!X18,Index!$A$2:$A$167,0)),"ERR"))</f>
        <v/>
      </c>
      <c r="Y18" s="12" t="str">
        <f t="array" ref="Y18">IF('Draft 1'!Y18="","",IFERROR(INDEX(Index!$B$2:$B$167,MATCH('Draft 1'!Y18,Index!$A$2:$A$167,0)),"ERR"))</f>
        <v/>
      </c>
      <c r="Z18" s="12" t="str">
        <f t="array" ref="Z18">IF('Draft 1'!Z18="","",IFERROR(INDEX(Index!$B$2:$B$167,MATCH('Draft 1'!Z18,Index!$A$2:$A$167,0)),"ERR"))</f>
        <v/>
      </c>
      <c r="AA18" s="12" t="str">
        <f t="array" ref="AA18">IF('Draft 1'!AA18="","",IFERROR(INDEX(Index!$B$2:$B$167,MATCH('Draft 1'!AA18,Index!$A$2:$A$167,0)),"ERR"))</f>
        <v/>
      </c>
      <c r="AB18" s="12" t="str">
        <f t="array" ref="AB18">IF('Draft 1'!AB18="","",IFERROR(INDEX(Index!$B$2:$B$167,MATCH('Draft 1'!AB18,Index!$A$2:$A$167,0)),"ERR"))</f>
        <v/>
      </c>
    </row>
    <row r="19">
      <c r="A19" s="7">
        <v>20.0</v>
      </c>
      <c r="B19" s="8" t="s">
        <v>38</v>
      </c>
      <c r="C19" s="9" t="s">
        <v>39</v>
      </c>
      <c r="D19" s="10" t="s">
        <v>38</v>
      </c>
      <c r="E19" s="12" t="str">
        <f t="array" ref="E19">IF('Draft 1'!E19="","",IFERROR(INDEX(Index!$B$2:$B$167,MATCH('Draft 1'!E19,Index!$A$2:$A$167,0)),"ERR"))</f>
        <v>R20.3D</v>
      </c>
      <c r="F19" s="12" t="str">
        <f t="array" ref="F19">IF('Draft 1'!F19="","",IFERROR(INDEX(Index!$B$2:$B$167,MATCH('Draft 1'!F19,Index!$A$2:$A$167,0)),"ERR"))</f>
        <v>R31.5D</v>
      </c>
      <c r="G19" s="12" t="str">
        <f t="array" ref="G19">IF('Draft 1'!G19="","",IFERROR(INDEX(Index!$B$2:$B$167,MATCH('Draft 1'!G19,Index!$A$2:$A$167,0)),"ERR"))</f>
        <v>R32.3D</v>
      </c>
      <c r="H19" s="12" t="str">
        <f t="array" ref="H19">IF('Draft 1'!H19="","",IFERROR(INDEX(Index!$B$2:$B$167,MATCH('Draft 1'!H19,Index!$A$2:$A$167,0)),"ERR"))</f>
        <v/>
      </c>
      <c r="I19" s="12" t="str">
        <f t="array" ref="I19">IF('Draft 1'!I19="","",IFERROR(INDEX(Index!$B$2:$B$167,MATCH('Draft 1'!I19,Index!$A$2:$A$167,0)),"ERR"))</f>
        <v/>
      </c>
      <c r="J19" s="12" t="str">
        <f t="array" ref="J19">IF('Draft 1'!J19="","",IFERROR(INDEX(Index!$B$2:$B$167,MATCH('Draft 1'!J19,Index!$A$2:$A$167,0)),"ERR"))</f>
        <v/>
      </c>
      <c r="K19" s="12" t="str">
        <f t="array" ref="K19">IF('Draft 1'!K19="","",IFERROR(INDEX(Index!$B$2:$B$167,MATCH('Draft 1'!K19,Index!$A$2:$A$167,0)),"ERR"))</f>
        <v/>
      </c>
      <c r="L19" s="12" t="str">
        <f t="array" ref="L19">IF('Draft 1'!L19="","",IFERROR(INDEX(Index!$B$2:$B$167,MATCH('Draft 1'!L19,Index!$A$2:$A$167,0)),"ERR"))</f>
        <v/>
      </c>
      <c r="M19" s="12" t="str">
        <f t="array" ref="M19">IF('Draft 1'!M19="","",IFERROR(INDEX(Index!$B$2:$B$167,MATCH('Draft 1'!M19,Index!$A$2:$A$167,0)),"ERR"))</f>
        <v/>
      </c>
      <c r="N19" s="12" t="str">
        <f t="array" ref="N19">IF('Draft 1'!N19="","",IFERROR(INDEX(Index!$B$2:$B$167,MATCH('Draft 1'!N19,Index!$A$2:$A$167,0)),"ERR"))</f>
        <v/>
      </c>
      <c r="O19" s="12" t="str">
        <f t="array" ref="O19">IF('Draft 1'!O19="","",IFERROR(INDEX(Index!$B$2:$B$167,MATCH('Draft 1'!O19,Index!$A$2:$A$167,0)),"ERR"))</f>
        <v/>
      </c>
      <c r="P19" s="12" t="str">
        <f t="array" ref="P19">IF('Draft 1'!P19="","",IFERROR(INDEX(Index!$B$2:$B$167,MATCH('Draft 1'!P19,Index!$A$2:$A$167,0)),"ERR"))</f>
        <v/>
      </c>
      <c r="Q19" s="12" t="str">
        <f t="array" ref="Q19">IF('Draft 1'!Q19="","",IFERROR(INDEX(Index!$B$2:$B$167,MATCH('Draft 1'!Q19,Index!$A$2:$A$167,0)),"ERR"))</f>
        <v/>
      </c>
      <c r="R19" s="12" t="str">
        <f t="array" ref="R19">IF('Draft 1'!R19="","",IFERROR(INDEX(Index!$B$2:$B$167,MATCH('Draft 1'!R19,Index!$A$2:$A$167,0)),"ERR"))</f>
        <v/>
      </c>
      <c r="S19" s="12" t="str">
        <f t="array" ref="S19">IF('Draft 1'!S19="","",IFERROR(INDEX(Index!$B$2:$B$167,MATCH('Draft 1'!S19,Index!$A$2:$A$167,0)),"ERR"))</f>
        <v/>
      </c>
      <c r="T19" s="12" t="str">
        <f t="array" ref="T19">IF('Draft 1'!T19="","",IFERROR(INDEX(Index!$B$2:$B$167,MATCH('Draft 1'!T19,Index!$A$2:$A$167,0)),"ERR"))</f>
        <v/>
      </c>
      <c r="U19" s="12" t="str">
        <f t="array" ref="U19">IF('Draft 1'!U19="","",IFERROR(INDEX(Index!$B$2:$B$167,MATCH('Draft 1'!U19,Index!$A$2:$A$167,0)),"ERR"))</f>
        <v/>
      </c>
      <c r="V19" s="12" t="str">
        <f t="array" ref="V19">IF('Draft 1'!V19="","",IFERROR(INDEX(Index!$B$2:$B$167,MATCH('Draft 1'!V19,Index!$A$2:$A$167,0)),"ERR"))</f>
        <v/>
      </c>
      <c r="W19" s="12" t="str">
        <f t="array" ref="W19">IF('Draft 1'!W19="","",IFERROR(INDEX(Index!$B$2:$B$167,MATCH('Draft 1'!W19,Index!$A$2:$A$167,0)),"ERR"))</f>
        <v/>
      </c>
      <c r="X19" s="12" t="str">
        <f t="array" ref="X19">IF('Draft 1'!X19="","",IFERROR(INDEX(Index!$B$2:$B$167,MATCH('Draft 1'!X19,Index!$A$2:$A$167,0)),"ERR"))</f>
        <v/>
      </c>
      <c r="Y19" s="12" t="str">
        <f t="array" ref="Y19">IF('Draft 1'!Y19="","",IFERROR(INDEX(Index!$B$2:$B$167,MATCH('Draft 1'!Y19,Index!$A$2:$A$167,0)),"ERR"))</f>
        <v/>
      </c>
      <c r="Z19" s="12" t="str">
        <f t="array" ref="Z19">IF('Draft 1'!Z19="","",IFERROR(INDEX(Index!$B$2:$B$167,MATCH('Draft 1'!Z19,Index!$A$2:$A$167,0)),"ERR"))</f>
        <v/>
      </c>
      <c r="AA19" s="12" t="str">
        <f t="array" ref="AA19">IF('Draft 1'!AA19="","",IFERROR(INDEX(Index!$B$2:$B$167,MATCH('Draft 1'!AA19,Index!$A$2:$A$167,0)),"ERR"))</f>
        <v/>
      </c>
      <c r="AB19" s="12" t="str">
        <f t="array" ref="AB19">IF('Draft 1'!AB19="","",IFERROR(INDEX(Index!$B$2:$B$167,MATCH('Draft 1'!AB19,Index!$A$2:$A$167,0)),"ERR"))</f>
        <v/>
      </c>
    </row>
    <row r="20">
      <c r="A20" s="7">
        <v>21.0</v>
      </c>
      <c r="B20" s="8" t="s">
        <v>40</v>
      </c>
      <c r="C20" s="9" t="s">
        <v>41</v>
      </c>
      <c r="D20" s="10" t="s">
        <v>40</v>
      </c>
      <c r="E20" s="12" t="str">
        <f t="array" ref="E20">IF('Draft 1'!E20="","",IFERROR(INDEX(Index!$B$2:$B$167,MATCH('Draft 1'!E20,Index!$A$2:$A$167,0)),"ERR"))</f>
        <v>R21.3D</v>
      </c>
      <c r="F20" s="12" t="str">
        <f t="array" ref="F20">IF('Draft 1'!F20="","",IFERROR(INDEX(Index!$B$2:$B$167,MATCH('Draft 1'!F20,Index!$A$2:$A$167,0)),"ERR"))</f>
        <v>R31.5D</v>
      </c>
      <c r="G20" s="12" t="str">
        <f t="array" ref="G20">IF('Draft 1'!G20="","",IFERROR(INDEX(Index!$B$2:$B$167,MATCH('Draft 1'!G20,Index!$A$2:$A$167,0)),"ERR"))</f>
        <v>R32.3D</v>
      </c>
      <c r="H20" s="12" t="str">
        <f t="array" ref="H20">IF('Draft 1'!H20="","",IFERROR(INDEX(Index!$B$2:$B$167,MATCH('Draft 1'!H20,Index!$A$2:$A$167,0)),"ERR"))</f>
        <v/>
      </c>
      <c r="I20" s="12" t="str">
        <f t="array" ref="I20">IF('Draft 1'!I20="","",IFERROR(INDEX(Index!$B$2:$B$167,MATCH('Draft 1'!I20,Index!$A$2:$A$167,0)),"ERR"))</f>
        <v/>
      </c>
      <c r="J20" s="12" t="str">
        <f t="array" ref="J20">IF('Draft 1'!J20="","",IFERROR(INDEX(Index!$B$2:$B$167,MATCH('Draft 1'!J20,Index!$A$2:$A$167,0)),"ERR"))</f>
        <v/>
      </c>
      <c r="K20" s="12" t="str">
        <f t="array" ref="K20">IF('Draft 1'!K20="","",IFERROR(INDEX(Index!$B$2:$B$167,MATCH('Draft 1'!K20,Index!$A$2:$A$167,0)),"ERR"))</f>
        <v/>
      </c>
      <c r="L20" s="12" t="str">
        <f t="array" ref="L20">IF('Draft 1'!L20="","",IFERROR(INDEX(Index!$B$2:$B$167,MATCH('Draft 1'!L20,Index!$A$2:$A$167,0)),"ERR"))</f>
        <v/>
      </c>
      <c r="M20" s="12" t="str">
        <f t="array" ref="M20">IF('Draft 1'!M20="","",IFERROR(INDEX(Index!$B$2:$B$167,MATCH('Draft 1'!M20,Index!$A$2:$A$167,0)),"ERR"))</f>
        <v/>
      </c>
      <c r="N20" s="12" t="str">
        <f t="array" ref="N20">IF('Draft 1'!N20="","",IFERROR(INDEX(Index!$B$2:$B$167,MATCH('Draft 1'!N20,Index!$A$2:$A$167,0)),"ERR"))</f>
        <v/>
      </c>
      <c r="O20" s="12" t="str">
        <f t="array" ref="O20">IF('Draft 1'!O20="","",IFERROR(INDEX(Index!$B$2:$B$167,MATCH('Draft 1'!O20,Index!$A$2:$A$167,0)),"ERR"))</f>
        <v/>
      </c>
      <c r="P20" s="12" t="str">
        <f t="array" ref="P20">IF('Draft 1'!P20="","",IFERROR(INDEX(Index!$B$2:$B$167,MATCH('Draft 1'!P20,Index!$A$2:$A$167,0)),"ERR"))</f>
        <v/>
      </c>
      <c r="Q20" s="12" t="str">
        <f t="array" ref="Q20">IF('Draft 1'!Q20="","",IFERROR(INDEX(Index!$B$2:$B$167,MATCH('Draft 1'!Q20,Index!$A$2:$A$167,0)),"ERR"))</f>
        <v/>
      </c>
      <c r="R20" s="12" t="str">
        <f t="array" ref="R20">IF('Draft 1'!R20="","",IFERROR(INDEX(Index!$B$2:$B$167,MATCH('Draft 1'!R20,Index!$A$2:$A$167,0)),"ERR"))</f>
        <v/>
      </c>
      <c r="S20" s="12" t="str">
        <f t="array" ref="S20">IF('Draft 1'!S20="","",IFERROR(INDEX(Index!$B$2:$B$167,MATCH('Draft 1'!S20,Index!$A$2:$A$167,0)),"ERR"))</f>
        <v/>
      </c>
      <c r="T20" s="12" t="str">
        <f t="array" ref="T20">IF('Draft 1'!T20="","",IFERROR(INDEX(Index!$B$2:$B$167,MATCH('Draft 1'!T20,Index!$A$2:$A$167,0)),"ERR"))</f>
        <v/>
      </c>
      <c r="U20" s="12" t="str">
        <f t="array" ref="U20">IF('Draft 1'!U20="","",IFERROR(INDEX(Index!$B$2:$B$167,MATCH('Draft 1'!U20,Index!$A$2:$A$167,0)),"ERR"))</f>
        <v/>
      </c>
      <c r="V20" s="12" t="str">
        <f t="array" ref="V20">IF('Draft 1'!V20="","",IFERROR(INDEX(Index!$B$2:$B$167,MATCH('Draft 1'!V20,Index!$A$2:$A$167,0)),"ERR"))</f>
        <v/>
      </c>
      <c r="W20" s="12" t="str">
        <f t="array" ref="W20">IF('Draft 1'!W20="","",IFERROR(INDEX(Index!$B$2:$B$167,MATCH('Draft 1'!W20,Index!$A$2:$A$167,0)),"ERR"))</f>
        <v/>
      </c>
      <c r="X20" s="12" t="str">
        <f t="array" ref="X20">IF('Draft 1'!X20="","",IFERROR(INDEX(Index!$B$2:$B$167,MATCH('Draft 1'!X20,Index!$A$2:$A$167,0)),"ERR"))</f>
        <v/>
      </c>
      <c r="Y20" s="12" t="str">
        <f t="array" ref="Y20">IF('Draft 1'!Y20="","",IFERROR(INDEX(Index!$B$2:$B$167,MATCH('Draft 1'!Y20,Index!$A$2:$A$167,0)),"ERR"))</f>
        <v/>
      </c>
      <c r="Z20" s="12" t="str">
        <f t="array" ref="Z20">IF('Draft 1'!Z20="","",IFERROR(INDEX(Index!$B$2:$B$167,MATCH('Draft 1'!Z20,Index!$A$2:$A$167,0)),"ERR"))</f>
        <v/>
      </c>
      <c r="AA20" s="12" t="str">
        <f t="array" ref="AA20">IF('Draft 1'!AA20="","",IFERROR(INDEX(Index!$B$2:$B$167,MATCH('Draft 1'!AA20,Index!$A$2:$A$167,0)),"ERR"))</f>
        <v/>
      </c>
      <c r="AB20" s="12" t="str">
        <f t="array" ref="AB20">IF('Draft 1'!AB20="","",IFERROR(INDEX(Index!$B$2:$B$167,MATCH('Draft 1'!AB20,Index!$A$2:$A$167,0)),"ERR"))</f>
        <v/>
      </c>
    </row>
    <row r="21">
      <c r="A21" s="7">
        <v>22.0</v>
      </c>
      <c r="B21" s="8" t="s">
        <v>42</v>
      </c>
      <c r="C21" s="9" t="s">
        <v>43</v>
      </c>
      <c r="D21" s="10" t="s">
        <v>42</v>
      </c>
      <c r="E21" s="12" t="str">
        <f t="array" ref="E21">IF('Draft 1'!E21="","",IFERROR(INDEX(Index!$B$2:$B$167,MATCH('Draft 1'!E21,Index!$A$2:$A$167,0)),"ERR"))</f>
        <v>R15.1E</v>
      </c>
      <c r="F21" s="12" t="str">
        <f t="array" ref="F21">IF('Draft 1'!F21="","",IFERROR(INDEX(Index!$B$2:$B$167,MATCH('Draft 1'!F21,Index!$A$2:$A$167,0)),"ERR"))</f>
        <v>R15.2E</v>
      </c>
      <c r="G21" s="12" t="str">
        <f t="array" ref="G21">IF('Draft 1'!G21="","",IFERROR(INDEX(Index!$B$2:$B$167,MATCH('Draft 1'!G21,Index!$A$2:$A$167,0)),"ERR"))</f>
        <v>R14.1D</v>
      </c>
      <c r="H21" s="12" t="str">
        <f t="array" ref="H21">IF('Draft 1'!H21="","",IFERROR(INDEX(Index!$B$2:$B$167,MATCH('Draft 1'!H21,Index!$A$2:$A$167,0)),"ERR"))</f>
        <v>R14.2D</v>
      </c>
      <c r="I21" s="12" t="str">
        <f t="array" ref="I21">IF('Draft 1'!I21="","",IFERROR(INDEX(Index!$B$2:$B$167,MATCH('Draft 1'!I21,Index!$A$2:$A$167,0)),"ERR"))</f>
        <v>R13.1B</v>
      </c>
      <c r="J21" s="12" t="str">
        <f t="array" ref="J21">IF('Draft 1'!J21="","",IFERROR(INDEX(Index!$B$2:$B$167,MATCH('Draft 1'!J21,Index!$A$2:$A$167,0)),"ERR"))</f>
        <v>R13.2B</v>
      </c>
      <c r="K21" s="12" t="str">
        <f t="array" ref="K21">IF('Draft 1'!K21="","",IFERROR(INDEX(Index!$B$2:$B$167,MATCH('Draft 1'!K21,Index!$A$2:$A$167,0)),"ERR"))</f>
        <v>R12.5D</v>
      </c>
      <c r="L21" s="12" t="str">
        <f t="array" ref="L21">IF('Draft 1'!L21="","",IFERROR(INDEX(Index!$B$2:$B$167,MATCH('Draft 1'!L21,Index!$A$2:$A$167,0)),"ERR"))</f>
        <v>R15.3E</v>
      </c>
      <c r="M21" s="12" t="str">
        <f t="array" ref="M21">IF('Draft 1'!M21="","",IFERROR(INDEX(Index!$B$2:$B$167,MATCH('Draft 1'!M21,Index!$A$2:$A$167,0)),"ERR"))</f>
        <v>R14.3D</v>
      </c>
      <c r="N21" s="12" t="str">
        <f t="array" ref="N21">IF('Draft 1'!N21="","",IFERROR(INDEX(Index!$B$2:$B$167,MATCH('Draft 1'!N21,Index!$A$2:$A$167,0)),"ERR"))</f>
        <v>R13.3B</v>
      </c>
      <c r="O21" s="12" t="str">
        <f t="array" ref="O21">IF('Draft 1'!O21="","",IFERROR(INDEX(Index!$B$2:$B$167,MATCH('Draft 1'!O21,Index!$A$2:$A$167,0)),"ERR"))</f>
        <v>R12.4D</v>
      </c>
      <c r="P21" s="12" t="str">
        <f t="array" ref="P21">IF('Draft 1'!P21="","",IFERROR(INDEX(Index!$B$2:$B$167,MATCH('Draft 1'!P21,Index!$A$2:$A$167,0)),"ERR"))</f>
        <v>R31.3D</v>
      </c>
      <c r="Q21" s="12" t="str">
        <f t="array" ref="Q21">IF('Draft 1'!Q21="","",IFERROR(INDEX(Index!$B$2:$B$167,MATCH('Draft 1'!Q21,Index!$A$2:$A$167,0)),"ERR"))</f>
        <v>R2.1B</v>
      </c>
      <c r="R21" s="12" t="str">
        <f t="array" ref="R21">IF('Draft 1'!R21="","",IFERROR(INDEX(Index!$B$2:$B$167,MATCH('Draft 1'!R21,Index!$A$2:$A$167,0)),"ERR"))</f>
        <v>R4.1E</v>
      </c>
      <c r="S21" s="12" t="str">
        <f t="array" ref="S21">IF('Draft 1'!S21="","",IFERROR(INDEX(Index!$B$2:$B$167,MATCH('Draft 1'!S21,Index!$A$2:$A$167,0)),"ERR"))</f>
        <v>R2.2B</v>
      </c>
      <c r="T21" s="12" t="str">
        <f t="array" ref="T21">IF('Draft 1'!T21="","",IFERROR(INDEX(Index!$B$2:$B$167,MATCH('Draft 1'!T21,Index!$A$2:$A$167,0)),"ERR"))</f>
        <v>R4.2E</v>
      </c>
      <c r="U21" s="12" t="str">
        <f t="array" ref="U21">IF('Draft 1'!U21="","",IFERROR(INDEX(Index!$B$2:$B$167,MATCH('Draft 1'!U21,Index!$A$2:$A$167,0)),"ERR"))</f>
        <v>R30.4D</v>
      </c>
      <c r="V21" s="12" t="str">
        <f t="array" ref="V21">IF('Draft 1'!V21="","",IFERROR(INDEX(Index!$B$2:$B$167,MATCH('Draft 1'!V21,Index!$A$2:$A$167,0)),"ERR"))</f>
        <v>R30.3D</v>
      </c>
      <c r="W21" s="12" t="str">
        <f t="array" ref="W21">IF('Draft 1'!W21="","",IFERROR(INDEX(Index!$B$2:$B$167,MATCH('Draft 1'!W21,Index!$A$2:$A$167,0)),"ERR"))</f>
        <v>R29.2D</v>
      </c>
      <c r="X21" s="12" t="str">
        <f t="array" ref="X21">IF('Draft 1'!X21="","",IFERROR(INDEX(Index!$B$2:$B$167,MATCH('Draft 1'!X21,Index!$A$2:$A$167,0)),"ERR"))</f>
        <v>R16.1C</v>
      </c>
      <c r="Y21" s="12" t="str">
        <f t="array" ref="Y21">IF('Draft 1'!Y21="","",IFERROR(INDEX(Index!$B$2:$B$167,MATCH('Draft 1'!Y21,Index!$A$2:$A$167,0)),"ERR"))</f>
        <v>R16.2C</v>
      </c>
      <c r="Z21" s="12" t="str">
        <f t="array" ref="Z21">IF('Draft 1'!Z21="","",IFERROR(INDEX(Index!$B$2:$B$167,MATCH('Draft 1'!Z21,Index!$A$2:$A$167,0)),"ERR"))</f>
        <v>R17.1E</v>
      </c>
      <c r="AA21" s="12" t="str">
        <f t="array" ref="AA21">IF('Draft 1'!AA21="","",IFERROR(INDEX(Index!$B$2:$B$167,MATCH('Draft 1'!AA21,Index!$A$2:$A$167,0)),"ERR"))</f>
        <v>R17.2E</v>
      </c>
      <c r="AB21" s="12" t="str">
        <f t="array" ref="AB21">IF('Draft 1'!AB21="","",IFERROR(INDEX(Index!$B$2:$B$167,MATCH('Draft 1'!AB21,Index!$A$2:$A$167,0)),"ERR"))</f>
        <v/>
      </c>
    </row>
    <row r="22">
      <c r="A22" s="7">
        <v>23.0</v>
      </c>
      <c r="B22" s="8" t="s">
        <v>44</v>
      </c>
      <c r="C22" s="9" t="s">
        <v>45</v>
      </c>
      <c r="D22" s="10" t="s">
        <v>44</v>
      </c>
      <c r="E22" s="12" t="str">
        <f t="array" ref="E22">IF('Draft 1'!E22="","",IFERROR(INDEX(Index!$B$2:$B$167,MATCH('Draft 1'!E22,Index!$A$2:$A$167,0)),"ERR"))</f>
        <v/>
      </c>
      <c r="F22" s="12" t="str">
        <f t="array" ref="F22">IF('Draft 1'!F22="","",IFERROR(INDEX(Index!$B$2:$B$167,MATCH('Draft 1'!F22,Index!$A$2:$A$167,0)),"ERR"))</f>
        <v/>
      </c>
      <c r="G22" s="12" t="str">
        <f t="array" ref="G22">IF('Draft 1'!G22="","",IFERROR(INDEX(Index!$B$2:$B$167,MATCH('Draft 1'!G22,Index!$A$2:$A$167,0)),"ERR"))</f>
        <v/>
      </c>
      <c r="H22" s="12" t="str">
        <f t="array" ref="H22">IF('Draft 1'!H22="","",IFERROR(INDEX(Index!$B$2:$B$167,MATCH('Draft 1'!H22,Index!$A$2:$A$167,0)),"ERR"))</f>
        <v/>
      </c>
      <c r="I22" s="12" t="str">
        <f t="array" ref="I22">IF('Draft 1'!I22="","",IFERROR(INDEX(Index!$B$2:$B$167,MATCH('Draft 1'!I22,Index!$A$2:$A$167,0)),"ERR"))</f>
        <v/>
      </c>
      <c r="J22" s="12" t="str">
        <f t="array" ref="J22">IF('Draft 1'!J22="","",IFERROR(INDEX(Index!$B$2:$B$167,MATCH('Draft 1'!J22,Index!$A$2:$A$167,0)),"ERR"))</f>
        <v/>
      </c>
      <c r="K22" s="12" t="str">
        <f t="array" ref="K22">IF('Draft 1'!K22="","",IFERROR(INDEX(Index!$B$2:$B$167,MATCH('Draft 1'!K22,Index!$A$2:$A$167,0)),"ERR"))</f>
        <v/>
      </c>
      <c r="L22" s="12" t="str">
        <f t="array" ref="L22">IF('Draft 1'!L22="","",IFERROR(INDEX(Index!$B$2:$B$167,MATCH('Draft 1'!L22,Index!$A$2:$A$167,0)),"ERR"))</f>
        <v/>
      </c>
      <c r="M22" s="12" t="str">
        <f t="array" ref="M22">IF('Draft 1'!M22="","",IFERROR(INDEX(Index!$B$2:$B$167,MATCH('Draft 1'!M22,Index!$A$2:$A$167,0)),"ERR"))</f>
        <v/>
      </c>
      <c r="N22" s="12" t="str">
        <f t="array" ref="N22">IF('Draft 1'!N22="","",IFERROR(INDEX(Index!$B$2:$B$167,MATCH('Draft 1'!N22,Index!$A$2:$A$167,0)),"ERR"))</f>
        <v/>
      </c>
      <c r="O22" s="12" t="str">
        <f t="array" ref="O22">IF('Draft 1'!O22="","",IFERROR(INDEX(Index!$B$2:$B$167,MATCH('Draft 1'!O22,Index!$A$2:$A$167,0)),"ERR"))</f>
        <v/>
      </c>
      <c r="P22" s="12" t="str">
        <f t="array" ref="P22">IF('Draft 1'!P22="","",IFERROR(INDEX(Index!$B$2:$B$167,MATCH('Draft 1'!P22,Index!$A$2:$A$167,0)),"ERR"))</f>
        <v/>
      </c>
      <c r="Q22" s="12" t="str">
        <f t="array" ref="Q22">IF('Draft 1'!Q22="","",IFERROR(INDEX(Index!$B$2:$B$167,MATCH('Draft 1'!Q22,Index!$A$2:$A$167,0)),"ERR"))</f>
        <v/>
      </c>
      <c r="R22" s="12" t="str">
        <f t="array" ref="R22">IF('Draft 1'!R22="","",IFERROR(INDEX(Index!$B$2:$B$167,MATCH('Draft 1'!R22,Index!$A$2:$A$167,0)),"ERR"))</f>
        <v/>
      </c>
      <c r="S22" s="12" t="str">
        <f t="array" ref="S22">IF('Draft 1'!S22="","",IFERROR(INDEX(Index!$B$2:$B$167,MATCH('Draft 1'!S22,Index!$A$2:$A$167,0)),"ERR"))</f>
        <v/>
      </c>
      <c r="T22" s="12" t="str">
        <f t="array" ref="T22">IF('Draft 1'!T22="","",IFERROR(INDEX(Index!$B$2:$B$167,MATCH('Draft 1'!T22,Index!$A$2:$A$167,0)),"ERR"))</f>
        <v/>
      </c>
      <c r="U22" s="12" t="str">
        <f t="array" ref="U22">IF('Draft 1'!U22="","",IFERROR(INDEX(Index!$B$2:$B$167,MATCH('Draft 1'!U22,Index!$A$2:$A$167,0)),"ERR"))</f>
        <v/>
      </c>
      <c r="V22" s="12" t="str">
        <f t="array" ref="V22">IF('Draft 1'!V22="","",IFERROR(INDEX(Index!$B$2:$B$167,MATCH('Draft 1'!V22,Index!$A$2:$A$167,0)),"ERR"))</f>
        <v/>
      </c>
      <c r="W22" s="12" t="str">
        <f t="array" ref="W22">IF('Draft 1'!W22="","",IFERROR(INDEX(Index!$B$2:$B$167,MATCH('Draft 1'!W22,Index!$A$2:$A$167,0)),"ERR"))</f>
        <v/>
      </c>
      <c r="X22" s="12" t="str">
        <f t="array" ref="X22">IF('Draft 1'!X22="","",IFERROR(INDEX(Index!$B$2:$B$167,MATCH('Draft 1'!X22,Index!$A$2:$A$167,0)),"ERR"))</f>
        <v/>
      </c>
      <c r="Y22" s="12" t="str">
        <f t="array" ref="Y22">IF('Draft 1'!Y22="","",IFERROR(INDEX(Index!$B$2:$B$167,MATCH('Draft 1'!Y22,Index!$A$2:$A$167,0)),"ERR"))</f>
        <v/>
      </c>
      <c r="Z22" s="12" t="str">
        <f t="array" ref="Z22">IF('Draft 1'!Z22="","",IFERROR(INDEX(Index!$B$2:$B$167,MATCH('Draft 1'!Z22,Index!$A$2:$A$167,0)),"ERR"))</f>
        <v/>
      </c>
      <c r="AA22" s="12" t="str">
        <f t="array" ref="AA22">IF('Draft 1'!AA22="","",IFERROR(INDEX(Index!$B$2:$B$167,MATCH('Draft 1'!AA22,Index!$A$2:$A$167,0)),"ERR"))</f>
        <v/>
      </c>
      <c r="AB22" s="12" t="str">
        <f t="array" ref="AB22">IF('Draft 1'!AB22="","",IFERROR(INDEX(Index!$B$2:$B$167,MATCH('Draft 1'!AB22,Index!$A$2:$A$167,0)),"ERR"))</f>
        <v/>
      </c>
    </row>
    <row r="23">
      <c r="A23" s="7">
        <v>24.0</v>
      </c>
      <c r="B23" s="8" t="s">
        <v>46</v>
      </c>
      <c r="C23" s="9" t="s">
        <v>47</v>
      </c>
      <c r="D23" s="10" t="s">
        <v>46</v>
      </c>
      <c r="E23" s="12" t="str">
        <f t="array" ref="E23">IF('Draft 1'!E23="","",IFERROR(INDEX(Index!$B$2:$B$167,MATCH('Draft 1'!E23,Index!$A$2:$A$167,0)),"ERR"))</f>
        <v/>
      </c>
      <c r="F23" s="12" t="str">
        <f t="array" ref="F23">IF('Draft 1'!F23="","",IFERROR(INDEX(Index!$B$2:$B$167,MATCH('Draft 1'!F23,Index!$A$2:$A$167,0)),"ERR"))</f>
        <v/>
      </c>
      <c r="G23" s="12" t="str">
        <f t="array" ref="G23">IF('Draft 1'!G23="","",IFERROR(INDEX(Index!$B$2:$B$167,MATCH('Draft 1'!G23,Index!$A$2:$A$167,0)),"ERR"))</f>
        <v/>
      </c>
      <c r="H23" s="12" t="str">
        <f t="array" ref="H23">IF('Draft 1'!H23="","",IFERROR(INDEX(Index!$B$2:$B$167,MATCH('Draft 1'!H23,Index!$A$2:$A$167,0)),"ERR"))</f>
        <v/>
      </c>
      <c r="I23" s="12" t="str">
        <f t="array" ref="I23">IF('Draft 1'!I23="","",IFERROR(INDEX(Index!$B$2:$B$167,MATCH('Draft 1'!I23,Index!$A$2:$A$167,0)),"ERR"))</f>
        <v/>
      </c>
      <c r="J23" s="12" t="str">
        <f t="array" ref="J23">IF('Draft 1'!J23="","",IFERROR(INDEX(Index!$B$2:$B$167,MATCH('Draft 1'!J23,Index!$A$2:$A$167,0)),"ERR"))</f>
        <v/>
      </c>
      <c r="K23" s="12" t="str">
        <f t="array" ref="K23">IF('Draft 1'!K23="","",IFERROR(INDEX(Index!$B$2:$B$167,MATCH('Draft 1'!K23,Index!$A$2:$A$167,0)),"ERR"))</f>
        <v/>
      </c>
      <c r="L23" s="12" t="str">
        <f t="array" ref="L23">IF('Draft 1'!L23="","",IFERROR(INDEX(Index!$B$2:$B$167,MATCH('Draft 1'!L23,Index!$A$2:$A$167,0)),"ERR"))</f>
        <v/>
      </c>
      <c r="M23" s="12" t="str">
        <f t="array" ref="M23">IF('Draft 1'!M23="","",IFERROR(INDEX(Index!$B$2:$B$167,MATCH('Draft 1'!M23,Index!$A$2:$A$167,0)),"ERR"))</f>
        <v/>
      </c>
      <c r="N23" s="12" t="str">
        <f t="array" ref="N23">IF('Draft 1'!N23="","",IFERROR(INDEX(Index!$B$2:$B$167,MATCH('Draft 1'!N23,Index!$A$2:$A$167,0)),"ERR"))</f>
        <v/>
      </c>
      <c r="O23" s="12" t="str">
        <f t="array" ref="O23">IF('Draft 1'!O23="","",IFERROR(INDEX(Index!$B$2:$B$167,MATCH('Draft 1'!O23,Index!$A$2:$A$167,0)),"ERR"))</f>
        <v/>
      </c>
      <c r="P23" s="12" t="str">
        <f t="array" ref="P23">IF('Draft 1'!P23="","",IFERROR(INDEX(Index!$B$2:$B$167,MATCH('Draft 1'!P23,Index!$A$2:$A$167,0)),"ERR"))</f>
        <v/>
      </c>
      <c r="Q23" s="12" t="str">
        <f t="array" ref="Q23">IF('Draft 1'!Q23="","",IFERROR(INDEX(Index!$B$2:$B$167,MATCH('Draft 1'!Q23,Index!$A$2:$A$167,0)),"ERR"))</f>
        <v/>
      </c>
      <c r="R23" s="12" t="str">
        <f t="array" ref="R23">IF('Draft 1'!R23="","",IFERROR(INDEX(Index!$B$2:$B$167,MATCH('Draft 1'!R23,Index!$A$2:$A$167,0)),"ERR"))</f>
        <v/>
      </c>
      <c r="S23" s="12" t="str">
        <f t="array" ref="S23">IF('Draft 1'!S23="","",IFERROR(INDEX(Index!$B$2:$B$167,MATCH('Draft 1'!S23,Index!$A$2:$A$167,0)),"ERR"))</f>
        <v/>
      </c>
      <c r="T23" s="12" t="str">
        <f t="array" ref="T23">IF('Draft 1'!T23="","",IFERROR(INDEX(Index!$B$2:$B$167,MATCH('Draft 1'!T23,Index!$A$2:$A$167,0)),"ERR"))</f>
        <v/>
      </c>
      <c r="U23" s="12" t="str">
        <f t="array" ref="U23">IF('Draft 1'!U23="","",IFERROR(INDEX(Index!$B$2:$B$167,MATCH('Draft 1'!U23,Index!$A$2:$A$167,0)),"ERR"))</f>
        <v/>
      </c>
      <c r="V23" s="12" t="str">
        <f t="array" ref="V23">IF('Draft 1'!V23="","",IFERROR(INDEX(Index!$B$2:$B$167,MATCH('Draft 1'!V23,Index!$A$2:$A$167,0)),"ERR"))</f>
        <v/>
      </c>
      <c r="W23" s="12" t="str">
        <f t="array" ref="W23">IF('Draft 1'!W23="","",IFERROR(INDEX(Index!$B$2:$B$167,MATCH('Draft 1'!W23,Index!$A$2:$A$167,0)),"ERR"))</f>
        <v/>
      </c>
      <c r="X23" s="12" t="str">
        <f t="array" ref="X23">IF('Draft 1'!X23="","",IFERROR(INDEX(Index!$B$2:$B$167,MATCH('Draft 1'!X23,Index!$A$2:$A$167,0)),"ERR"))</f>
        <v/>
      </c>
      <c r="Y23" s="12" t="str">
        <f t="array" ref="Y23">IF('Draft 1'!Y23="","",IFERROR(INDEX(Index!$B$2:$B$167,MATCH('Draft 1'!Y23,Index!$A$2:$A$167,0)),"ERR"))</f>
        <v/>
      </c>
      <c r="Z23" s="12" t="str">
        <f t="array" ref="Z23">IF('Draft 1'!Z23="","",IFERROR(INDEX(Index!$B$2:$B$167,MATCH('Draft 1'!Z23,Index!$A$2:$A$167,0)),"ERR"))</f>
        <v/>
      </c>
      <c r="AA23" s="12" t="str">
        <f t="array" ref="AA23">IF('Draft 1'!AA23="","",IFERROR(INDEX(Index!$B$2:$B$167,MATCH('Draft 1'!AA23,Index!$A$2:$A$167,0)),"ERR"))</f>
        <v/>
      </c>
      <c r="AB23" s="12" t="str">
        <f t="array" ref="AB23">IF('Draft 1'!AB23="","",IFERROR(INDEX(Index!$B$2:$B$167,MATCH('Draft 1'!AB23,Index!$A$2:$A$167,0)),"ERR"))</f>
        <v/>
      </c>
    </row>
    <row r="24">
      <c r="A24" s="7">
        <v>25.0</v>
      </c>
      <c r="B24" s="8" t="s">
        <v>48</v>
      </c>
      <c r="C24" s="9" t="s">
        <v>49</v>
      </c>
      <c r="D24" s="10" t="s">
        <v>48</v>
      </c>
      <c r="E24" s="12" t="str">
        <f t="array" ref="E24">IF('Draft 1'!E24="","",IFERROR(INDEX(Index!$B$2:$B$167,MATCH('Draft 1'!E24,Index!$A$2:$A$167,0)),"ERR"))</f>
        <v/>
      </c>
      <c r="F24" s="12" t="str">
        <f t="array" ref="F24">IF('Draft 1'!F24="","",IFERROR(INDEX(Index!$B$2:$B$167,MATCH('Draft 1'!F24,Index!$A$2:$A$167,0)),"ERR"))</f>
        <v/>
      </c>
      <c r="G24" s="12" t="str">
        <f t="array" ref="G24">IF('Draft 1'!G24="","",IFERROR(INDEX(Index!$B$2:$B$167,MATCH('Draft 1'!G24,Index!$A$2:$A$167,0)),"ERR"))</f>
        <v/>
      </c>
      <c r="H24" s="12" t="str">
        <f t="array" ref="H24">IF('Draft 1'!H24="","",IFERROR(INDEX(Index!$B$2:$B$167,MATCH('Draft 1'!H24,Index!$A$2:$A$167,0)),"ERR"))</f>
        <v/>
      </c>
      <c r="I24" s="12" t="str">
        <f t="array" ref="I24">IF('Draft 1'!I24="","",IFERROR(INDEX(Index!$B$2:$B$167,MATCH('Draft 1'!I24,Index!$A$2:$A$167,0)),"ERR"))</f>
        <v/>
      </c>
      <c r="J24" s="12" t="str">
        <f t="array" ref="J24">IF('Draft 1'!J24="","",IFERROR(INDEX(Index!$B$2:$B$167,MATCH('Draft 1'!J24,Index!$A$2:$A$167,0)),"ERR"))</f>
        <v/>
      </c>
      <c r="K24" s="12" t="str">
        <f t="array" ref="K24">IF('Draft 1'!K24="","",IFERROR(INDEX(Index!$B$2:$B$167,MATCH('Draft 1'!K24,Index!$A$2:$A$167,0)),"ERR"))</f>
        <v/>
      </c>
      <c r="L24" s="12" t="str">
        <f t="array" ref="L24">IF('Draft 1'!L24="","",IFERROR(INDEX(Index!$B$2:$B$167,MATCH('Draft 1'!L24,Index!$A$2:$A$167,0)),"ERR"))</f>
        <v/>
      </c>
      <c r="M24" s="12" t="str">
        <f t="array" ref="M24">IF('Draft 1'!M24="","",IFERROR(INDEX(Index!$B$2:$B$167,MATCH('Draft 1'!M24,Index!$A$2:$A$167,0)),"ERR"))</f>
        <v/>
      </c>
      <c r="N24" s="12" t="str">
        <f t="array" ref="N24">IF('Draft 1'!N24="","",IFERROR(INDEX(Index!$B$2:$B$167,MATCH('Draft 1'!N24,Index!$A$2:$A$167,0)),"ERR"))</f>
        <v/>
      </c>
      <c r="O24" s="12" t="str">
        <f t="array" ref="O24">IF('Draft 1'!O24="","",IFERROR(INDEX(Index!$B$2:$B$167,MATCH('Draft 1'!O24,Index!$A$2:$A$167,0)),"ERR"))</f>
        <v/>
      </c>
      <c r="P24" s="12" t="str">
        <f t="array" ref="P24">IF('Draft 1'!P24="","",IFERROR(INDEX(Index!$B$2:$B$167,MATCH('Draft 1'!P24,Index!$A$2:$A$167,0)),"ERR"))</f>
        <v/>
      </c>
      <c r="Q24" s="12" t="str">
        <f t="array" ref="Q24">IF('Draft 1'!Q24="","",IFERROR(INDEX(Index!$B$2:$B$167,MATCH('Draft 1'!Q24,Index!$A$2:$A$167,0)),"ERR"))</f>
        <v/>
      </c>
      <c r="R24" s="12" t="str">
        <f t="array" ref="R24">IF('Draft 1'!R24="","",IFERROR(INDEX(Index!$B$2:$B$167,MATCH('Draft 1'!R24,Index!$A$2:$A$167,0)),"ERR"))</f>
        <v/>
      </c>
      <c r="S24" s="12" t="str">
        <f t="array" ref="S24">IF('Draft 1'!S24="","",IFERROR(INDEX(Index!$B$2:$B$167,MATCH('Draft 1'!S24,Index!$A$2:$A$167,0)),"ERR"))</f>
        <v/>
      </c>
      <c r="T24" s="12" t="str">
        <f t="array" ref="T24">IF('Draft 1'!T24="","",IFERROR(INDEX(Index!$B$2:$B$167,MATCH('Draft 1'!T24,Index!$A$2:$A$167,0)),"ERR"))</f>
        <v/>
      </c>
      <c r="U24" s="12" t="str">
        <f t="array" ref="U24">IF('Draft 1'!U24="","",IFERROR(INDEX(Index!$B$2:$B$167,MATCH('Draft 1'!U24,Index!$A$2:$A$167,0)),"ERR"))</f>
        <v/>
      </c>
      <c r="V24" s="12" t="str">
        <f t="array" ref="V24">IF('Draft 1'!V24="","",IFERROR(INDEX(Index!$B$2:$B$167,MATCH('Draft 1'!V24,Index!$A$2:$A$167,0)),"ERR"))</f>
        <v/>
      </c>
      <c r="W24" s="12" t="str">
        <f t="array" ref="W24">IF('Draft 1'!W24="","",IFERROR(INDEX(Index!$B$2:$B$167,MATCH('Draft 1'!W24,Index!$A$2:$A$167,0)),"ERR"))</f>
        <v/>
      </c>
      <c r="X24" s="12" t="str">
        <f t="array" ref="X24">IF('Draft 1'!X24="","",IFERROR(INDEX(Index!$B$2:$B$167,MATCH('Draft 1'!X24,Index!$A$2:$A$167,0)),"ERR"))</f>
        <v/>
      </c>
      <c r="Y24" s="12" t="str">
        <f t="array" ref="Y24">IF('Draft 1'!Y24="","",IFERROR(INDEX(Index!$B$2:$B$167,MATCH('Draft 1'!Y24,Index!$A$2:$A$167,0)),"ERR"))</f>
        <v/>
      </c>
      <c r="Z24" s="12" t="str">
        <f t="array" ref="Z24">IF('Draft 1'!Z24="","",IFERROR(INDEX(Index!$B$2:$B$167,MATCH('Draft 1'!Z24,Index!$A$2:$A$167,0)),"ERR"))</f>
        <v/>
      </c>
      <c r="AA24" s="12" t="str">
        <f t="array" ref="AA24">IF('Draft 1'!AA24="","",IFERROR(INDEX(Index!$B$2:$B$167,MATCH('Draft 1'!AA24,Index!$A$2:$A$167,0)),"ERR"))</f>
        <v/>
      </c>
      <c r="AB24" s="12" t="str">
        <f t="array" ref="AB24">IF('Draft 1'!AB24="","",IFERROR(INDEX(Index!$B$2:$B$167,MATCH('Draft 1'!AB24,Index!$A$2:$A$167,0)),"ERR"))</f>
        <v/>
      </c>
    </row>
    <row r="25">
      <c r="A25" s="7">
        <v>26.0</v>
      </c>
      <c r="B25" s="8" t="s">
        <v>50</v>
      </c>
      <c r="C25" s="9" t="s">
        <v>51</v>
      </c>
      <c r="D25" s="10" t="s">
        <v>50</v>
      </c>
      <c r="E25" s="12" t="str">
        <f t="array" ref="E25">IF('Draft 1'!E25="","",IFERROR(INDEX(Index!$B$2:$B$167,MATCH('Draft 1'!E25,Index!$A$2:$A$167,0)),"ERR"))</f>
        <v/>
      </c>
      <c r="F25" s="12" t="str">
        <f t="array" ref="F25">IF('Draft 1'!F25="","",IFERROR(INDEX(Index!$B$2:$B$167,MATCH('Draft 1'!F25,Index!$A$2:$A$167,0)),"ERR"))</f>
        <v/>
      </c>
      <c r="G25" s="12" t="str">
        <f t="array" ref="G25">IF('Draft 1'!G25="","",IFERROR(INDEX(Index!$B$2:$B$167,MATCH('Draft 1'!G25,Index!$A$2:$A$167,0)),"ERR"))</f>
        <v/>
      </c>
      <c r="H25" s="12" t="str">
        <f t="array" ref="H25">IF('Draft 1'!H25="","",IFERROR(INDEX(Index!$B$2:$B$167,MATCH('Draft 1'!H25,Index!$A$2:$A$167,0)),"ERR"))</f>
        <v/>
      </c>
      <c r="I25" s="12" t="str">
        <f t="array" ref="I25">IF('Draft 1'!I25="","",IFERROR(INDEX(Index!$B$2:$B$167,MATCH('Draft 1'!I25,Index!$A$2:$A$167,0)),"ERR"))</f>
        <v/>
      </c>
      <c r="J25" s="12" t="str">
        <f t="array" ref="J25">IF('Draft 1'!J25="","",IFERROR(INDEX(Index!$B$2:$B$167,MATCH('Draft 1'!J25,Index!$A$2:$A$167,0)),"ERR"))</f>
        <v/>
      </c>
      <c r="K25" s="12" t="str">
        <f t="array" ref="K25">IF('Draft 1'!K25="","",IFERROR(INDEX(Index!$B$2:$B$167,MATCH('Draft 1'!K25,Index!$A$2:$A$167,0)),"ERR"))</f>
        <v/>
      </c>
      <c r="L25" s="12" t="str">
        <f t="array" ref="L25">IF('Draft 1'!L25="","",IFERROR(INDEX(Index!$B$2:$B$167,MATCH('Draft 1'!L25,Index!$A$2:$A$167,0)),"ERR"))</f>
        <v/>
      </c>
      <c r="M25" s="12" t="str">
        <f t="array" ref="M25">IF('Draft 1'!M25="","",IFERROR(INDEX(Index!$B$2:$B$167,MATCH('Draft 1'!M25,Index!$A$2:$A$167,0)),"ERR"))</f>
        <v/>
      </c>
      <c r="N25" s="12" t="str">
        <f t="array" ref="N25">IF('Draft 1'!N25="","",IFERROR(INDEX(Index!$B$2:$B$167,MATCH('Draft 1'!N25,Index!$A$2:$A$167,0)),"ERR"))</f>
        <v/>
      </c>
      <c r="O25" s="12" t="str">
        <f t="array" ref="O25">IF('Draft 1'!O25="","",IFERROR(INDEX(Index!$B$2:$B$167,MATCH('Draft 1'!O25,Index!$A$2:$A$167,0)),"ERR"))</f>
        <v/>
      </c>
      <c r="P25" s="12" t="str">
        <f t="array" ref="P25">IF('Draft 1'!P25="","",IFERROR(INDEX(Index!$B$2:$B$167,MATCH('Draft 1'!P25,Index!$A$2:$A$167,0)),"ERR"))</f>
        <v/>
      </c>
      <c r="Q25" s="12" t="str">
        <f t="array" ref="Q25">IF('Draft 1'!Q25="","",IFERROR(INDEX(Index!$B$2:$B$167,MATCH('Draft 1'!Q25,Index!$A$2:$A$167,0)),"ERR"))</f>
        <v/>
      </c>
      <c r="R25" s="12" t="str">
        <f t="array" ref="R25">IF('Draft 1'!R25="","",IFERROR(INDEX(Index!$B$2:$B$167,MATCH('Draft 1'!R25,Index!$A$2:$A$167,0)),"ERR"))</f>
        <v/>
      </c>
      <c r="S25" s="12" t="str">
        <f t="array" ref="S25">IF('Draft 1'!S25="","",IFERROR(INDEX(Index!$B$2:$B$167,MATCH('Draft 1'!S25,Index!$A$2:$A$167,0)),"ERR"))</f>
        <v/>
      </c>
      <c r="T25" s="12" t="str">
        <f t="array" ref="T25">IF('Draft 1'!T25="","",IFERROR(INDEX(Index!$B$2:$B$167,MATCH('Draft 1'!T25,Index!$A$2:$A$167,0)),"ERR"))</f>
        <v/>
      </c>
      <c r="U25" s="12" t="str">
        <f t="array" ref="U25">IF('Draft 1'!U25="","",IFERROR(INDEX(Index!$B$2:$B$167,MATCH('Draft 1'!U25,Index!$A$2:$A$167,0)),"ERR"))</f>
        <v/>
      </c>
      <c r="V25" s="12" t="str">
        <f t="array" ref="V25">IF('Draft 1'!V25="","",IFERROR(INDEX(Index!$B$2:$B$167,MATCH('Draft 1'!V25,Index!$A$2:$A$167,0)),"ERR"))</f>
        <v/>
      </c>
      <c r="W25" s="12" t="str">
        <f t="array" ref="W25">IF('Draft 1'!W25="","",IFERROR(INDEX(Index!$B$2:$B$167,MATCH('Draft 1'!W25,Index!$A$2:$A$167,0)),"ERR"))</f>
        <v/>
      </c>
      <c r="X25" s="12" t="str">
        <f t="array" ref="X25">IF('Draft 1'!X25="","",IFERROR(INDEX(Index!$B$2:$B$167,MATCH('Draft 1'!X25,Index!$A$2:$A$167,0)),"ERR"))</f>
        <v/>
      </c>
      <c r="Y25" s="12" t="str">
        <f t="array" ref="Y25">IF('Draft 1'!Y25="","",IFERROR(INDEX(Index!$B$2:$B$167,MATCH('Draft 1'!Y25,Index!$A$2:$A$167,0)),"ERR"))</f>
        <v/>
      </c>
      <c r="Z25" s="12" t="str">
        <f t="array" ref="Z25">IF('Draft 1'!Z25="","",IFERROR(INDEX(Index!$B$2:$B$167,MATCH('Draft 1'!Z25,Index!$A$2:$A$167,0)),"ERR"))</f>
        <v/>
      </c>
      <c r="AA25" s="12" t="str">
        <f t="array" ref="AA25">IF('Draft 1'!AA25="","",IFERROR(INDEX(Index!$B$2:$B$167,MATCH('Draft 1'!AA25,Index!$A$2:$A$167,0)),"ERR"))</f>
        <v/>
      </c>
      <c r="AB25" s="12" t="str">
        <f t="array" ref="AB25">IF('Draft 1'!AB25="","",IFERROR(INDEX(Index!$B$2:$B$167,MATCH('Draft 1'!AB25,Index!$A$2:$A$167,0)),"ERR"))</f>
        <v/>
      </c>
    </row>
    <row r="26">
      <c r="A26" s="7">
        <v>27.0</v>
      </c>
      <c r="B26" s="8" t="s">
        <v>52</v>
      </c>
      <c r="C26" s="9" t="s">
        <v>53</v>
      </c>
      <c r="D26" s="10" t="s">
        <v>52</v>
      </c>
      <c r="E26" s="12" t="str">
        <f t="array" ref="E26">IF('Draft 1'!E26="","",IFERROR(INDEX(Index!$B$2:$B$167,MATCH('Draft 1'!E26,Index!$A$2:$A$167,0)),"ERR"))</f>
        <v/>
      </c>
      <c r="F26" s="12" t="str">
        <f t="array" ref="F26">IF('Draft 1'!F26="","",IFERROR(INDEX(Index!$B$2:$B$167,MATCH('Draft 1'!F26,Index!$A$2:$A$167,0)),"ERR"))</f>
        <v/>
      </c>
      <c r="G26" s="12" t="str">
        <f t="array" ref="G26">IF('Draft 1'!G26="","",IFERROR(INDEX(Index!$B$2:$B$167,MATCH('Draft 1'!G26,Index!$A$2:$A$167,0)),"ERR"))</f>
        <v/>
      </c>
      <c r="H26" s="12" t="str">
        <f t="array" ref="H26">IF('Draft 1'!H26="","",IFERROR(INDEX(Index!$B$2:$B$167,MATCH('Draft 1'!H26,Index!$A$2:$A$167,0)),"ERR"))</f>
        <v/>
      </c>
      <c r="I26" s="12" t="str">
        <f t="array" ref="I26">IF('Draft 1'!I26="","",IFERROR(INDEX(Index!$B$2:$B$167,MATCH('Draft 1'!I26,Index!$A$2:$A$167,0)),"ERR"))</f>
        <v/>
      </c>
      <c r="J26" s="12" t="str">
        <f t="array" ref="J26">IF('Draft 1'!J26="","",IFERROR(INDEX(Index!$B$2:$B$167,MATCH('Draft 1'!J26,Index!$A$2:$A$167,0)),"ERR"))</f>
        <v/>
      </c>
      <c r="K26" s="12" t="str">
        <f t="array" ref="K26">IF('Draft 1'!K26="","",IFERROR(INDEX(Index!$B$2:$B$167,MATCH('Draft 1'!K26,Index!$A$2:$A$167,0)),"ERR"))</f>
        <v/>
      </c>
      <c r="L26" s="12" t="str">
        <f t="array" ref="L26">IF('Draft 1'!L26="","",IFERROR(INDEX(Index!$B$2:$B$167,MATCH('Draft 1'!L26,Index!$A$2:$A$167,0)),"ERR"))</f>
        <v/>
      </c>
      <c r="M26" s="12" t="str">
        <f t="array" ref="M26">IF('Draft 1'!M26="","",IFERROR(INDEX(Index!$B$2:$B$167,MATCH('Draft 1'!M26,Index!$A$2:$A$167,0)),"ERR"))</f>
        <v/>
      </c>
      <c r="N26" s="12" t="str">
        <f t="array" ref="N26">IF('Draft 1'!N26="","",IFERROR(INDEX(Index!$B$2:$B$167,MATCH('Draft 1'!N26,Index!$A$2:$A$167,0)),"ERR"))</f>
        <v/>
      </c>
      <c r="O26" s="12" t="str">
        <f t="array" ref="O26">IF('Draft 1'!O26="","",IFERROR(INDEX(Index!$B$2:$B$167,MATCH('Draft 1'!O26,Index!$A$2:$A$167,0)),"ERR"))</f>
        <v/>
      </c>
      <c r="P26" s="12" t="str">
        <f t="array" ref="P26">IF('Draft 1'!P26="","",IFERROR(INDEX(Index!$B$2:$B$167,MATCH('Draft 1'!P26,Index!$A$2:$A$167,0)),"ERR"))</f>
        <v/>
      </c>
      <c r="Q26" s="12" t="str">
        <f t="array" ref="Q26">IF('Draft 1'!Q26="","",IFERROR(INDEX(Index!$B$2:$B$167,MATCH('Draft 1'!Q26,Index!$A$2:$A$167,0)),"ERR"))</f>
        <v/>
      </c>
      <c r="R26" s="12" t="str">
        <f t="array" ref="R26">IF('Draft 1'!R26="","",IFERROR(INDEX(Index!$B$2:$B$167,MATCH('Draft 1'!R26,Index!$A$2:$A$167,0)),"ERR"))</f>
        <v/>
      </c>
      <c r="S26" s="12" t="str">
        <f t="array" ref="S26">IF('Draft 1'!S26="","",IFERROR(INDEX(Index!$B$2:$B$167,MATCH('Draft 1'!S26,Index!$A$2:$A$167,0)),"ERR"))</f>
        <v/>
      </c>
      <c r="T26" s="12" t="str">
        <f t="array" ref="T26">IF('Draft 1'!T26="","",IFERROR(INDEX(Index!$B$2:$B$167,MATCH('Draft 1'!T26,Index!$A$2:$A$167,0)),"ERR"))</f>
        <v/>
      </c>
      <c r="U26" s="12" t="str">
        <f t="array" ref="U26">IF('Draft 1'!U26="","",IFERROR(INDEX(Index!$B$2:$B$167,MATCH('Draft 1'!U26,Index!$A$2:$A$167,0)),"ERR"))</f>
        <v/>
      </c>
      <c r="V26" s="12" t="str">
        <f t="array" ref="V26">IF('Draft 1'!V26="","",IFERROR(INDEX(Index!$B$2:$B$167,MATCH('Draft 1'!V26,Index!$A$2:$A$167,0)),"ERR"))</f>
        <v/>
      </c>
      <c r="W26" s="12" t="str">
        <f t="array" ref="W26">IF('Draft 1'!W26="","",IFERROR(INDEX(Index!$B$2:$B$167,MATCH('Draft 1'!W26,Index!$A$2:$A$167,0)),"ERR"))</f>
        <v/>
      </c>
      <c r="X26" s="12" t="str">
        <f t="array" ref="X26">IF('Draft 1'!X26="","",IFERROR(INDEX(Index!$B$2:$B$167,MATCH('Draft 1'!X26,Index!$A$2:$A$167,0)),"ERR"))</f>
        <v/>
      </c>
      <c r="Y26" s="12" t="str">
        <f t="array" ref="Y26">IF('Draft 1'!Y26="","",IFERROR(INDEX(Index!$B$2:$B$167,MATCH('Draft 1'!Y26,Index!$A$2:$A$167,0)),"ERR"))</f>
        <v/>
      </c>
      <c r="Z26" s="12" t="str">
        <f t="array" ref="Z26">IF('Draft 1'!Z26="","",IFERROR(INDEX(Index!$B$2:$B$167,MATCH('Draft 1'!Z26,Index!$A$2:$A$167,0)),"ERR"))</f>
        <v/>
      </c>
      <c r="AA26" s="12" t="str">
        <f t="array" ref="AA26">IF('Draft 1'!AA26="","",IFERROR(INDEX(Index!$B$2:$B$167,MATCH('Draft 1'!AA26,Index!$A$2:$A$167,0)),"ERR"))</f>
        <v/>
      </c>
      <c r="AB26" s="12" t="str">
        <f t="array" ref="AB26">IF('Draft 1'!AB26="","",IFERROR(INDEX(Index!$B$2:$B$167,MATCH('Draft 1'!AB26,Index!$A$2:$A$167,0)),"ERR"))</f>
        <v/>
      </c>
    </row>
    <row r="27">
      <c r="A27" s="7">
        <v>28.0</v>
      </c>
      <c r="B27" s="8" t="s">
        <v>54</v>
      </c>
      <c r="C27" s="9" t="s">
        <v>55</v>
      </c>
      <c r="D27" s="10" t="s">
        <v>54</v>
      </c>
      <c r="E27" s="12" t="str">
        <f t="array" ref="E27">IF('Draft 1'!E27="","",IFERROR(INDEX(Index!$B$2:$B$167,MATCH('Draft 1'!E27,Index!$A$2:$A$167,0)),"ERR"))</f>
        <v/>
      </c>
      <c r="F27" s="12" t="str">
        <f t="array" ref="F27">IF('Draft 1'!F27="","",IFERROR(INDEX(Index!$B$2:$B$167,MATCH('Draft 1'!F27,Index!$A$2:$A$167,0)),"ERR"))</f>
        <v/>
      </c>
      <c r="G27" s="12" t="str">
        <f t="array" ref="G27">IF('Draft 1'!G27="","",IFERROR(INDEX(Index!$B$2:$B$167,MATCH('Draft 1'!G27,Index!$A$2:$A$167,0)),"ERR"))</f>
        <v/>
      </c>
      <c r="H27" s="12" t="str">
        <f t="array" ref="H27">IF('Draft 1'!H27="","",IFERROR(INDEX(Index!$B$2:$B$167,MATCH('Draft 1'!H27,Index!$A$2:$A$167,0)),"ERR"))</f>
        <v/>
      </c>
      <c r="I27" s="12" t="str">
        <f t="array" ref="I27">IF('Draft 1'!I27="","",IFERROR(INDEX(Index!$B$2:$B$167,MATCH('Draft 1'!I27,Index!$A$2:$A$167,0)),"ERR"))</f>
        <v/>
      </c>
      <c r="J27" s="12" t="str">
        <f t="array" ref="J27">IF('Draft 1'!J27="","",IFERROR(INDEX(Index!$B$2:$B$167,MATCH('Draft 1'!J27,Index!$A$2:$A$167,0)),"ERR"))</f>
        <v/>
      </c>
      <c r="K27" s="12" t="str">
        <f t="array" ref="K27">IF('Draft 1'!K27="","",IFERROR(INDEX(Index!$B$2:$B$167,MATCH('Draft 1'!K27,Index!$A$2:$A$167,0)),"ERR"))</f>
        <v/>
      </c>
      <c r="L27" s="12" t="str">
        <f t="array" ref="L27">IF('Draft 1'!L27="","",IFERROR(INDEX(Index!$B$2:$B$167,MATCH('Draft 1'!L27,Index!$A$2:$A$167,0)),"ERR"))</f>
        <v/>
      </c>
      <c r="M27" s="12" t="str">
        <f t="array" ref="M27">IF('Draft 1'!M27="","",IFERROR(INDEX(Index!$B$2:$B$167,MATCH('Draft 1'!M27,Index!$A$2:$A$167,0)),"ERR"))</f>
        <v/>
      </c>
      <c r="N27" s="12" t="str">
        <f t="array" ref="N27">IF('Draft 1'!N27="","",IFERROR(INDEX(Index!$B$2:$B$167,MATCH('Draft 1'!N27,Index!$A$2:$A$167,0)),"ERR"))</f>
        <v/>
      </c>
      <c r="O27" s="12" t="str">
        <f t="array" ref="O27">IF('Draft 1'!O27="","",IFERROR(INDEX(Index!$B$2:$B$167,MATCH('Draft 1'!O27,Index!$A$2:$A$167,0)),"ERR"))</f>
        <v/>
      </c>
      <c r="P27" s="12" t="str">
        <f t="array" ref="P27">IF('Draft 1'!P27="","",IFERROR(INDEX(Index!$B$2:$B$167,MATCH('Draft 1'!P27,Index!$A$2:$A$167,0)),"ERR"))</f>
        <v/>
      </c>
      <c r="Q27" s="12" t="str">
        <f t="array" ref="Q27">IF('Draft 1'!Q27="","",IFERROR(INDEX(Index!$B$2:$B$167,MATCH('Draft 1'!Q27,Index!$A$2:$A$167,0)),"ERR"))</f>
        <v/>
      </c>
      <c r="R27" s="12" t="str">
        <f t="array" ref="R27">IF('Draft 1'!R27="","",IFERROR(INDEX(Index!$B$2:$B$167,MATCH('Draft 1'!R27,Index!$A$2:$A$167,0)),"ERR"))</f>
        <v/>
      </c>
      <c r="S27" s="12" t="str">
        <f t="array" ref="S27">IF('Draft 1'!S27="","",IFERROR(INDEX(Index!$B$2:$B$167,MATCH('Draft 1'!S27,Index!$A$2:$A$167,0)),"ERR"))</f>
        <v/>
      </c>
      <c r="T27" s="12" t="str">
        <f t="array" ref="T27">IF('Draft 1'!T27="","",IFERROR(INDEX(Index!$B$2:$B$167,MATCH('Draft 1'!T27,Index!$A$2:$A$167,0)),"ERR"))</f>
        <v/>
      </c>
      <c r="U27" s="12" t="str">
        <f t="array" ref="U27">IF('Draft 1'!U27="","",IFERROR(INDEX(Index!$B$2:$B$167,MATCH('Draft 1'!U27,Index!$A$2:$A$167,0)),"ERR"))</f>
        <v/>
      </c>
      <c r="V27" s="12" t="str">
        <f t="array" ref="V27">IF('Draft 1'!V27="","",IFERROR(INDEX(Index!$B$2:$B$167,MATCH('Draft 1'!V27,Index!$A$2:$A$167,0)),"ERR"))</f>
        <v/>
      </c>
      <c r="W27" s="12" t="str">
        <f t="array" ref="W27">IF('Draft 1'!W27="","",IFERROR(INDEX(Index!$B$2:$B$167,MATCH('Draft 1'!W27,Index!$A$2:$A$167,0)),"ERR"))</f>
        <v/>
      </c>
      <c r="X27" s="12" t="str">
        <f t="array" ref="X27">IF('Draft 1'!X27="","",IFERROR(INDEX(Index!$B$2:$B$167,MATCH('Draft 1'!X27,Index!$A$2:$A$167,0)),"ERR"))</f>
        <v/>
      </c>
      <c r="Y27" s="12" t="str">
        <f t="array" ref="Y27">IF('Draft 1'!Y27="","",IFERROR(INDEX(Index!$B$2:$B$167,MATCH('Draft 1'!Y27,Index!$A$2:$A$167,0)),"ERR"))</f>
        <v/>
      </c>
      <c r="Z27" s="12" t="str">
        <f t="array" ref="Z27">IF('Draft 1'!Z27="","",IFERROR(INDEX(Index!$B$2:$B$167,MATCH('Draft 1'!Z27,Index!$A$2:$A$167,0)),"ERR"))</f>
        <v/>
      </c>
      <c r="AA27" s="12" t="str">
        <f t="array" ref="AA27">IF('Draft 1'!AA27="","",IFERROR(INDEX(Index!$B$2:$B$167,MATCH('Draft 1'!AA27,Index!$A$2:$A$167,0)),"ERR"))</f>
        <v/>
      </c>
      <c r="AB27" s="12" t="str">
        <f t="array" ref="AB27">IF('Draft 1'!AB27="","",IFERROR(INDEX(Index!$B$2:$B$167,MATCH('Draft 1'!AB27,Index!$A$2:$A$167,0)),"ERR"))</f>
        <v/>
      </c>
    </row>
    <row r="28">
      <c r="A28" s="7">
        <v>29.0</v>
      </c>
      <c r="B28" s="8" t="s">
        <v>56</v>
      </c>
      <c r="C28" s="9" t="s">
        <v>57</v>
      </c>
      <c r="D28" s="10" t="s">
        <v>56</v>
      </c>
      <c r="E28" s="12" t="str">
        <f t="array" ref="E28">IF('Draft 1'!E28="","",IFERROR(INDEX(Index!$B$2:$B$167,MATCH('Draft 1'!E28,Index!$A$2:$A$167,0)),"ERR"))</f>
        <v>R16.1C</v>
      </c>
      <c r="F28" s="12" t="str">
        <f t="array" ref="F28">IF('Draft 1'!F28="","",IFERROR(INDEX(Index!$B$2:$B$167,MATCH('Draft 1'!F28,Index!$A$2:$A$167,0)),"ERR"))</f>
        <v>R16.2C</v>
      </c>
      <c r="G28" s="12" t="str">
        <f t="array" ref="G28">IF('Draft 1'!G28="","",IFERROR(INDEX(Index!$B$2:$B$167,MATCH('Draft 1'!G28,Index!$A$2:$A$167,0)),"ERR"))</f>
        <v>R27.1D</v>
      </c>
      <c r="H28" s="12" t="str">
        <f t="array" ref="H28">IF('Draft 1'!H28="","",IFERROR(INDEX(Index!$B$2:$B$167,MATCH('Draft 1'!H28,Index!$A$2:$A$167,0)),"ERR"))</f>
        <v>R26.5D</v>
      </c>
      <c r="I28" s="12" t="str">
        <f t="array" ref="I28">IF('Draft 1'!I28="","",IFERROR(INDEX(Index!$B$2:$B$167,MATCH('Draft 1'!I28,Index!$A$2:$A$167,0)),"ERR"))</f>
        <v>R25.5D</v>
      </c>
      <c r="J28" s="12" t="str">
        <f t="array" ref="J28">IF('Draft 1'!J28="","",IFERROR(INDEX(Index!$B$2:$B$167,MATCH('Draft 1'!J28,Index!$A$2:$A$167,0)),"ERR"))</f>
        <v>R26.4D</v>
      </c>
      <c r="K28" s="12" t="str">
        <f t="array" ref="K28">IF('Draft 1'!K28="","",IFERROR(INDEX(Index!$B$2:$B$167,MATCH('Draft 1'!K28,Index!$A$2:$A$167,0)),"ERR"))</f>
        <v>R25.4D</v>
      </c>
      <c r="L28" s="12" t="str">
        <f t="array" ref="L28">IF('Draft 1'!L28="","",IFERROR(INDEX(Index!$B$2:$B$167,MATCH('Draft 1'!L28,Index!$A$2:$A$167,0)),"ERR"))</f>
        <v>R30.7D</v>
      </c>
      <c r="M28" s="12" t="str">
        <f t="array" ref="M28">IF('Draft 1'!M28="","",IFERROR(INDEX(Index!$B$2:$B$167,MATCH('Draft 1'!M28,Index!$A$2:$A$167,0)),"ERR"))</f>
        <v>R30.6D</v>
      </c>
      <c r="N28" s="12" t="str">
        <f t="array" ref="N28">IF('Draft 1'!N28="","",IFERROR(INDEX(Index!$B$2:$B$167,MATCH('Draft 1'!N28,Index!$A$2:$A$167,0)),"ERR"))</f>
        <v>R30.5D</v>
      </c>
      <c r="O28" s="12" t="str">
        <f t="array" ref="O28">IF('Draft 1'!O28="","",IFERROR(INDEX(Index!$B$2:$B$167,MATCH('Draft 1'!O28,Index!$A$2:$A$167,0)),"ERR"))</f>
        <v>R29.3D</v>
      </c>
      <c r="P28" s="12" t="str">
        <f t="array" ref="P28">IF('Draft 1'!P28="","",IFERROR(INDEX(Index!$B$2:$B$167,MATCH('Draft 1'!P28,Index!$A$2:$A$167,0)),"ERR"))</f>
        <v>R31.8D</v>
      </c>
      <c r="Q28" s="12" t="str">
        <f t="array" ref="Q28">IF('Draft 1'!Q28="","",IFERROR(INDEX(Index!$B$2:$B$167,MATCH('Draft 1'!Q28,Index!$A$2:$A$167,0)),"ERR"))</f>
        <v/>
      </c>
      <c r="R28" s="12" t="str">
        <f t="array" ref="R28">IF('Draft 1'!R28="","",IFERROR(INDEX(Index!$B$2:$B$167,MATCH('Draft 1'!R28,Index!$A$2:$A$167,0)),"ERR"))</f>
        <v/>
      </c>
      <c r="S28" s="12" t="str">
        <f t="array" ref="S28">IF('Draft 1'!S28="","",IFERROR(INDEX(Index!$B$2:$B$167,MATCH('Draft 1'!S28,Index!$A$2:$A$167,0)),"ERR"))</f>
        <v/>
      </c>
      <c r="T28" s="12" t="str">
        <f t="array" ref="T28">IF('Draft 1'!T28="","",IFERROR(INDEX(Index!$B$2:$B$167,MATCH('Draft 1'!T28,Index!$A$2:$A$167,0)),"ERR"))</f>
        <v/>
      </c>
      <c r="U28" s="12" t="str">
        <f t="array" ref="U28">IF('Draft 1'!U28="","",IFERROR(INDEX(Index!$B$2:$B$167,MATCH('Draft 1'!U28,Index!$A$2:$A$167,0)),"ERR"))</f>
        <v/>
      </c>
      <c r="V28" s="12" t="str">
        <f t="array" ref="V28">IF('Draft 1'!V28="","",IFERROR(INDEX(Index!$B$2:$B$167,MATCH('Draft 1'!V28,Index!$A$2:$A$167,0)),"ERR"))</f>
        <v/>
      </c>
      <c r="W28" s="12" t="str">
        <f t="array" ref="W28">IF('Draft 1'!W28="","",IFERROR(INDEX(Index!$B$2:$B$167,MATCH('Draft 1'!W28,Index!$A$2:$A$167,0)),"ERR"))</f>
        <v/>
      </c>
      <c r="X28" s="12" t="str">
        <f t="array" ref="X28">IF('Draft 1'!X28="","",IFERROR(INDEX(Index!$B$2:$B$167,MATCH('Draft 1'!X28,Index!$A$2:$A$167,0)),"ERR"))</f>
        <v/>
      </c>
      <c r="Y28" s="12" t="str">
        <f t="array" ref="Y28">IF('Draft 1'!Y28="","",IFERROR(INDEX(Index!$B$2:$B$167,MATCH('Draft 1'!Y28,Index!$A$2:$A$167,0)),"ERR"))</f>
        <v/>
      </c>
      <c r="Z28" s="12" t="str">
        <f t="array" ref="Z28">IF('Draft 1'!Z28="","",IFERROR(INDEX(Index!$B$2:$B$167,MATCH('Draft 1'!Z28,Index!$A$2:$A$167,0)),"ERR"))</f>
        <v/>
      </c>
      <c r="AA28" s="12" t="str">
        <f t="array" ref="AA28">IF('Draft 1'!AA28="","",IFERROR(INDEX(Index!$B$2:$B$167,MATCH('Draft 1'!AA28,Index!$A$2:$A$167,0)),"ERR"))</f>
        <v/>
      </c>
      <c r="AB28" s="12" t="str">
        <f t="array" ref="AB28">IF('Draft 1'!AB28="","",IFERROR(INDEX(Index!$B$2:$B$167,MATCH('Draft 1'!AB28,Index!$A$2:$A$167,0)),"ERR"))</f>
        <v/>
      </c>
    </row>
    <row r="29">
      <c r="A29" s="7">
        <v>30.0</v>
      </c>
      <c r="B29" s="8" t="s">
        <v>58</v>
      </c>
      <c r="C29" s="9" t="s">
        <v>59</v>
      </c>
      <c r="D29" s="10" t="s">
        <v>58</v>
      </c>
      <c r="E29" s="12" t="str">
        <f t="array" ref="E29">IF('Draft 1'!E29="","",IFERROR(INDEX(Index!$B$2:$B$167,MATCH('Draft 1'!E29,Index!$A$2:$A$167,0)),"ERR"))</f>
        <v>R16.5C</v>
      </c>
      <c r="F29" s="12" t="str">
        <f t="array" ref="F29">IF('Draft 1'!F29="","",IFERROR(INDEX(Index!$B$2:$B$167,MATCH('Draft 1'!F29,Index!$A$2:$A$167,0)),"ERR"))</f>
        <v>R16.4C</v>
      </c>
      <c r="G29" s="12" t="str">
        <f t="array" ref="G29">IF('Draft 1'!G29="","",IFERROR(INDEX(Index!$B$2:$B$167,MATCH('Draft 1'!G29,Index!$A$2:$A$167,0)),"ERR"))</f>
        <v>R31.6D</v>
      </c>
      <c r="H29" s="12" t="str">
        <f t="array" ref="H29">IF('Draft 1'!H29="","",IFERROR(INDEX(Index!$B$2:$B$167,MATCH('Draft 1'!H29,Index!$A$2:$A$167,0)),"ERR"))</f>
        <v>R27.1D</v>
      </c>
      <c r="I29" s="12" t="str">
        <f t="array" ref="I29">IF('Draft 1'!I29="","",IFERROR(INDEX(Index!$B$2:$B$167,MATCH('Draft 1'!I29,Index!$A$2:$A$167,0)),"ERR"))</f>
        <v>R26.5D</v>
      </c>
      <c r="J29" s="12" t="str">
        <f t="array" ref="J29">IF('Draft 1'!J29="","",IFERROR(INDEX(Index!$B$2:$B$167,MATCH('Draft 1'!J29,Index!$A$2:$A$167,0)),"ERR"))</f>
        <v>R25.5D</v>
      </c>
      <c r="K29" s="12" t="str">
        <f t="array" ref="K29">IF('Draft 1'!K29="","",IFERROR(INDEX(Index!$B$2:$B$167,MATCH('Draft 1'!K29,Index!$A$2:$A$167,0)),"ERR"))</f>
        <v>R26.4D</v>
      </c>
      <c r="L29" s="12" t="str">
        <f t="array" ref="L29">IF('Draft 1'!L29="","",IFERROR(INDEX(Index!$B$2:$B$167,MATCH('Draft 1'!L29,Index!$A$2:$A$167,0)),"ERR"))</f>
        <v>R25.4D</v>
      </c>
      <c r="M29" s="12" t="str">
        <f t="array" ref="M29">IF('Draft 1'!M29="","",IFERROR(INDEX(Index!$B$2:$B$167,MATCH('Draft 1'!M29,Index!$A$2:$A$167,0)),"ERR"))</f>
        <v>R30.7D</v>
      </c>
      <c r="N29" s="12" t="str">
        <f t="array" ref="N29">IF('Draft 1'!N29="","",IFERROR(INDEX(Index!$B$2:$B$167,MATCH('Draft 1'!N29,Index!$A$2:$A$167,0)),"ERR"))</f>
        <v>R30.6D</v>
      </c>
      <c r="O29" s="12" t="str">
        <f t="array" ref="O29">IF('Draft 1'!O29="","",IFERROR(INDEX(Index!$B$2:$B$167,MATCH('Draft 1'!O29,Index!$A$2:$A$167,0)),"ERR"))</f>
        <v>R30.5D</v>
      </c>
      <c r="P29" s="12" t="str">
        <f t="array" ref="P29">IF('Draft 1'!P29="","",IFERROR(INDEX(Index!$B$2:$B$167,MATCH('Draft 1'!P29,Index!$A$2:$A$167,0)),"ERR"))</f>
        <v>R29.3D</v>
      </c>
      <c r="Q29" s="12" t="str">
        <f t="array" ref="Q29">IF('Draft 1'!Q29="","",IFERROR(INDEX(Index!$B$2:$B$167,MATCH('Draft 1'!Q29,Index!$A$2:$A$167,0)),"ERR"))</f>
        <v>R31.8D</v>
      </c>
      <c r="R29" s="12" t="str">
        <f t="array" ref="R29">IF('Draft 1'!R29="","",IFERROR(INDEX(Index!$B$2:$B$167,MATCH('Draft 1'!R29,Index!$A$2:$A$167,0)),"ERR"))</f>
        <v/>
      </c>
      <c r="S29" s="12" t="str">
        <f t="array" ref="S29">IF('Draft 1'!S29="","",IFERROR(INDEX(Index!$B$2:$B$167,MATCH('Draft 1'!S29,Index!$A$2:$A$167,0)),"ERR"))</f>
        <v/>
      </c>
      <c r="T29" s="12" t="str">
        <f t="array" ref="T29">IF('Draft 1'!T29="","",IFERROR(INDEX(Index!$B$2:$B$167,MATCH('Draft 1'!T29,Index!$A$2:$A$167,0)),"ERR"))</f>
        <v/>
      </c>
      <c r="U29" s="12" t="str">
        <f t="array" ref="U29">IF('Draft 1'!U29="","",IFERROR(INDEX(Index!$B$2:$B$167,MATCH('Draft 1'!U29,Index!$A$2:$A$167,0)),"ERR"))</f>
        <v/>
      </c>
      <c r="V29" s="12" t="str">
        <f t="array" ref="V29">IF('Draft 1'!V29="","",IFERROR(INDEX(Index!$B$2:$B$167,MATCH('Draft 1'!V29,Index!$A$2:$A$167,0)),"ERR"))</f>
        <v/>
      </c>
      <c r="W29" s="12" t="str">
        <f t="array" ref="W29">IF('Draft 1'!W29="","",IFERROR(INDEX(Index!$B$2:$B$167,MATCH('Draft 1'!W29,Index!$A$2:$A$167,0)),"ERR"))</f>
        <v/>
      </c>
      <c r="X29" s="12" t="str">
        <f t="array" ref="X29">IF('Draft 1'!X29="","",IFERROR(INDEX(Index!$B$2:$B$167,MATCH('Draft 1'!X29,Index!$A$2:$A$167,0)),"ERR"))</f>
        <v/>
      </c>
      <c r="Y29" s="12" t="str">
        <f t="array" ref="Y29">IF('Draft 1'!Y29="","",IFERROR(INDEX(Index!$B$2:$B$167,MATCH('Draft 1'!Y29,Index!$A$2:$A$167,0)),"ERR"))</f>
        <v/>
      </c>
      <c r="Z29" s="12" t="str">
        <f t="array" ref="Z29">IF('Draft 1'!Z29="","",IFERROR(INDEX(Index!$B$2:$B$167,MATCH('Draft 1'!Z29,Index!$A$2:$A$167,0)),"ERR"))</f>
        <v/>
      </c>
      <c r="AA29" s="12" t="str">
        <f t="array" ref="AA29">IF('Draft 1'!AA29="","",IFERROR(INDEX(Index!$B$2:$B$167,MATCH('Draft 1'!AA29,Index!$A$2:$A$167,0)),"ERR"))</f>
        <v/>
      </c>
      <c r="AB29" s="12" t="str">
        <f t="array" ref="AB29">IF('Draft 1'!AB29="","",IFERROR(INDEX(Index!$B$2:$B$167,MATCH('Draft 1'!AB29,Index!$A$2:$A$167,0)),"ERR"))</f>
        <v/>
      </c>
    </row>
    <row r="30">
      <c r="A30" s="7">
        <v>31.0</v>
      </c>
      <c r="B30" s="8" t="s">
        <v>60</v>
      </c>
      <c r="C30" s="9" t="s">
        <v>61</v>
      </c>
      <c r="D30" s="10" t="s">
        <v>60</v>
      </c>
      <c r="E30" s="12" t="str">
        <f t="array" ref="E30">IF('Draft 1'!E30="","",IFERROR(INDEX(Index!$B$2:$B$167,MATCH('Draft 1'!E30,Index!$A$2:$A$167,0)),"ERR"))</f>
        <v>R4.1E</v>
      </c>
      <c r="F30" s="12" t="str">
        <f t="array" ref="F30">IF('Draft 1'!F30="","",IFERROR(INDEX(Index!$B$2:$B$167,MATCH('Draft 1'!F30,Index!$A$2:$A$167,0)),"ERR"))</f>
        <v>R4.2E</v>
      </c>
      <c r="G30" s="12" t="str">
        <f t="array" ref="G30">IF('Draft 1'!G30="","",IFERROR(INDEX(Index!$B$2:$B$167,MATCH('Draft 1'!G30,Index!$A$2:$A$167,0)),"ERR"))</f>
        <v>R28.1E</v>
      </c>
      <c r="H30" s="12" t="str">
        <f t="array" ref="H30">IF('Draft 1'!H30="","",IFERROR(INDEX(Index!$B$2:$B$167,MATCH('Draft 1'!H30,Index!$A$2:$A$167,0)),"ERR"))</f>
        <v/>
      </c>
      <c r="I30" s="12" t="str">
        <f t="array" ref="I30">IF('Draft 1'!I30="","",IFERROR(INDEX(Index!$B$2:$B$167,MATCH('Draft 1'!I30,Index!$A$2:$A$167,0)),"ERR"))</f>
        <v/>
      </c>
      <c r="J30" s="12" t="str">
        <f t="array" ref="J30">IF('Draft 1'!J30="","",IFERROR(INDEX(Index!$B$2:$B$167,MATCH('Draft 1'!J30,Index!$A$2:$A$167,0)),"ERR"))</f>
        <v/>
      </c>
      <c r="K30" s="12" t="str">
        <f t="array" ref="K30">IF('Draft 1'!K30="","",IFERROR(INDEX(Index!$B$2:$B$167,MATCH('Draft 1'!K30,Index!$A$2:$A$167,0)),"ERR"))</f>
        <v/>
      </c>
      <c r="L30" s="12" t="str">
        <f t="array" ref="L30">IF('Draft 1'!L30="","",IFERROR(INDEX(Index!$B$2:$B$167,MATCH('Draft 1'!L30,Index!$A$2:$A$167,0)),"ERR"))</f>
        <v/>
      </c>
      <c r="M30" s="12" t="str">
        <f t="array" ref="M30">IF('Draft 1'!M30="","",IFERROR(INDEX(Index!$B$2:$B$167,MATCH('Draft 1'!M30,Index!$A$2:$A$167,0)),"ERR"))</f>
        <v/>
      </c>
      <c r="N30" s="12" t="str">
        <f t="array" ref="N30">IF('Draft 1'!N30="","",IFERROR(INDEX(Index!$B$2:$B$167,MATCH('Draft 1'!N30,Index!$A$2:$A$167,0)),"ERR"))</f>
        <v/>
      </c>
      <c r="O30" s="12" t="str">
        <f t="array" ref="O30">IF('Draft 1'!O30="","",IFERROR(INDEX(Index!$B$2:$B$167,MATCH('Draft 1'!O30,Index!$A$2:$A$167,0)),"ERR"))</f>
        <v/>
      </c>
      <c r="P30" s="12" t="str">
        <f t="array" ref="P30">IF('Draft 1'!P30="","",IFERROR(INDEX(Index!$B$2:$B$167,MATCH('Draft 1'!P30,Index!$A$2:$A$167,0)),"ERR"))</f>
        <v/>
      </c>
      <c r="Q30" s="12" t="str">
        <f t="array" ref="Q30">IF('Draft 1'!Q30="","",IFERROR(INDEX(Index!$B$2:$B$167,MATCH('Draft 1'!Q30,Index!$A$2:$A$167,0)),"ERR"))</f>
        <v/>
      </c>
      <c r="R30" s="12" t="str">
        <f t="array" ref="R30">IF('Draft 1'!R30="","",IFERROR(INDEX(Index!$B$2:$B$167,MATCH('Draft 1'!R30,Index!$A$2:$A$167,0)),"ERR"))</f>
        <v/>
      </c>
      <c r="S30" s="12" t="str">
        <f t="array" ref="S30">IF('Draft 1'!S30="","",IFERROR(INDEX(Index!$B$2:$B$167,MATCH('Draft 1'!S30,Index!$A$2:$A$167,0)),"ERR"))</f>
        <v/>
      </c>
      <c r="T30" s="12" t="str">
        <f t="array" ref="T30">IF('Draft 1'!T30="","",IFERROR(INDEX(Index!$B$2:$B$167,MATCH('Draft 1'!T30,Index!$A$2:$A$167,0)),"ERR"))</f>
        <v/>
      </c>
      <c r="U30" s="12" t="str">
        <f t="array" ref="U30">IF('Draft 1'!U30="","",IFERROR(INDEX(Index!$B$2:$B$167,MATCH('Draft 1'!U30,Index!$A$2:$A$167,0)),"ERR"))</f>
        <v/>
      </c>
      <c r="V30" s="12" t="str">
        <f t="array" ref="V30">IF('Draft 1'!V30="","",IFERROR(INDEX(Index!$B$2:$B$167,MATCH('Draft 1'!V30,Index!$A$2:$A$167,0)),"ERR"))</f>
        <v/>
      </c>
      <c r="W30" s="12" t="str">
        <f t="array" ref="W30">IF('Draft 1'!W30="","",IFERROR(INDEX(Index!$B$2:$B$167,MATCH('Draft 1'!W30,Index!$A$2:$A$167,0)),"ERR"))</f>
        <v/>
      </c>
      <c r="X30" s="12" t="str">
        <f t="array" ref="X30">IF('Draft 1'!X30="","",IFERROR(INDEX(Index!$B$2:$B$167,MATCH('Draft 1'!X30,Index!$A$2:$A$167,0)),"ERR"))</f>
        <v/>
      </c>
      <c r="Y30" s="12" t="str">
        <f t="array" ref="Y30">IF('Draft 1'!Y30="","",IFERROR(INDEX(Index!$B$2:$B$167,MATCH('Draft 1'!Y30,Index!$A$2:$A$167,0)),"ERR"))</f>
        <v/>
      </c>
      <c r="Z30" s="12" t="str">
        <f t="array" ref="Z30">IF('Draft 1'!Z30="","",IFERROR(INDEX(Index!$B$2:$B$167,MATCH('Draft 1'!Z30,Index!$A$2:$A$167,0)),"ERR"))</f>
        <v/>
      </c>
      <c r="AA30" s="12" t="str">
        <f t="array" ref="AA30">IF('Draft 1'!AA30="","",IFERROR(INDEX(Index!$B$2:$B$167,MATCH('Draft 1'!AA30,Index!$A$2:$A$167,0)),"ERR"))</f>
        <v/>
      </c>
      <c r="AB30" s="12" t="str">
        <f t="array" ref="AB30">IF('Draft 1'!AB30="","",IFERROR(INDEX(Index!$B$2:$B$167,MATCH('Draft 1'!AB30,Index!$A$2:$A$167,0)),"ERR"))</f>
        <v/>
      </c>
    </row>
    <row r="31">
      <c r="A31" s="7">
        <v>32.0</v>
      </c>
      <c r="B31" s="8" t="s">
        <v>62</v>
      </c>
      <c r="C31" s="9" t="s">
        <v>63</v>
      </c>
      <c r="D31" s="10" t="s">
        <v>62</v>
      </c>
      <c r="E31" s="12" t="str">
        <f t="array" ref="E31">IF('Draft 1'!E31="","",IFERROR(INDEX(Index!$B$2:$B$167,MATCH('Draft 1'!E31,Index!$A$2:$A$167,0)),"ERR"))</f>
        <v>R4.5E</v>
      </c>
      <c r="F31" s="12" t="str">
        <f t="array" ref="F31">IF('Draft 1'!F31="","",IFERROR(INDEX(Index!$B$2:$B$167,MATCH('Draft 1'!F31,Index!$A$2:$A$167,0)),"ERR"))</f>
        <v>R4.4E</v>
      </c>
      <c r="G31" s="12" t="str">
        <f t="array" ref="G31">IF('Draft 1'!G31="","",IFERROR(INDEX(Index!$B$2:$B$167,MATCH('Draft 1'!G31,Index!$A$2:$A$167,0)),"ERR"))</f>
        <v>R28.3E</v>
      </c>
      <c r="H31" s="12" t="str">
        <f t="array" ref="H31">IF('Draft 1'!H31="","",IFERROR(INDEX(Index!$B$2:$B$167,MATCH('Draft 1'!H31,Index!$A$2:$A$167,0)),"ERR"))</f>
        <v/>
      </c>
      <c r="I31" s="12" t="str">
        <f t="array" ref="I31">IF('Draft 1'!I31="","",IFERROR(INDEX(Index!$B$2:$B$167,MATCH('Draft 1'!I31,Index!$A$2:$A$167,0)),"ERR"))</f>
        <v/>
      </c>
      <c r="J31" s="12" t="str">
        <f t="array" ref="J31">IF('Draft 1'!J31="","",IFERROR(INDEX(Index!$B$2:$B$167,MATCH('Draft 1'!J31,Index!$A$2:$A$167,0)),"ERR"))</f>
        <v/>
      </c>
      <c r="K31" s="12" t="str">
        <f t="array" ref="K31">IF('Draft 1'!K31="","",IFERROR(INDEX(Index!$B$2:$B$167,MATCH('Draft 1'!K31,Index!$A$2:$A$167,0)),"ERR"))</f>
        <v/>
      </c>
      <c r="L31" s="12" t="str">
        <f t="array" ref="L31">IF('Draft 1'!L31="","",IFERROR(INDEX(Index!$B$2:$B$167,MATCH('Draft 1'!L31,Index!$A$2:$A$167,0)),"ERR"))</f>
        <v/>
      </c>
      <c r="M31" s="12" t="str">
        <f t="array" ref="M31">IF('Draft 1'!M31="","",IFERROR(INDEX(Index!$B$2:$B$167,MATCH('Draft 1'!M31,Index!$A$2:$A$167,0)),"ERR"))</f>
        <v/>
      </c>
      <c r="N31" s="12" t="str">
        <f t="array" ref="N31">IF('Draft 1'!N31="","",IFERROR(INDEX(Index!$B$2:$B$167,MATCH('Draft 1'!N31,Index!$A$2:$A$167,0)),"ERR"))</f>
        <v/>
      </c>
      <c r="O31" s="12" t="str">
        <f t="array" ref="O31">IF('Draft 1'!O31="","",IFERROR(INDEX(Index!$B$2:$B$167,MATCH('Draft 1'!O31,Index!$A$2:$A$167,0)),"ERR"))</f>
        <v/>
      </c>
      <c r="P31" s="12" t="str">
        <f t="array" ref="P31">IF('Draft 1'!P31="","",IFERROR(INDEX(Index!$B$2:$B$167,MATCH('Draft 1'!P31,Index!$A$2:$A$167,0)),"ERR"))</f>
        <v/>
      </c>
      <c r="Q31" s="12" t="str">
        <f t="array" ref="Q31">IF('Draft 1'!Q31="","",IFERROR(INDEX(Index!$B$2:$B$167,MATCH('Draft 1'!Q31,Index!$A$2:$A$167,0)),"ERR"))</f>
        <v/>
      </c>
      <c r="R31" s="12" t="str">
        <f t="array" ref="R31">IF('Draft 1'!R31="","",IFERROR(INDEX(Index!$B$2:$B$167,MATCH('Draft 1'!R31,Index!$A$2:$A$167,0)),"ERR"))</f>
        <v/>
      </c>
      <c r="S31" s="12" t="str">
        <f t="array" ref="S31">IF('Draft 1'!S31="","",IFERROR(INDEX(Index!$B$2:$B$167,MATCH('Draft 1'!S31,Index!$A$2:$A$167,0)),"ERR"))</f>
        <v/>
      </c>
      <c r="T31" s="12" t="str">
        <f t="array" ref="T31">IF('Draft 1'!T31="","",IFERROR(INDEX(Index!$B$2:$B$167,MATCH('Draft 1'!T31,Index!$A$2:$A$167,0)),"ERR"))</f>
        <v/>
      </c>
      <c r="U31" s="12" t="str">
        <f t="array" ref="U31">IF('Draft 1'!U31="","",IFERROR(INDEX(Index!$B$2:$B$167,MATCH('Draft 1'!U31,Index!$A$2:$A$167,0)),"ERR"))</f>
        <v/>
      </c>
      <c r="V31" s="12" t="str">
        <f t="array" ref="V31">IF('Draft 1'!V31="","",IFERROR(INDEX(Index!$B$2:$B$167,MATCH('Draft 1'!V31,Index!$A$2:$A$167,0)),"ERR"))</f>
        <v/>
      </c>
      <c r="W31" s="12" t="str">
        <f t="array" ref="W31">IF('Draft 1'!W31="","",IFERROR(INDEX(Index!$B$2:$B$167,MATCH('Draft 1'!W31,Index!$A$2:$A$167,0)),"ERR"))</f>
        <v/>
      </c>
      <c r="X31" s="12" t="str">
        <f t="array" ref="X31">IF('Draft 1'!X31="","",IFERROR(INDEX(Index!$B$2:$B$167,MATCH('Draft 1'!X31,Index!$A$2:$A$167,0)),"ERR"))</f>
        <v/>
      </c>
      <c r="Y31" s="12" t="str">
        <f t="array" ref="Y31">IF('Draft 1'!Y31="","",IFERROR(INDEX(Index!$B$2:$B$167,MATCH('Draft 1'!Y31,Index!$A$2:$A$167,0)),"ERR"))</f>
        <v/>
      </c>
      <c r="Z31" s="12" t="str">
        <f t="array" ref="Z31">IF('Draft 1'!Z31="","",IFERROR(INDEX(Index!$B$2:$B$167,MATCH('Draft 1'!Z31,Index!$A$2:$A$167,0)),"ERR"))</f>
        <v/>
      </c>
      <c r="AA31" s="12" t="str">
        <f t="array" ref="AA31">IF('Draft 1'!AA31="","",IFERROR(INDEX(Index!$B$2:$B$167,MATCH('Draft 1'!AA31,Index!$A$2:$A$167,0)),"ERR"))</f>
        <v/>
      </c>
      <c r="AB31" s="12" t="str">
        <f t="array" ref="AB31">IF('Draft 1'!AB31="","",IFERROR(INDEX(Index!$B$2:$B$167,MATCH('Draft 1'!AB31,Index!$A$2:$A$167,0)),"ERR"))</f>
        <v/>
      </c>
    </row>
    <row r="32">
      <c r="A32" s="7">
        <v>33.0</v>
      </c>
      <c r="B32" s="8" t="s">
        <v>64</v>
      </c>
      <c r="C32" s="9" t="s">
        <v>65</v>
      </c>
      <c r="D32" s="10" t="s">
        <v>64</v>
      </c>
      <c r="E32" s="12" t="str">
        <f t="array" ref="E32">IF('Draft 1'!E32="","",IFERROR(INDEX(Index!$B$2:$B$167,MATCH('Draft 1'!E32,Index!$A$2:$A$167,0)),"ERR"))</f>
        <v>R10.1D</v>
      </c>
      <c r="F32" s="12" t="str">
        <f t="array" ref="F32">IF('Draft 1'!F32="","",IFERROR(INDEX(Index!$B$2:$B$167,MATCH('Draft 1'!F32,Index!$A$2:$A$167,0)),"ERR"))</f>
        <v>R11.1D</v>
      </c>
      <c r="G32" s="12" t="str">
        <f t="array" ref="G32">IF('Draft 1'!G32="","",IFERROR(INDEX(Index!$B$2:$B$167,MATCH('Draft 1'!G32,Index!$A$2:$A$167,0)),"ERR"))</f>
        <v>R9.5C</v>
      </c>
      <c r="H32" s="12" t="str">
        <f t="array" ref="H32">IF('Draft 1'!H32="","",IFERROR(INDEX(Index!$B$2:$B$167,MATCH('Draft 1'!H32,Index!$A$2:$A$167,0)),"ERR"))</f>
        <v>R7.5C</v>
      </c>
      <c r="I32" s="12" t="str">
        <f t="array" ref="I32">IF('Draft 1'!I32="","",IFERROR(INDEX(Index!$B$2:$B$167,MATCH('Draft 1'!I32,Index!$A$2:$A$167,0)),"ERR"))</f>
        <v>R22.2D</v>
      </c>
      <c r="J32" s="12" t="str">
        <f t="array" ref="J32">IF('Draft 1'!J32="","",IFERROR(INDEX(Index!$B$2:$B$167,MATCH('Draft 1'!J32,Index!$A$2:$A$167,0)),"ERR"))</f>
        <v>R31.2D</v>
      </c>
      <c r="K32" s="12" t="str">
        <f t="array" ref="K32">IF('Draft 1'!K32="","",IFERROR(INDEX(Index!$B$2:$B$167,MATCH('Draft 1'!K32,Index!$A$2:$A$167,0)),"ERR"))</f>
        <v>R30.4D</v>
      </c>
      <c r="L32" s="12" t="str">
        <f t="array" ref="L32">IF('Draft 1'!L32="","",IFERROR(INDEX(Index!$B$2:$B$167,MATCH('Draft 1'!L32,Index!$A$2:$A$167,0)),"ERR"))</f>
        <v>R30.3D</v>
      </c>
      <c r="M32" s="12" t="str">
        <f t="array" ref="M32">IF('Draft 1'!M32="","",IFERROR(INDEX(Index!$B$2:$B$167,MATCH('Draft 1'!M32,Index!$A$2:$A$167,0)),"ERR"))</f>
        <v>R29.2D</v>
      </c>
      <c r="N32" s="12" t="str">
        <f t="array" ref="N32">IF('Draft 1'!N32="","",IFERROR(INDEX(Index!$B$2:$B$167,MATCH('Draft 1'!N32,Index!$A$2:$A$167,0)),"ERR"))</f>
        <v>R23.1D</v>
      </c>
      <c r="O32" s="12" t="str">
        <f t="array" ref="O32">IF('Draft 1'!O32="","",IFERROR(INDEX(Index!$B$2:$B$167,MATCH('Draft 1'!O32,Index!$A$2:$A$167,0)),"ERR"))</f>
        <v>R24.1D</v>
      </c>
      <c r="P32" s="12" t="str">
        <f t="array" ref="P32">IF('Draft 1'!P32="","",IFERROR(INDEX(Index!$B$2:$B$167,MATCH('Draft 1'!P32,Index!$A$2:$A$167,0)),"ERR"))</f>
        <v>R23.2D</v>
      </c>
      <c r="Q32" s="12" t="str">
        <f t="array" ref="Q32">IF('Draft 1'!Q32="","",IFERROR(INDEX(Index!$B$2:$B$167,MATCH('Draft 1'!Q32,Index!$A$2:$A$167,0)),"ERR"))</f>
        <v>R24.2D</v>
      </c>
      <c r="R32" s="12" t="str">
        <f t="array" ref="R32">IF('Draft 1'!R32="","",IFERROR(INDEX(Index!$B$2:$B$167,MATCH('Draft 1'!R32,Index!$A$2:$A$167,0)),"ERR"))</f>
        <v>R23.5D</v>
      </c>
      <c r="S32" s="12" t="str">
        <f t="array" ref="S32">IF('Draft 1'!S32="","",IFERROR(INDEX(Index!$B$2:$B$167,MATCH('Draft 1'!S32,Index!$A$2:$A$167,0)),"ERR"))</f>
        <v>R24.5D</v>
      </c>
      <c r="T32" s="12" t="str">
        <f t="array" ref="T32">IF('Draft 1'!T32="","",IFERROR(INDEX(Index!$B$2:$B$167,MATCH('Draft 1'!T32,Index!$A$2:$A$167,0)),"ERR"))</f>
        <v>R23.4D</v>
      </c>
      <c r="U32" s="12" t="str">
        <f t="array" ref="U32">IF('Draft 1'!U32="","",IFERROR(INDEX(Index!$B$2:$B$167,MATCH('Draft 1'!U32,Index!$A$2:$A$167,0)),"ERR"))</f>
        <v>R24.4D</v>
      </c>
      <c r="V32" s="12" t="str">
        <f t="array" ref="V32">IF('Draft 1'!V32="","",IFERROR(INDEX(Index!$B$2:$B$167,MATCH('Draft 1'!V32,Index!$A$2:$A$167,0)),"ERR"))</f>
        <v/>
      </c>
      <c r="W32" s="12" t="str">
        <f t="array" ref="W32">IF('Draft 1'!W32="","",IFERROR(INDEX(Index!$B$2:$B$167,MATCH('Draft 1'!W32,Index!$A$2:$A$167,0)),"ERR"))</f>
        <v/>
      </c>
      <c r="X32" s="12" t="str">
        <f t="array" ref="X32">IF('Draft 1'!X32="","",IFERROR(INDEX(Index!$B$2:$B$167,MATCH('Draft 1'!X32,Index!$A$2:$A$167,0)),"ERR"))</f>
        <v/>
      </c>
      <c r="Y32" s="12" t="str">
        <f t="array" ref="Y32">IF('Draft 1'!Y32="","",IFERROR(INDEX(Index!$B$2:$B$167,MATCH('Draft 1'!Y32,Index!$A$2:$A$167,0)),"ERR"))</f>
        <v/>
      </c>
      <c r="Z32" s="12" t="str">
        <f t="array" ref="Z32">IF('Draft 1'!Z32="","",IFERROR(INDEX(Index!$B$2:$B$167,MATCH('Draft 1'!Z32,Index!$A$2:$A$167,0)),"ERR"))</f>
        <v/>
      </c>
      <c r="AA32" s="12" t="str">
        <f t="array" ref="AA32">IF('Draft 1'!AA32="","",IFERROR(INDEX(Index!$B$2:$B$167,MATCH('Draft 1'!AA32,Index!$A$2:$A$167,0)),"ERR"))</f>
        <v/>
      </c>
      <c r="AB32" s="12" t="str">
        <f t="array" ref="AB32">IF('Draft 1'!AB32="","",IFERROR(INDEX(Index!$B$2:$B$167,MATCH('Draft 1'!AB32,Index!$A$2:$A$167,0)),"ERR"))</f>
        <v/>
      </c>
    </row>
    <row r="33">
      <c r="A33" s="7">
        <v>34.0</v>
      </c>
      <c r="B33" s="8" t="s">
        <v>66</v>
      </c>
      <c r="C33" s="9" t="s">
        <v>67</v>
      </c>
      <c r="D33" s="10" t="s">
        <v>66</v>
      </c>
      <c r="E33" s="12" t="str">
        <f t="array" ref="E33">IF('Draft 1'!E33="","",IFERROR(INDEX(Index!$B$2:$B$167,MATCH('Draft 1'!E33,Index!$A$2:$A$167,0)),"ERR"))</f>
        <v>R10.2D</v>
      </c>
      <c r="F33" s="12" t="str">
        <f t="array" ref="F33">IF('Draft 1'!F33="","",IFERROR(INDEX(Index!$B$2:$B$167,MATCH('Draft 1'!F33,Index!$A$2:$A$167,0)),"ERR"))</f>
        <v>R11.2D</v>
      </c>
      <c r="G33" s="12" t="str">
        <f t="array" ref="G33">IF('Draft 1'!G33="","",IFERROR(INDEX(Index!$B$2:$B$167,MATCH('Draft 1'!G33,Index!$A$2:$A$167,0)),"ERR"))</f>
        <v>R9.4C</v>
      </c>
      <c r="H33" s="12" t="str">
        <f t="array" ref="H33">IF('Draft 1'!H33="","",IFERROR(INDEX(Index!$B$2:$B$167,MATCH('Draft 1'!H33,Index!$A$2:$A$167,0)),"ERR"))</f>
        <v>R7.4C</v>
      </c>
      <c r="I33" s="12" t="str">
        <f t="array" ref="I33">IF('Draft 1'!I33="","",IFERROR(INDEX(Index!$B$2:$B$167,MATCH('Draft 1'!I33,Index!$A$2:$A$167,0)),"ERR"))</f>
        <v>R31.2D</v>
      </c>
      <c r="J33" s="12" t="str">
        <f t="array" ref="J33">IF('Draft 1'!J33="","",IFERROR(INDEX(Index!$B$2:$B$167,MATCH('Draft 1'!J33,Index!$A$2:$A$167,0)),"ERR"))</f>
        <v>R30.3D</v>
      </c>
      <c r="K33" s="12" t="str">
        <f t="array" ref="K33">IF('Draft 1'!K33="","",IFERROR(INDEX(Index!$B$2:$B$167,MATCH('Draft 1'!K33,Index!$A$2:$A$167,0)),"ERR"))</f>
        <v>R22.5D</v>
      </c>
      <c r="L33" s="12" t="str">
        <f t="array" ref="L33">IF('Draft 1'!L33="","",IFERROR(INDEX(Index!$B$2:$B$167,MATCH('Draft 1'!L33,Index!$A$2:$A$167,0)),"ERR"))</f>
        <v>R29.2D</v>
      </c>
      <c r="M33" s="12" t="str">
        <f t="array" ref="M33">IF('Draft 1'!M33="","",IFERROR(INDEX(Index!$B$2:$B$167,MATCH('Draft 1'!M33,Index!$A$2:$A$167,0)),"ERR"))</f>
        <v>R23.1D</v>
      </c>
      <c r="N33" s="12" t="str">
        <f t="array" ref="N33">IF('Draft 1'!N33="","",IFERROR(INDEX(Index!$B$2:$B$167,MATCH('Draft 1'!N33,Index!$A$2:$A$167,0)),"ERR"))</f>
        <v>R24.1D</v>
      </c>
      <c r="O33" s="12" t="str">
        <f t="array" ref="O33">IF('Draft 1'!O33="","",IFERROR(INDEX(Index!$B$2:$B$167,MATCH('Draft 1'!O33,Index!$A$2:$A$167,0)),"ERR"))</f>
        <v>R23.2D</v>
      </c>
      <c r="P33" s="12" t="str">
        <f t="array" ref="P33">IF('Draft 1'!P33="","",IFERROR(INDEX(Index!$B$2:$B$167,MATCH('Draft 1'!P33,Index!$A$2:$A$167,0)),"ERR"))</f>
        <v>R24.2D</v>
      </c>
      <c r="Q33" s="12" t="str">
        <f t="array" ref="Q33">IF('Draft 1'!Q33="","",IFERROR(INDEX(Index!$B$2:$B$167,MATCH('Draft 1'!Q33,Index!$A$2:$A$167,0)),"ERR"))</f>
        <v/>
      </c>
      <c r="R33" s="12" t="str">
        <f t="array" ref="R33">IF('Draft 1'!R33="","",IFERROR(INDEX(Index!$B$2:$B$167,MATCH('Draft 1'!R33,Index!$A$2:$A$167,0)),"ERR"))</f>
        <v/>
      </c>
      <c r="S33" s="12" t="str">
        <f t="array" ref="S33">IF('Draft 1'!S33="","",IFERROR(INDEX(Index!$B$2:$B$167,MATCH('Draft 1'!S33,Index!$A$2:$A$167,0)),"ERR"))</f>
        <v/>
      </c>
      <c r="T33" s="12" t="str">
        <f t="array" ref="T33">IF('Draft 1'!T33="","",IFERROR(INDEX(Index!$B$2:$B$167,MATCH('Draft 1'!T33,Index!$A$2:$A$167,0)),"ERR"))</f>
        <v/>
      </c>
      <c r="U33" s="12" t="str">
        <f t="array" ref="U33">IF('Draft 1'!U33="","",IFERROR(INDEX(Index!$B$2:$B$167,MATCH('Draft 1'!U33,Index!$A$2:$A$167,0)),"ERR"))</f>
        <v/>
      </c>
      <c r="V33" s="12" t="str">
        <f t="array" ref="V33">IF('Draft 1'!V33="","",IFERROR(INDEX(Index!$B$2:$B$167,MATCH('Draft 1'!V33,Index!$A$2:$A$167,0)),"ERR"))</f>
        <v/>
      </c>
      <c r="W33" s="12" t="str">
        <f t="array" ref="W33">IF('Draft 1'!W33="","",IFERROR(INDEX(Index!$B$2:$B$167,MATCH('Draft 1'!W33,Index!$A$2:$A$167,0)),"ERR"))</f>
        <v/>
      </c>
      <c r="X33" s="12" t="str">
        <f t="array" ref="X33">IF('Draft 1'!X33="","",IFERROR(INDEX(Index!$B$2:$B$167,MATCH('Draft 1'!X33,Index!$A$2:$A$167,0)),"ERR"))</f>
        <v/>
      </c>
      <c r="Y33" s="12" t="str">
        <f t="array" ref="Y33">IF('Draft 1'!Y33="","",IFERROR(INDEX(Index!$B$2:$B$167,MATCH('Draft 1'!Y33,Index!$A$2:$A$167,0)),"ERR"))</f>
        <v/>
      </c>
      <c r="Z33" s="12" t="str">
        <f t="array" ref="Z33">IF('Draft 1'!Z33="","",IFERROR(INDEX(Index!$B$2:$B$167,MATCH('Draft 1'!Z33,Index!$A$2:$A$167,0)),"ERR"))</f>
        <v/>
      </c>
      <c r="AA33" s="12" t="str">
        <f t="array" ref="AA33">IF('Draft 1'!AA33="","",IFERROR(INDEX(Index!$B$2:$B$167,MATCH('Draft 1'!AA33,Index!$A$2:$A$167,0)),"ERR"))</f>
        <v/>
      </c>
      <c r="AB33" s="12" t="str">
        <f t="array" ref="AB33">IF('Draft 1'!AB33="","",IFERROR(INDEX(Index!$B$2:$B$167,MATCH('Draft 1'!AB33,Index!$A$2:$A$167,0)),"ERR"))</f>
        <v/>
      </c>
    </row>
    <row r="34">
      <c r="A34" s="7">
        <v>35.0</v>
      </c>
      <c r="B34" s="8" t="s">
        <v>68</v>
      </c>
      <c r="C34" s="9" t="s">
        <v>69</v>
      </c>
      <c r="D34" s="10" t="s">
        <v>68</v>
      </c>
      <c r="E34" s="12" t="str">
        <f t="array" ref="E34">IF('Draft 1'!E34="","",IFERROR(INDEX(Index!$B$2:$B$167,MATCH('Draft 1'!E34,Index!$A$2:$A$167,0)),"ERR"))</f>
        <v>R10.4D</v>
      </c>
      <c r="F34" s="12" t="str">
        <f t="array" ref="F34">IF('Draft 1'!F34="","",IFERROR(INDEX(Index!$B$2:$B$167,MATCH('Draft 1'!F34,Index!$A$2:$A$167,0)),"ERR"))</f>
        <v>R11.4D</v>
      </c>
      <c r="G34" s="12" t="str">
        <f t="array" ref="G34">IF('Draft 1'!G34="","",IFERROR(INDEX(Index!$B$2:$B$167,MATCH('Draft 1'!G34,Index!$A$2:$A$167,0)),"ERR"))</f>
        <v>R9.2C</v>
      </c>
      <c r="H34" s="12" t="str">
        <f t="array" ref="H34">IF('Draft 1'!H34="","",IFERROR(INDEX(Index!$B$2:$B$167,MATCH('Draft 1'!H34,Index!$A$2:$A$167,0)),"ERR"))</f>
        <v>R7.2C</v>
      </c>
      <c r="I34" s="12" t="str">
        <f t="array" ref="I34">IF('Draft 1'!I34="","",IFERROR(INDEX(Index!$B$2:$B$167,MATCH('Draft 1'!I34,Index!$A$2:$A$167,0)),"ERR"))</f>
        <v>R27.4D</v>
      </c>
      <c r="J34" s="12" t="str">
        <f t="array" ref="J34">IF('Draft 1'!J34="","",IFERROR(INDEX(Index!$B$2:$B$167,MATCH('Draft 1'!J34,Index!$A$2:$A$167,0)),"ERR"))</f>
        <v>R32.2D</v>
      </c>
      <c r="K34" s="12" t="str">
        <f t="array" ref="K34">IF('Draft 1'!K34="","",IFERROR(INDEX(Index!$B$2:$B$167,MATCH('Draft 1'!K34,Index!$A$2:$A$167,0)),"ERR"))</f>
        <v>R22.4D</v>
      </c>
      <c r="L34" s="12" t="str">
        <f t="array" ref="L34">IF('Draft 1'!L34="","",IFERROR(INDEX(Index!$B$2:$B$167,MATCH('Draft 1'!L34,Index!$A$2:$A$167,0)),"ERR"))</f>
        <v>R30.2D</v>
      </c>
      <c r="M34" s="12" t="str">
        <f t="array" ref="M34">IF('Draft 1'!M34="","",IFERROR(INDEX(Index!$B$2:$B$167,MATCH('Draft 1'!M34,Index!$A$2:$A$167,0)),"ERR"))</f>
        <v>R29.3D</v>
      </c>
      <c r="N34" s="12" t="str">
        <f t="array" ref="N34">IF('Draft 1'!N34="","",IFERROR(INDEX(Index!$B$2:$B$167,MATCH('Draft 1'!N34,Index!$A$2:$A$167,0)),"ERR"))</f>
        <v>R31.8D</v>
      </c>
      <c r="O34" s="12" t="str">
        <f t="array" ref="O34">IF('Draft 1'!O34="","",IFERROR(INDEX(Index!$B$2:$B$167,MATCH('Draft 1'!O34,Index!$A$2:$A$167,0)),"ERR"))</f>
        <v>R23.1D</v>
      </c>
      <c r="P34" s="12" t="str">
        <f t="array" ref="P34">IF('Draft 1'!P34="","",IFERROR(INDEX(Index!$B$2:$B$167,MATCH('Draft 1'!P34,Index!$A$2:$A$167,0)),"ERR"))</f>
        <v>R24.1D</v>
      </c>
      <c r="Q34" s="12" t="str">
        <f t="array" ref="Q34">IF('Draft 1'!Q34="","",IFERROR(INDEX(Index!$B$2:$B$167,MATCH('Draft 1'!Q34,Index!$A$2:$A$167,0)),"ERR"))</f>
        <v>R23.2D</v>
      </c>
      <c r="R34" s="12" t="str">
        <f t="array" ref="R34">IF('Draft 1'!R34="","",IFERROR(INDEX(Index!$B$2:$B$167,MATCH('Draft 1'!R34,Index!$A$2:$A$167,0)),"ERR"))</f>
        <v>R24.2D</v>
      </c>
      <c r="S34" s="12" t="str">
        <f t="array" ref="S34">IF('Draft 1'!S34="","",IFERROR(INDEX(Index!$B$2:$B$167,MATCH('Draft 1'!S34,Index!$A$2:$A$167,0)),"ERR"))</f>
        <v/>
      </c>
      <c r="T34" s="12" t="str">
        <f t="array" ref="T34">IF('Draft 1'!T34="","",IFERROR(INDEX(Index!$B$2:$B$167,MATCH('Draft 1'!T34,Index!$A$2:$A$167,0)),"ERR"))</f>
        <v/>
      </c>
      <c r="U34" s="12" t="str">
        <f t="array" ref="U34">IF('Draft 1'!U34="","",IFERROR(INDEX(Index!$B$2:$B$167,MATCH('Draft 1'!U34,Index!$A$2:$A$167,0)),"ERR"))</f>
        <v/>
      </c>
      <c r="V34" s="12" t="str">
        <f t="array" ref="V34">IF('Draft 1'!V34="","",IFERROR(INDEX(Index!$B$2:$B$167,MATCH('Draft 1'!V34,Index!$A$2:$A$167,0)),"ERR"))</f>
        <v/>
      </c>
      <c r="W34" s="12" t="str">
        <f t="array" ref="W34">IF('Draft 1'!W34="","",IFERROR(INDEX(Index!$B$2:$B$167,MATCH('Draft 1'!W34,Index!$A$2:$A$167,0)),"ERR"))</f>
        <v/>
      </c>
      <c r="X34" s="12" t="str">
        <f t="array" ref="X34">IF('Draft 1'!X34="","",IFERROR(INDEX(Index!$B$2:$B$167,MATCH('Draft 1'!X34,Index!$A$2:$A$167,0)),"ERR"))</f>
        <v/>
      </c>
      <c r="Y34" s="12" t="str">
        <f t="array" ref="Y34">IF('Draft 1'!Y34="","",IFERROR(INDEX(Index!$B$2:$B$167,MATCH('Draft 1'!Y34,Index!$A$2:$A$167,0)),"ERR"))</f>
        <v/>
      </c>
      <c r="Z34" s="12" t="str">
        <f t="array" ref="Z34">IF('Draft 1'!Z34="","",IFERROR(INDEX(Index!$B$2:$B$167,MATCH('Draft 1'!Z34,Index!$A$2:$A$167,0)),"ERR"))</f>
        <v/>
      </c>
      <c r="AA34" s="12" t="str">
        <f t="array" ref="AA34">IF('Draft 1'!AA34="","",IFERROR(INDEX(Index!$B$2:$B$167,MATCH('Draft 1'!AA34,Index!$A$2:$A$167,0)),"ERR"))</f>
        <v/>
      </c>
      <c r="AB34" s="12" t="str">
        <f t="array" ref="AB34">IF('Draft 1'!AB34="","",IFERROR(INDEX(Index!$B$2:$B$167,MATCH('Draft 1'!AB34,Index!$A$2:$A$167,0)),"ERR"))</f>
        <v/>
      </c>
    </row>
    <row r="35">
      <c r="A35" s="7">
        <v>36.0</v>
      </c>
      <c r="B35" s="8" t="s">
        <v>70</v>
      </c>
      <c r="C35" s="9" t="s">
        <v>71</v>
      </c>
      <c r="D35" s="10" t="s">
        <v>70</v>
      </c>
      <c r="E35" s="12" t="str">
        <f t="array" ref="E35">IF('Draft 1'!E35="","",IFERROR(INDEX(Index!$B$2:$B$167,MATCH('Draft 1'!E35,Index!$A$2:$A$167,0)),"ERR"))</f>
        <v>R10.5D</v>
      </c>
      <c r="F35" s="12" t="str">
        <f t="array" ref="F35">IF('Draft 1'!F35="","",IFERROR(INDEX(Index!$B$2:$B$167,MATCH('Draft 1'!F35,Index!$A$2:$A$167,0)),"ERR"))</f>
        <v>R11.5D</v>
      </c>
      <c r="G35" s="12" t="str">
        <f t="array" ref="G35">IF('Draft 1'!G35="","",IFERROR(INDEX(Index!$B$2:$B$167,MATCH('Draft 1'!G35,Index!$A$2:$A$167,0)),"ERR"))</f>
        <v>R9.1C</v>
      </c>
      <c r="H35" s="12" t="str">
        <f t="array" ref="H35">IF('Draft 1'!H35="","",IFERROR(INDEX(Index!$B$2:$B$167,MATCH('Draft 1'!H35,Index!$A$2:$A$167,0)),"ERR"))</f>
        <v>R7.1C</v>
      </c>
      <c r="I35" s="12" t="str">
        <f t="array" ref="I35">IF('Draft 1'!I35="","",IFERROR(INDEX(Index!$B$2:$B$167,MATCH('Draft 1'!I35,Index!$A$2:$A$167,0)),"ERR"))</f>
        <v>R27.4D</v>
      </c>
      <c r="J35" s="12" t="str">
        <f t="array" ref="J35">IF('Draft 1'!J35="","",IFERROR(INDEX(Index!$B$2:$B$167,MATCH('Draft 1'!J35,Index!$A$2:$A$167,0)),"ERR"))</f>
        <v>R32.2D</v>
      </c>
      <c r="K35" s="12" t="str">
        <f t="array" ref="K35">IF('Draft 1'!K35="","",IFERROR(INDEX(Index!$B$2:$B$167,MATCH('Draft 1'!K35,Index!$A$2:$A$167,0)),"ERR"))</f>
        <v>R22.4D</v>
      </c>
      <c r="L35" s="12" t="str">
        <f t="array" ref="L35">IF('Draft 1'!L35="","",IFERROR(INDEX(Index!$B$2:$B$167,MATCH('Draft 1'!L35,Index!$A$2:$A$167,0)),"ERR"))</f>
        <v>R30.2D</v>
      </c>
      <c r="M35" s="12" t="str">
        <f t="array" ref="M35">IF('Draft 1'!M35="","",IFERROR(INDEX(Index!$B$2:$B$167,MATCH('Draft 1'!M35,Index!$A$2:$A$167,0)),"ERR"))</f>
        <v>R29.3D</v>
      </c>
      <c r="N35" s="12" t="str">
        <f t="array" ref="N35">IF('Draft 1'!N35="","",IFERROR(INDEX(Index!$B$2:$B$167,MATCH('Draft 1'!N35,Index!$A$2:$A$167,0)),"ERR"))</f>
        <v>R31.8D</v>
      </c>
      <c r="O35" s="12" t="str">
        <f t="array" ref="O35">IF('Draft 1'!O35="","",IFERROR(INDEX(Index!$B$2:$B$167,MATCH('Draft 1'!O35,Index!$A$2:$A$167,0)),"ERR"))</f>
        <v>R23.1D</v>
      </c>
      <c r="P35" s="12" t="str">
        <f t="array" ref="P35">IF('Draft 1'!P35="","",IFERROR(INDEX(Index!$B$2:$B$167,MATCH('Draft 1'!P35,Index!$A$2:$A$167,0)),"ERR"))</f>
        <v>R24.1D</v>
      </c>
      <c r="Q35" s="12" t="str">
        <f t="array" ref="Q35">IF('Draft 1'!Q35="","",IFERROR(INDEX(Index!$B$2:$B$167,MATCH('Draft 1'!Q35,Index!$A$2:$A$167,0)),"ERR"))</f>
        <v>R23.2D</v>
      </c>
      <c r="R35" s="12" t="str">
        <f t="array" ref="R35">IF('Draft 1'!R35="","",IFERROR(INDEX(Index!$B$2:$B$167,MATCH('Draft 1'!R35,Index!$A$2:$A$167,0)),"ERR"))</f>
        <v>R24.2D</v>
      </c>
      <c r="S35" s="12" t="str">
        <f t="array" ref="S35">IF('Draft 1'!S35="","",IFERROR(INDEX(Index!$B$2:$B$167,MATCH('Draft 1'!S35,Index!$A$2:$A$167,0)),"ERR"))</f>
        <v/>
      </c>
      <c r="T35" s="12" t="str">
        <f t="array" ref="T35">IF('Draft 1'!T35="","",IFERROR(INDEX(Index!$B$2:$B$167,MATCH('Draft 1'!T35,Index!$A$2:$A$167,0)),"ERR"))</f>
        <v/>
      </c>
      <c r="U35" s="12" t="str">
        <f t="array" ref="U35">IF('Draft 1'!U35="","",IFERROR(INDEX(Index!$B$2:$B$167,MATCH('Draft 1'!U35,Index!$A$2:$A$167,0)),"ERR"))</f>
        <v/>
      </c>
      <c r="V35" s="12" t="str">
        <f t="array" ref="V35">IF('Draft 1'!V35="","",IFERROR(INDEX(Index!$B$2:$B$167,MATCH('Draft 1'!V35,Index!$A$2:$A$167,0)),"ERR"))</f>
        <v/>
      </c>
      <c r="W35" s="12" t="str">
        <f t="array" ref="W35">IF('Draft 1'!W35="","",IFERROR(INDEX(Index!$B$2:$B$167,MATCH('Draft 1'!W35,Index!$A$2:$A$167,0)),"ERR"))</f>
        <v/>
      </c>
      <c r="X35" s="12" t="str">
        <f t="array" ref="X35">IF('Draft 1'!X35="","",IFERROR(INDEX(Index!$B$2:$B$167,MATCH('Draft 1'!X35,Index!$A$2:$A$167,0)),"ERR"))</f>
        <v/>
      </c>
      <c r="Y35" s="12" t="str">
        <f t="array" ref="Y35">IF('Draft 1'!Y35="","",IFERROR(INDEX(Index!$B$2:$B$167,MATCH('Draft 1'!Y35,Index!$A$2:$A$167,0)),"ERR"))</f>
        <v/>
      </c>
      <c r="Z35" s="12" t="str">
        <f t="array" ref="Z35">IF('Draft 1'!Z35="","",IFERROR(INDEX(Index!$B$2:$B$167,MATCH('Draft 1'!Z35,Index!$A$2:$A$167,0)),"ERR"))</f>
        <v/>
      </c>
      <c r="AA35" s="12" t="str">
        <f t="array" ref="AA35">IF('Draft 1'!AA35="","",IFERROR(INDEX(Index!$B$2:$B$167,MATCH('Draft 1'!AA35,Index!$A$2:$A$167,0)),"ERR"))</f>
        <v/>
      </c>
      <c r="AB35" s="12" t="str">
        <f t="array" ref="AB35">IF('Draft 1'!AB35="","",IFERROR(INDEX(Index!$B$2:$B$167,MATCH('Draft 1'!AB35,Index!$A$2:$A$167,0)),"ERR"))</f>
        <v/>
      </c>
    </row>
    <row r="36">
      <c r="A36" s="7">
        <v>37.0</v>
      </c>
      <c r="B36" s="8" t="s">
        <v>72</v>
      </c>
      <c r="C36" s="9" t="s">
        <v>73</v>
      </c>
      <c r="D36" s="10" t="s">
        <v>72</v>
      </c>
      <c r="E36" s="12" t="str">
        <f t="array" ref="E36">IF('Draft 1'!E36="","",IFERROR(INDEX(Index!$B$2:$B$167,MATCH('Draft 1'!E36,Index!$A$2:$A$167,0)),"ERR"))</f>
        <v>R5.1E</v>
      </c>
      <c r="F36" s="12" t="str">
        <f t="array" ref="F36">IF('Draft 1'!F36="","",IFERROR(INDEX(Index!$B$2:$B$167,MATCH('Draft 1'!F36,Index!$A$2:$A$167,0)),"ERR"))</f>
        <v>R6.1E</v>
      </c>
      <c r="G36" s="12" t="str">
        <f t="array" ref="G36">IF('Draft 1'!G36="","",IFERROR(INDEX(Index!$B$2:$B$167,MATCH('Draft 1'!G36,Index!$A$2:$A$167,0)),"ERR"))</f>
        <v>R4.1E</v>
      </c>
      <c r="H36" s="12" t="str">
        <f t="array" ref="H36">IF('Draft 1'!H36="","",IFERROR(INDEX(Index!$B$2:$B$167,MATCH('Draft 1'!H36,Index!$A$2:$A$167,0)),"ERR"))</f>
        <v>R5.2E</v>
      </c>
      <c r="I36" s="12" t="str">
        <f t="array" ref="I36">IF('Draft 1'!I36="","",IFERROR(INDEX(Index!$B$2:$B$167,MATCH('Draft 1'!I36,Index!$A$2:$A$167,0)),"ERR"))</f>
        <v>R6.2E</v>
      </c>
      <c r="J36" s="12" t="str">
        <f t="array" ref="J36">IF('Draft 1'!J36="","",IFERROR(INDEX(Index!$B$2:$B$167,MATCH('Draft 1'!J36,Index!$A$2:$A$167,0)),"ERR"))</f>
        <v>R4.2E</v>
      </c>
      <c r="K36" s="12" t="str">
        <f t="array" ref="K36">IF('Draft 1'!K36="","",IFERROR(INDEX(Index!$B$2:$B$167,MATCH('Draft 1'!K36,Index!$A$2:$A$167,0)),"ERR"))</f>
        <v/>
      </c>
      <c r="L36" s="12" t="str">
        <f t="array" ref="L36">IF('Draft 1'!L36="","",IFERROR(INDEX(Index!$B$2:$B$167,MATCH('Draft 1'!L36,Index!$A$2:$A$167,0)),"ERR"))</f>
        <v/>
      </c>
      <c r="M36" s="12" t="str">
        <f t="array" ref="M36">IF('Draft 1'!M36="","",IFERROR(INDEX(Index!$B$2:$B$167,MATCH('Draft 1'!M36,Index!$A$2:$A$167,0)),"ERR"))</f>
        <v/>
      </c>
      <c r="N36" s="12" t="str">
        <f t="array" ref="N36">IF('Draft 1'!N36="","",IFERROR(INDEX(Index!$B$2:$B$167,MATCH('Draft 1'!N36,Index!$A$2:$A$167,0)),"ERR"))</f>
        <v/>
      </c>
      <c r="O36" s="12" t="str">
        <f t="array" ref="O36">IF('Draft 1'!O36="","",IFERROR(INDEX(Index!$B$2:$B$167,MATCH('Draft 1'!O36,Index!$A$2:$A$167,0)),"ERR"))</f>
        <v/>
      </c>
      <c r="P36" s="12" t="str">
        <f t="array" ref="P36">IF('Draft 1'!P36="","",IFERROR(INDEX(Index!$B$2:$B$167,MATCH('Draft 1'!P36,Index!$A$2:$A$167,0)),"ERR"))</f>
        <v/>
      </c>
      <c r="Q36" s="12" t="str">
        <f t="array" ref="Q36">IF('Draft 1'!Q36="","",IFERROR(INDEX(Index!$B$2:$B$167,MATCH('Draft 1'!Q36,Index!$A$2:$A$167,0)),"ERR"))</f>
        <v/>
      </c>
      <c r="R36" s="12" t="str">
        <f t="array" ref="R36">IF('Draft 1'!R36="","",IFERROR(INDEX(Index!$B$2:$B$167,MATCH('Draft 1'!R36,Index!$A$2:$A$167,0)),"ERR"))</f>
        <v/>
      </c>
      <c r="S36" s="12" t="str">
        <f t="array" ref="S36">IF('Draft 1'!S36="","",IFERROR(INDEX(Index!$B$2:$B$167,MATCH('Draft 1'!S36,Index!$A$2:$A$167,0)),"ERR"))</f>
        <v/>
      </c>
      <c r="T36" s="12" t="str">
        <f t="array" ref="T36">IF('Draft 1'!T36="","",IFERROR(INDEX(Index!$B$2:$B$167,MATCH('Draft 1'!T36,Index!$A$2:$A$167,0)),"ERR"))</f>
        <v/>
      </c>
      <c r="U36" s="12" t="str">
        <f t="array" ref="U36">IF('Draft 1'!U36="","",IFERROR(INDEX(Index!$B$2:$B$167,MATCH('Draft 1'!U36,Index!$A$2:$A$167,0)),"ERR"))</f>
        <v/>
      </c>
      <c r="V36" s="12" t="str">
        <f t="array" ref="V36">IF('Draft 1'!V36="","",IFERROR(INDEX(Index!$B$2:$B$167,MATCH('Draft 1'!V36,Index!$A$2:$A$167,0)),"ERR"))</f>
        <v/>
      </c>
      <c r="W36" s="12" t="str">
        <f t="array" ref="W36">IF('Draft 1'!W36="","",IFERROR(INDEX(Index!$B$2:$B$167,MATCH('Draft 1'!W36,Index!$A$2:$A$167,0)),"ERR"))</f>
        <v/>
      </c>
      <c r="X36" s="12" t="str">
        <f t="array" ref="X36">IF('Draft 1'!X36="","",IFERROR(INDEX(Index!$B$2:$B$167,MATCH('Draft 1'!X36,Index!$A$2:$A$167,0)),"ERR"))</f>
        <v/>
      </c>
      <c r="Y36" s="12" t="str">
        <f t="array" ref="Y36">IF('Draft 1'!Y36="","",IFERROR(INDEX(Index!$B$2:$B$167,MATCH('Draft 1'!Y36,Index!$A$2:$A$167,0)),"ERR"))</f>
        <v/>
      </c>
      <c r="Z36" s="12" t="str">
        <f t="array" ref="Z36">IF('Draft 1'!Z36="","",IFERROR(INDEX(Index!$B$2:$B$167,MATCH('Draft 1'!Z36,Index!$A$2:$A$167,0)),"ERR"))</f>
        <v/>
      </c>
      <c r="AA36" s="12" t="str">
        <f t="array" ref="AA36">IF('Draft 1'!AA36="","",IFERROR(INDEX(Index!$B$2:$B$167,MATCH('Draft 1'!AA36,Index!$A$2:$A$167,0)),"ERR"))</f>
        <v/>
      </c>
      <c r="AB36" s="12" t="str">
        <f t="array" ref="AB36">IF('Draft 1'!AB36="","",IFERROR(INDEX(Index!$B$2:$B$167,MATCH('Draft 1'!AB36,Index!$A$2:$A$167,0)),"ERR"))</f>
        <v/>
      </c>
    </row>
    <row r="37">
      <c r="A37" s="7">
        <v>38.0</v>
      </c>
      <c r="B37" s="8" t="s">
        <v>74</v>
      </c>
      <c r="C37" s="9" t="s">
        <v>75</v>
      </c>
      <c r="D37" s="10" t="s">
        <v>74</v>
      </c>
      <c r="E37" s="12" t="str">
        <f t="array" ref="E37">IF('Draft 1'!E37="","",IFERROR(INDEX(Index!$B$2:$B$167,MATCH('Draft 1'!E37,Index!$A$2:$A$167,0)),"ERR"))</f>
        <v>R31.1D</v>
      </c>
      <c r="F37" s="12" t="str">
        <f t="array" ref="F37">IF('Draft 1'!F37="","",IFERROR(INDEX(Index!$B$2:$B$167,MATCH('Draft 1'!F37,Index!$A$2:$A$167,0)),"ERR"))</f>
        <v>R31.3D</v>
      </c>
      <c r="G37" s="12" t="str">
        <f t="array" ref="G37">IF('Draft 1'!G37="","",IFERROR(INDEX(Index!$B$2:$B$167,MATCH('Draft 1'!G37,Index!$A$2:$A$167,0)),"ERR"))</f>
        <v>R31.4D</v>
      </c>
      <c r="H37" s="12" t="str">
        <f t="array" ref="H37">IF('Draft 1'!H37="","",IFERROR(INDEX(Index!$B$2:$B$167,MATCH('Draft 1'!H37,Index!$A$2:$A$167,0)),"ERR"))</f>
        <v>R31.6D</v>
      </c>
      <c r="I37" s="12" t="str">
        <f t="array" ref="I37">IF('Draft 1'!I37="","",IFERROR(INDEX(Index!$B$2:$B$167,MATCH('Draft 1'!I37,Index!$A$2:$A$167,0)),"ERR"))</f>
        <v>R27.2D</v>
      </c>
      <c r="J37" s="12" t="str">
        <f t="array" ref="J37">IF('Draft 1'!J37="","",IFERROR(INDEX(Index!$B$2:$B$167,MATCH('Draft 1'!J37,Index!$A$2:$A$167,0)),"ERR"))</f>
        <v>R26.4D</v>
      </c>
      <c r="K37" s="12" t="str">
        <f t="array" ref="K37">IF('Draft 1'!K37="","",IFERROR(INDEX(Index!$B$2:$B$167,MATCH('Draft 1'!K37,Index!$A$2:$A$167,0)),"ERR"))</f>
        <v>R25.4D</v>
      </c>
      <c r="L37" s="12" t="str">
        <f t="array" ref="L37">IF('Draft 1'!L37="","",IFERROR(INDEX(Index!$B$2:$B$167,MATCH('Draft 1'!L37,Index!$A$2:$A$167,0)),"ERR"))</f>
        <v/>
      </c>
      <c r="M37" s="12" t="str">
        <f t="array" ref="M37">IF('Draft 1'!M37="","",IFERROR(INDEX(Index!$B$2:$B$167,MATCH('Draft 1'!M37,Index!$A$2:$A$167,0)),"ERR"))</f>
        <v/>
      </c>
      <c r="N37" s="12" t="str">
        <f t="array" ref="N37">IF('Draft 1'!N37="","",IFERROR(INDEX(Index!$B$2:$B$167,MATCH('Draft 1'!N37,Index!$A$2:$A$167,0)),"ERR"))</f>
        <v/>
      </c>
      <c r="O37" s="12" t="str">
        <f t="array" ref="O37">IF('Draft 1'!O37="","",IFERROR(INDEX(Index!$B$2:$B$167,MATCH('Draft 1'!O37,Index!$A$2:$A$167,0)),"ERR"))</f>
        <v/>
      </c>
      <c r="P37" s="12" t="str">
        <f t="array" ref="P37">IF('Draft 1'!P37="","",IFERROR(INDEX(Index!$B$2:$B$167,MATCH('Draft 1'!P37,Index!$A$2:$A$167,0)),"ERR"))</f>
        <v/>
      </c>
      <c r="Q37" s="12" t="str">
        <f t="array" ref="Q37">IF('Draft 1'!Q37="","",IFERROR(INDEX(Index!$B$2:$B$167,MATCH('Draft 1'!Q37,Index!$A$2:$A$167,0)),"ERR"))</f>
        <v/>
      </c>
      <c r="R37" s="12" t="str">
        <f t="array" ref="R37">IF('Draft 1'!R37="","",IFERROR(INDEX(Index!$B$2:$B$167,MATCH('Draft 1'!R37,Index!$A$2:$A$167,0)),"ERR"))</f>
        <v/>
      </c>
      <c r="S37" s="12" t="str">
        <f t="array" ref="S37">IF('Draft 1'!S37="","",IFERROR(INDEX(Index!$B$2:$B$167,MATCH('Draft 1'!S37,Index!$A$2:$A$167,0)),"ERR"))</f>
        <v/>
      </c>
      <c r="T37" s="12" t="str">
        <f t="array" ref="T37">IF('Draft 1'!T37="","",IFERROR(INDEX(Index!$B$2:$B$167,MATCH('Draft 1'!T37,Index!$A$2:$A$167,0)),"ERR"))</f>
        <v/>
      </c>
      <c r="U37" s="12" t="str">
        <f t="array" ref="U37">IF('Draft 1'!U37="","",IFERROR(INDEX(Index!$B$2:$B$167,MATCH('Draft 1'!U37,Index!$A$2:$A$167,0)),"ERR"))</f>
        <v/>
      </c>
      <c r="V37" s="12" t="str">
        <f t="array" ref="V37">IF('Draft 1'!V37="","",IFERROR(INDEX(Index!$B$2:$B$167,MATCH('Draft 1'!V37,Index!$A$2:$A$167,0)),"ERR"))</f>
        <v/>
      </c>
      <c r="W37" s="12" t="str">
        <f t="array" ref="W37">IF('Draft 1'!W37="","",IFERROR(INDEX(Index!$B$2:$B$167,MATCH('Draft 1'!W37,Index!$A$2:$A$167,0)),"ERR"))</f>
        <v/>
      </c>
      <c r="X37" s="12" t="str">
        <f t="array" ref="X37">IF('Draft 1'!X37="","",IFERROR(INDEX(Index!$B$2:$B$167,MATCH('Draft 1'!X37,Index!$A$2:$A$167,0)),"ERR"))</f>
        <v/>
      </c>
      <c r="Y37" s="12" t="str">
        <f t="array" ref="Y37">IF('Draft 1'!Y37="","",IFERROR(INDEX(Index!$B$2:$B$167,MATCH('Draft 1'!Y37,Index!$A$2:$A$167,0)),"ERR"))</f>
        <v/>
      </c>
      <c r="Z37" s="12" t="str">
        <f t="array" ref="Z37">IF('Draft 1'!Z37="","",IFERROR(INDEX(Index!$B$2:$B$167,MATCH('Draft 1'!Z37,Index!$A$2:$A$167,0)),"ERR"))</f>
        <v/>
      </c>
      <c r="AA37" s="12" t="str">
        <f t="array" ref="AA37">IF('Draft 1'!AA37="","",IFERROR(INDEX(Index!$B$2:$B$167,MATCH('Draft 1'!AA37,Index!$A$2:$A$167,0)),"ERR"))</f>
        <v/>
      </c>
      <c r="AB37" s="12" t="str">
        <f t="array" ref="AB37">IF('Draft 1'!AB37="","",IFERROR(INDEX(Index!$B$2:$B$167,MATCH('Draft 1'!AB37,Index!$A$2:$A$167,0)),"ERR"))</f>
        <v/>
      </c>
    </row>
    <row r="38">
      <c r="A38" s="7">
        <v>39.0</v>
      </c>
      <c r="B38" s="8" t="s">
        <v>76</v>
      </c>
      <c r="C38" s="9" t="s">
        <v>77</v>
      </c>
      <c r="D38" s="10" t="s">
        <v>76</v>
      </c>
      <c r="E38" s="12" t="str">
        <f t="array" ref="E38">IF('Draft 1'!E38="","",IFERROR(INDEX(Index!$B$2:$B$167,MATCH('Draft 1'!E38,Index!$A$2:$A$167,0)),"ERR"))</f>
        <v>R15.2E</v>
      </c>
      <c r="F38" s="12" t="str">
        <f t="array" ref="F38">IF('Draft 1'!F38="","",IFERROR(INDEX(Index!$B$2:$B$167,MATCH('Draft 1'!F38,Index!$A$2:$A$167,0)),"ERR"))</f>
        <v>R15.3E</v>
      </c>
      <c r="G38" s="12" t="str">
        <f t="array" ref="G38">IF('Draft 1'!G38="","",IFERROR(INDEX(Index!$B$2:$B$167,MATCH('Draft 1'!G38,Index!$A$2:$A$167,0)),"ERR"))</f>
        <v>R14.2D</v>
      </c>
      <c r="H38" s="12" t="str">
        <f t="array" ref="H38">IF('Draft 1'!H38="","",IFERROR(INDEX(Index!$B$2:$B$167,MATCH('Draft 1'!H38,Index!$A$2:$A$167,0)),"ERR"))</f>
        <v>R14.3D</v>
      </c>
      <c r="I38" s="12" t="str">
        <f t="array" ref="I38">IF('Draft 1'!I38="","",IFERROR(INDEX(Index!$B$2:$B$167,MATCH('Draft 1'!I38,Index!$A$2:$A$167,0)),"ERR"))</f>
        <v>R12.5D</v>
      </c>
      <c r="J38" s="12" t="str">
        <f t="array" ref="J38">IF('Draft 1'!J38="","",IFERROR(INDEX(Index!$B$2:$B$167,MATCH('Draft 1'!J38,Index!$A$2:$A$167,0)),"ERR"))</f>
        <v>R12.4D</v>
      </c>
      <c r="K38" s="12" t="str">
        <f t="array" ref="K38">IF('Draft 1'!K38="","",IFERROR(INDEX(Index!$B$2:$B$167,MATCH('Draft 1'!K38,Index!$A$2:$A$167,0)),"ERR"))</f>
        <v>R31.4D</v>
      </c>
      <c r="L38" s="12" t="str">
        <f t="array" ref="L38">IF('Draft 1'!L38="","",IFERROR(INDEX(Index!$B$2:$B$167,MATCH('Draft 1'!L38,Index!$A$2:$A$167,0)),"ERR"))</f>
        <v>R22.7D</v>
      </c>
      <c r="M38" s="12" t="str">
        <f t="array" ref="M38">IF('Draft 1'!M38="","",IFERROR(INDEX(Index!$B$2:$B$167,MATCH('Draft 1'!M38,Index!$A$2:$A$167,0)),"ERR"))</f>
        <v>R13.2B</v>
      </c>
      <c r="N38" s="12" t="str">
        <f t="array" ref="N38">IF('Draft 1'!N38="","",IFERROR(INDEX(Index!$B$2:$B$167,MATCH('Draft 1'!N38,Index!$A$2:$A$167,0)),"ERR"))</f>
        <v>R13.3B</v>
      </c>
      <c r="O38" s="12" t="str">
        <f t="array" ref="O38">IF('Draft 1'!O38="","",IFERROR(INDEX(Index!$B$2:$B$167,MATCH('Draft 1'!O38,Index!$A$2:$A$167,0)),"ERR"))</f>
        <v>R29.2D</v>
      </c>
      <c r="P38" s="12" t="str">
        <f t="array" ref="P38">IF('Draft 1'!P38="","",IFERROR(INDEX(Index!$B$2:$B$167,MATCH('Draft 1'!P38,Index!$A$2:$A$167,0)),"ERR"))</f>
        <v/>
      </c>
      <c r="Q38" s="12" t="str">
        <f t="array" ref="Q38">IF('Draft 1'!Q38="","",IFERROR(INDEX(Index!$B$2:$B$167,MATCH('Draft 1'!Q38,Index!$A$2:$A$167,0)),"ERR"))</f>
        <v/>
      </c>
      <c r="R38" s="12" t="str">
        <f t="array" ref="R38">IF('Draft 1'!R38="","",IFERROR(INDEX(Index!$B$2:$B$167,MATCH('Draft 1'!R38,Index!$A$2:$A$167,0)),"ERR"))</f>
        <v/>
      </c>
      <c r="S38" s="12" t="str">
        <f t="array" ref="S38">IF('Draft 1'!S38="","",IFERROR(INDEX(Index!$B$2:$B$167,MATCH('Draft 1'!S38,Index!$A$2:$A$167,0)),"ERR"))</f>
        <v/>
      </c>
      <c r="T38" s="12" t="str">
        <f t="array" ref="T38">IF('Draft 1'!T38="","",IFERROR(INDEX(Index!$B$2:$B$167,MATCH('Draft 1'!T38,Index!$A$2:$A$167,0)),"ERR"))</f>
        <v/>
      </c>
      <c r="U38" s="12" t="str">
        <f t="array" ref="U38">IF('Draft 1'!U38="","",IFERROR(INDEX(Index!$B$2:$B$167,MATCH('Draft 1'!U38,Index!$A$2:$A$167,0)),"ERR"))</f>
        <v/>
      </c>
      <c r="V38" s="12" t="str">
        <f t="array" ref="V38">IF('Draft 1'!V38="","",IFERROR(INDEX(Index!$B$2:$B$167,MATCH('Draft 1'!V38,Index!$A$2:$A$167,0)),"ERR"))</f>
        <v/>
      </c>
      <c r="W38" s="12" t="str">
        <f t="array" ref="W38">IF('Draft 1'!W38="","",IFERROR(INDEX(Index!$B$2:$B$167,MATCH('Draft 1'!W38,Index!$A$2:$A$167,0)),"ERR"))</f>
        <v/>
      </c>
      <c r="X38" s="12" t="str">
        <f t="array" ref="X38">IF('Draft 1'!X38="","",IFERROR(INDEX(Index!$B$2:$B$167,MATCH('Draft 1'!X38,Index!$A$2:$A$167,0)),"ERR"))</f>
        <v/>
      </c>
      <c r="Y38" s="12" t="str">
        <f t="array" ref="Y38">IF('Draft 1'!Y38="","",IFERROR(INDEX(Index!$B$2:$B$167,MATCH('Draft 1'!Y38,Index!$A$2:$A$167,0)),"ERR"))</f>
        <v/>
      </c>
      <c r="Z38" s="12" t="str">
        <f t="array" ref="Z38">IF('Draft 1'!Z38="","",IFERROR(INDEX(Index!$B$2:$B$167,MATCH('Draft 1'!Z38,Index!$A$2:$A$167,0)),"ERR"))</f>
        <v/>
      </c>
      <c r="AA38" s="12" t="str">
        <f t="array" ref="AA38">IF('Draft 1'!AA38="","",IFERROR(INDEX(Index!$B$2:$B$167,MATCH('Draft 1'!AA38,Index!$A$2:$A$167,0)),"ERR"))</f>
        <v/>
      </c>
      <c r="AB38" s="12" t="str">
        <f t="array" ref="AB38">IF('Draft 1'!AB38="","",IFERROR(INDEX(Index!$B$2:$B$167,MATCH('Draft 1'!AB38,Index!$A$2:$A$167,0)),"ERR"))</f>
        <v/>
      </c>
    </row>
    <row r="39">
      <c r="A39" s="7">
        <v>40.0</v>
      </c>
      <c r="B39" s="8" t="s">
        <v>78</v>
      </c>
      <c r="C39" s="9" t="s">
        <v>79</v>
      </c>
      <c r="D39" s="10" t="s">
        <v>78</v>
      </c>
      <c r="E39" s="12" t="str">
        <f t="array" ref="E39">IF('Draft 1'!E39="","",IFERROR(INDEX(Index!$B$2:$B$167,MATCH('Draft 1'!E39,Index!$A$2:$A$167,0)),"ERR"))</f>
        <v>R9.1C</v>
      </c>
      <c r="F39" s="12" t="str">
        <f t="array" ref="F39">IF('Draft 1'!F39="","",IFERROR(INDEX(Index!$B$2:$B$167,MATCH('Draft 1'!F39,Index!$A$2:$A$167,0)),"ERR"))</f>
        <v>R7.1C</v>
      </c>
      <c r="G39" s="12" t="str">
        <f t="array" ref="G39">IF('Draft 1'!G39="","",IFERROR(INDEX(Index!$B$2:$B$167,MATCH('Draft 1'!G39,Index!$A$2:$A$167,0)),"ERR"))</f>
        <v>R10.5D</v>
      </c>
      <c r="H39" s="12" t="str">
        <f t="array" ref="H39">IF('Draft 1'!H39="","",IFERROR(INDEX(Index!$B$2:$B$167,MATCH('Draft 1'!H39,Index!$A$2:$A$167,0)),"ERR"))</f>
        <v>R11.5D</v>
      </c>
      <c r="I39" s="12" t="str">
        <f t="array" ref="I39">IF('Draft 1'!I39="","",IFERROR(INDEX(Index!$B$2:$B$167,MATCH('Draft 1'!I39,Index!$A$2:$A$167,0)),"ERR"))</f>
        <v>R27.4D</v>
      </c>
      <c r="J39" s="12" t="str">
        <f t="array" ref="J39">IF('Draft 1'!J39="","",IFERROR(INDEX(Index!$B$2:$B$167,MATCH('Draft 1'!J39,Index!$A$2:$A$167,0)),"ERR"))</f>
        <v>R32.2D</v>
      </c>
      <c r="K39" s="12" t="str">
        <f t="array" ref="K39">IF('Draft 1'!K39="","",IFERROR(INDEX(Index!$B$2:$B$167,MATCH('Draft 1'!K39,Index!$A$2:$A$167,0)),"ERR"))</f>
        <v>R22.4D</v>
      </c>
      <c r="L39" s="12" t="str">
        <f t="array" ref="L39">IF('Draft 1'!L39="","",IFERROR(INDEX(Index!$B$2:$B$167,MATCH('Draft 1'!L39,Index!$A$2:$A$167,0)),"ERR"))</f>
        <v>R30.2D</v>
      </c>
      <c r="M39" s="12" t="str">
        <f t="array" ref="M39">IF('Draft 1'!M39="","",IFERROR(INDEX(Index!$B$2:$B$167,MATCH('Draft 1'!M39,Index!$A$2:$A$167,0)),"ERR"))</f>
        <v>R29.3D</v>
      </c>
      <c r="N39" s="12" t="str">
        <f t="array" ref="N39">IF('Draft 1'!N39="","",IFERROR(INDEX(Index!$B$2:$B$167,MATCH('Draft 1'!N39,Index!$A$2:$A$167,0)),"ERR"))</f>
        <v>R31.8D</v>
      </c>
      <c r="O39" s="12" t="str">
        <f t="array" ref="O39">IF('Draft 1'!O39="","",IFERROR(INDEX(Index!$B$2:$B$167,MATCH('Draft 1'!O39,Index!$A$2:$A$167,0)),"ERR"))</f>
        <v>R23.1D</v>
      </c>
      <c r="P39" s="12" t="str">
        <f t="array" ref="P39">IF('Draft 1'!P39="","",IFERROR(INDEX(Index!$B$2:$B$167,MATCH('Draft 1'!P39,Index!$A$2:$A$167,0)),"ERR"))</f>
        <v>R24.1D</v>
      </c>
      <c r="Q39" s="12" t="str">
        <f t="array" ref="Q39">IF('Draft 1'!Q39="","",IFERROR(INDEX(Index!$B$2:$B$167,MATCH('Draft 1'!Q39,Index!$A$2:$A$167,0)),"ERR"))</f>
        <v>R23.2D</v>
      </c>
      <c r="R39" s="12" t="str">
        <f t="array" ref="R39">IF('Draft 1'!R39="","",IFERROR(INDEX(Index!$B$2:$B$167,MATCH('Draft 1'!R39,Index!$A$2:$A$167,0)),"ERR"))</f>
        <v>R24.2D</v>
      </c>
      <c r="S39" s="12" t="str">
        <f t="array" ref="S39">IF('Draft 1'!S39="","",IFERROR(INDEX(Index!$B$2:$B$167,MATCH('Draft 1'!S39,Index!$A$2:$A$167,0)),"ERR"))</f>
        <v/>
      </c>
      <c r="T39" s="12" t="str">
        <f t="array" ref="T39">IF('Draft 1'!T39="","",IFERROR(INDEX(Index!$B$2:$B$167,MATCH('Draft 1'!T39,Index!$A$2:$A$167,0)),"ERR"))</f>
        <v/>
      </c>
      <c r="U39" s="12" t="str">
        <f t="array" ref="U39">IF('Draft 1'!U39="","",IFERROR(INDEX(Index!$B$2:$B$167,MATCH('Draft 1'!U39,Index!$A$2:$A$167,0)),"ERR"))</f>
        <v/>
      </c>
      <c r="V39" s="12" t="str">
        <f t="array" ref="V39">IF('Draft 1'!V39="","",IFERROR(INDEX(Index!$B$2:$B$167,MATCH('Draft 1'!V39,Index!$A$2:$A$167,0)),"ERR"))</f>
        <v/>
      </c>
      <c r="W39" s="12" t="str">
        <f t="array" ref="W39">IF('Draft 1'!W39="","",IFERROR(INDEX(Index!$B$2:$B$167,MATCH('Draft 1'!W39,Index!$A$2:$A$167,0)),"ERR"))</f>
        <v/>
      </c>
      <c r="X39" s="12" t="str">
        <f t="array" ref="X39">IF('Draft 1'!X39="","",IFERROR(INDEX(Index!$B$2:$B$167,MATCH('Draft 1'!X39,Index!$A$2:$A$167,0)),"ERR"))</f>
        <v/>
      </c>
      <c r="Y39" s="12" t="str">
        <f t="array" ref="Y39">IF('Draft 1'!Y39="","",IFERROR(INDEX(Index!$B$2:$B$167,MATCH('Draft 1'!Y39,Index!$A$2:$A$167,0)),"ERR"))</f>
        <v/>
      </c>
      <c r="Z39" s="12" t="str">
        <f t="array" ref="Z39">IF('Draft 1'!Z39="","",IFERROR(INDEX(Index!$B$2:$B$167,MATCH('Draft 1'!Z39,Index!$A$2:$A$167,0)),"ERR"))</f>
        <v/>
      </c>
      <c r="AA39" s="12" t="str">
        <f t="array" ref="AA39">IF('Draft 1'!AA39="","",IFERROR(INDEX(Index!$B$2:$B$167,MATCH('Draft 1'!AA39,Index!$A$2:$A$167,0)),"ERR"))</f>
        <v/>
      </c>
      <c r="AB39" s="12" t="str">
        <f t="array" ref="AB39">IF('Draft 1'!AB39="","",IFERROR(INDEX(Index!$B$2:$B$167,MATCH('Draft 1'!AB39,Index!$A$2:$A$167,0)),"ERR"))</f>
        <v/>
      </c>
    </row>
    <row r="40">
      <c r="A40" s="7">
        <v>41.0</v>
      </c>
      <c r="B40" s="8" t="s">
        <v>80</v>
      </c>
      <c r="C40" s="9" t="s">
        <v>81</v>
      </c>
      <c r="D40" s="10" t="s">
        <v>80</v>
      </c>
      <c r="E40" s="12" t="str">
        <f t="array" ref="E40">IF('Draft 1'!E40="","",IFERROR(INDEX(Index!$B$2:$B$167,MATCH('Draft 1'!E40,Index!$A$2:$A$167,0)),"ERR"))</f>
        <v>R18.1C</v>
      </c>
      <c r="F40" s="12" t="str">
        <f t="array" ref="F40">IF('Draft 1'!F40="","",IFERROR(INDEX(Index!$B$2:$B$167,MATCH('Draft 1'!F40,Index!$A$2:$A$167,0)),"ERR"))</f>
        <v>R18.2C</v>
      </c>
      <c r="G40" s="12" t="str">
        <f t="array" ref="G40">IF('Draft 1'!G40="","",IFERROR(INDEX(Index!$B$2:$B$167,MATCH('Draft 1'!G40,Index!$A$2:$A$167,0)),"ERR"))</f>
        <v/>
      </c>
      <c r="H40" s="12" t="str">
        <f t="array" ref="H40">IF('Draft 1'!H40="","",IFERROR(INDEX(Index!$B$2:$B$167,MATCH('Draft 1'!H40,Index!$A$2:$A$167,0)),"ERR"))</f>
        <v/>
      </c>
      <c r="I40" s="12" t="str">
        <f t="array" ref="I40">IF('Draft 1'!I40="","",IFERROR(INDEX(Index!$B$2:$B$167,MATCH('Draft 1'!I40,Index!$A$2:$A$167,0)),"ERR"))</f>
        <v/>
      </c>
      <c r="J40" s="12" t="str">
        <f t="array" ref="J40">IF('Draft 1'!J40="","",IFERROR(INDEX(Index!$B$2:$B$167,MATCH('Draft 1'!J40,Index!$A$2:$A$167,0)),"ERR"))</f>
        <v/>
      </c>
      <c r="K40" s="12" t="str">
        <f t="array" ref="K40">IF('Draft 1'!K40="","",IFERROR(INDEX(Index!$B$2:$B$167,MATCH('Draft 1'!K40,Index!$A$2:$A$167,0)),"ERR"))</f>
        <v/>
      </c>
      <c r="L40" s="12" t="str">
        <f t="array" ref="L40">IF('Draft 1'!L40="","",IFERROR(INDEX(Index!$B$2:$B$167,MATCH('Draft 1'!L40,Index!$A$2:$A$167,0)),"ERR"))</f>
        <v/>
      </c>
      <c r="M40" s="12" t="str">
        <f t="array" ref="M40">IF('Draft 1'!M40="","",IFERROR(INDEX(Index!$B$2:$B$167,MATCH('Draft 1'!M40,Index!$A$2:$A$167,0)),"ERR"))</f>
        <v/>
      </c>
      <c r="N40" s="12" t="str">
        <f t="array" ref="N40">IF('Draft 1'!N40="","",IFERROR(INDEX(Index!$B$2:$B$167,MATCH('Draft 1'!N40,Index!$A$2:$A$167,0)),"ERR"))</f>
        <v/>
      </c>
      <c r="O40" s="12" t="str">
        <f t="array" ref="O40">IF('Draft 1'!O40="","",IFERROR(INDEX(Index!$B$2:$B$167,MATCH('Draft 1'!O40,Index!$A$2:$A$167,0)),"ERR"))</f>
        <v/>
      </c>
      <c r="P40" s="12" t="str">
        <f t="array" ref="P40">IF('Draft 1'!P40="","",IFERROR(INDEX(Index!$B$2:$B$167,MATCH('Draft 1'!P40,Index!$A$2:$A$167,0)),"ERR"))</f>
        <v/>
      </c>
      <c r="Q40" s="12" t="str">
        <f t="array" ref="Q40">IF('Draft 1'!Q40="","",IFERROR(INDEX(Index!$B$2:$B$167,MATCH('Draft 1'!Q40,Index!$A$2:$A$167,0)),"ERR"))</f>
        <v/>
      </c>
      <c r="R40" s="12" t="str">
        <f t="array" ref="R40">IF('Draft 1'!R40="","",IFERROR(INDEX(Index!$B$2:$B$167,MATCH('Draft 1'!R40,Index!$A$2:$A$167,0)),"ERR"))</f>
        <v/>
      </c>
      <c r="S40" s="12" t="str">
        <f t="array" ref="S40">IF('Draft 1'!S40="","",IFERROR(INDEX(Index!$B$2:$B$167,MATCH('Draft 1'!S40,Index!$A$2:$A$167,0)),"ERR"))</f>
        <v/>
      </c>
      <c r="T40" s="12" t="str">
        <f t="array" ref="T40">IF('Draft 1'!T40="","",IFERROR(INDEX(Index!$B$2:$B$167,MATCH('Draft 1'!T40,Index!$A$2:$A$167,0)),"ERR"))</f>
        <v/>
      </c>
      <c r="U40" s="12" t="str">
        <f t="array" ref="U40">IF('Draft 1'!U40="","",IFERROR(INDEX(Index!$B$2:$B$167,MATCH('Draft 1'!U40,Index!$A$2:$A$167,0)),"ERR"))</f>
        <v/>
      </c>
      <c r="V40" s="12" t="str">
        <f t="array" ref="V40">IF('Draft 1'!V40="","",IFERROR(INDEX(Index!$B$2:$B$167,MATCH('Draft 1'!V40,Index!$A$2:$A$167,0)),"ERR"))</f>
        <v/>
      </c>
      <c r="W40" s="12" t="str">
        <f t="array" ref="W40">IF('Draft 1'!W40="","",IFERROR(INDEX(Index!$B$2:$B$167,MATCH('Draft 1'!W40,Index!$A$2:$A$167,0)),"ERR"))</f>
        <v/>
      </c>
      <c r="X40" s="12" t="str">
        <f t="array" ref="X40">IF('Draft 1'!X40="","",IFERROR(INDEX(Index!$B$2:$B$167,MATCH('Draft 1'!X40,Index!$A$2:$A$167,0)),"ERR"))</f>
        <v/>
      </c>
      <c r="Y40" s="12" t="str">
        <f t="array" ref="Y40">IF('Draft 1'!Y40="","",IFERROR(INDEX(Index!$B$2:$B$167,MATCH('Draft 1'!Y40,Index!$A$2:$A$167,0)),"ERR"))</f>
        <v/>
      </c>
      <c r="Z40" s="12" t="str">
        <f t="array" ref="Z40">IF('Draft 1'!Z40="","",IFERROR(INDEX(Index!$B$2:$B$167,MATCH('Draft 1'!Z40,Index!$A$2:$A$167,0)),"ERR"))</f>
        <v/>
      </c>
      <c r="AA40" s="12" t="str">
        <f t="array" ref="AA40">IF('Draft 1'!AA40="","",IFERROR(INDEX(Index!$B$2:$B$167,MATCH('Draft 1'!AA40,Index!$A$2:$A$167,0)),"ERR"))</f>
        <v/>
      </c>
      <c r="AB40" s="12" t="str">
        <f t="array" ref="AB40">IF('Draft 1'!AB40="","",IFERROR(INDEX(Index!$B$2:$B$167,MATCH('Draft 1'!AB40,Index!$A$2:$A$167,0)),"ERR"))</f>
        <v/>
      </c>
    </row>
    <row r="41">
      <c r="A41" s="7">
        <v>42.0</v>
      </c>
      <c r="B41" s="8" t="s">
        <v>82</v>
      </c>
      <c r="C41" s="9" t="s">
        <v>83</v>
      </c>
      <c r="D41" s="10" t="s">
        <v>82</v>
      </c>
      <c r="E41" s="12" t="str">
        <f t="array" ref="E41">IF('Draft 1'!E41="","",IFERROR(INDEX(Index!$B$2:$B$167,MATCH('Draft 1'!E41,Index!$A$2:$A$167,0)),"ERR"))</f>
        <v>R18.5C</v>
      </c>
      <c r="F41" s="12" t="str">
        <f t="array" ref="F41">IF('Draft 1'!F41="","",IFERROR(INDEX(Index!$B$2:$B$167,MATCH('Draft 1'!F41,Index!$A$2:$A$167,0)),"ERR"))</f>
        <v>R18.4C</v>
      </c>
      <c r="G41" s="12" t="str">
        <f t="array" ref="G41">IF('Draft 1'!G41="","",IFERROR(INDEX(Index!$B$2:$B$167,MATCH('Draft 1'!G41,Index!$A$2:$A$167,0)),"ERR"))</f>
        <v/>
      </c>
      <c r="H41" s="12" t="str">
        <f t="array" ref="H41">IF('Draft 1'!H41="","",IFERROR(INDEX(Index!$B$2:$B$167,MATCH('Draft 1'!H41,Index!$A$2:$A$167,0)),"ERR"))</f>
        <v/>
      </c>
      <c r="I41" s="12" t="str">
        <f t="array" ref="I41">IF('Draft 1'!I41="","",IFERROR(INDEX(Index!$B$2:$B$167,MATCH('Draft 1'!I41,Index!$A$2:$A$167,0)),"ERR"))</f>
        <v/>
      </c>
      <c r="J41" s="12" t="str">
        <f t="array" ref="J41">IF('Draft 1'!J41="","",IFERROR(INDEX(Index!$B$2:$B$167,MATCH('Draft 1'!J41,Index!$A$2:$A$167,0)),"ERR"))</f>
        <v/>
      </c>
      <c r="K41" s="12" t="str">
        <f t="array" ref="K41">IF('Draft 1'!K41="","",IFERROR(INDEX(Index!$B$2:$B$167,MATCH('Draft 1'!K41,Index!$A$2:$A$167,0)),"ERR"))</f>
        <v/>
      </c>
      <c r="L41" s="12" t="str">
        <f t="array" ref="L41">IF('Draft 1'!L41="","",IFERROR(INDEX(Index!$B$2:$B$167,MATCH('Draft 1'!L41,Index!$A$2:$A$167,0)),"ERR"))</f>
        <v/>
      </c>
      <c r="M41" s="12" t="str">
        <f t="array" ref="M41">IF('Draft 1'!M41="","",IFERROR(INDEX(Index!$B$2:$B$167,MATCH('Draft 1'!M41,Index!$A$2:$A$167,0)),"ERR"))</f>
        <v/>
      </c>
      <c r="N41" s="12" t="str">
        <f t="array" ref="N41">IF('Draft 1'!N41="","",IFERROR(INDEX(Index!$B$2:$B$167,MATCH('Draft 1'!N41,Index!$A$2:$A$167,0)),"ERR"))</f>
        <v/>
      </c>
      <c r="O41" s="12" t="str">
        <f t="array" ref="O41">IF('Draft 1'!O41="","",IFERROR(INDEX(Index!$B$2:$B$167,MATCH('Draft 1'!O41,Index!$A$2:$A$167,0)),"ERR"))</f>
        <v/>
      </c>
      <c r="P41" s="12" t="str">
        <f t="array" ref="P41">IF('Draft 1'!P41="","",IFERROR(INDEX(Index!$B$2:$B$167,MATCH('Draft 1'!P41,Index!$A$2:$A$167,0)),"ERR"))</f>
        <v/>
      </c>
      <c r="Q41" s="12" t="str">
        <f t="array" ref="Q41">IF('Draft 1'!Q41="","",IFERROR(INDEX(Index!$B$2:$B$167,MATCH('Draft 1'!Q41,Index!$A$2:$A$167,0)),"ERR"))</f>
        <v/>
      </c>
      <c r="R41" s="12" t="str">
        <f t="array" ref="R41">IF('Draft 1'!R41="","",IFERROR(INDEX(Index!$B$2:$B$167,MATCH('Draft 1'!R41,Index!$A$2:$A$167,0)),"ERR"))</f>
        <v/>
      </c>
      <c r="S41" s="12" t="str">
        <f t="array" ref="S41">IF('Draft 1'!S41="","",IFERROR(INDEX(Index!$B$2:$B$167,MATCH('Draft 1'!S41,Index!$A$2:$A$167,0)),"ERR"))</f>
        <v/>
      </c>
      <c r="T41" s="12" t="str">
        <f t="array" ref="T41">IF('Draft 1'!T41="","",IFERROR(INDEX(Index!$B$2:$B$167,MATCH('Draft 1'!T41,Index!$A$2:$A$167,0)),"ERR"))</f>
        <v/>
      </c>
      <c r="U41" s="12" t="str">
        <f t="array" ref="U41">IF('Draft 1'!U41="","",IFERROR(INDEX(Index!$B$2:$B$167,MATCH('Draft 1'!U41,Index!$A$2:$A$167,0)),"ERR"))</f>
        <v/>
      </c>
      <c r="V41" s="12" t="str">
        <f t="array" ref="V41">IF('Draft 1'!V41="","",IFERROR(INDEX(Index!$B$2:$B$167,MATCH('Draft 1'!V41,Index!$A$2:$A$167,0)),"ERR"))</f>
        <v/>
      </c>
      <c r="W41" s="12" t="str">
        <f t="array" ref="W41">IF('Draft 1'!W41="","",IFERROR(INDEX(Index!$B$2:$B$167,MATCH('Draft 1'!W41,Index!$A$2:$A$167,0)),"ERR"))</f>
        <v/>
      </c>
      <c r="X41" s="12" t="str">
        <f t="array" ref="X41">IF('Draft 1'!X41="","",IFERROR(INDEX(Index!$B$2:$B$167,MATCH('Draft 1'!X41,Index!$A$2:$A$167,0)),"ERR"))</f>
        <v/>
      </c>
      <c r="Y41" s="12" t="str">
        <f t="array" ref="Y41">IF('Draft 1'!Y41="","",IFERROR(INDEX(Index!$B$2:$B$167,MATCH('Draft 1'!Y41,Index!$A$2:$A$167,0)),"ERR"))</f>
        <v/>
      </c>
      <c r="Z41" s="12" t="str">
        <f t="array" ref="Z41">IF('Draft 1'!Z41="","",IFERROR(INDEX(Index!$B$2:$B$167,MATCH('Draft 1'!Z41,Index!$A$2:$A$167,0)),"ERR"))</f>
        <v/>
      </c>
      <c r="AA41" s="12" t="str">
        <f t="array" ref="AA41">IF('Draft 1'!AA41="","",IFERROR(INDEX(Index!$B$2:$B$167,MATCH('Draft 1'!AA41,Index!$A$2:$A$167,0)),"ERR"))</f>
        <v/>
      </c>
      <c r="AB41" s="12" t="str">
        <f t="array" ref="AB41">IF('Draft 1'!AB41="","",IFERROR(INDEX(Index!$B$2:$B$167,MATCH('Draft 1'!AB41,Index!$A$2:$A$167,0)),"ERR"))</f>
        <v/>
      </c>
    </row>
    <row r="42">
      <c r="A42" s="7">
        <v>43.0</v>
      </c>
      <c r="B42" s="8" t="s">
        <v>84</v>
      </c>
      <c r="C42" s="9" t="s">
        <v>85</v>
      </c>
      <c r="D42" s="10" t="s">
        <v>84</v>
      </c>
      <c r="E42" s="12" t="str">
        <f t="array" ref="E42">IF('Draft 1'!E42="","",IFERROR(INDEX(Index!$B$2:$B$167,MATCH('Draft 1'!E42,Index!$A$2:$A$167,0)),"ERR"))</f>
        <v>R15.8E</v>
      </c>
      <c r="F42" s="12" t="str">
        <f t="array" ref="F42">IF('Draft 1'!F42="","",IFERROR(INDEX(Index!$B$2:$B$167,MATCH('Draft 1'!F42,Index!$A$2:$A$167,0)),"ERR"))</f>
        <v>R14.8D</v>
      </c>
      <c r="G42" s="12" t="str">
        <f t="array" ref="G42">IF('Draft 1'!G42="","",IFERROR(INDEX(Index!$B$2:$B$167,MATCH('Draft 1'!G42,Index!$A$2:$A$167,0)),"ERR"))</f>
        <v>R27.1D</v>
      </c>
      <c r="H42" s="12" t="str">
        <f t="array" ref="H42">IF('Draft 1'!H42="","",IFERROR(INDEX(Index!$B$2:$B$167,MATCH('Draft 1'!H42,Index!$A$2:$A$167,0)),"ERR"))</f>
        <v>R26.5D</v>
      </c>
      <c r="I42" s="12" t="str">
        <f t="array" ref="I42">IF('Draft 1'!I42="","",IFERROR(INDEX(Index!$B$2:$B$167,MATCH('Draft 1'!I42,Index!$A$2:$A$167,0)),"ERR"))</f>
        <v>R25.5D</v>
      </c>
      <c r="J42" s="12" t="str">
        <f t="array" ref="J42">IF('Draft 1'!J42="","",IFERROR(INDEX(Index!$B$2:$B$167,MATCH('Draft 1'!J42,Index!$A$2:$A$167,0)),"ERR"))</f>
        <v>R26.4D</v>
      </c>
      <c r="K42" s="12" t="str">
        <f t="array" ref="K42">IF('Draft 1'!K42="","",IFERROR(INDEX(Index!$B$2:$B$167,MATCH('Draft 1'!K42,Index!$A$2:$A$167,0)),"ERR"))</f>
        <v>R25.4D</v>
      </c>
      <c r="L42" s="12" t="str">
        <f t="array" ref="L42">IF('Draft 1'!L42="","",IFERROR(INDEX(Index!$B$2:$B$167,MATCH('Draft 1'!L42,Index!$A$2:$A$167,0)),"ERR"))</f>
        <v>R30.7D</v>
      </c>
      <c r="M42" s="12" t="str">
        <f t="array" ref="M42">IF('Draft 1'!M42="","",IFERROR(INDEX(Index!$B$2:$B$167,MATCH('Draft 1'!M42,Index!$A$2:$A$167,0)),"ERR"))</f>
        <v>R30.6D</v>
      </c>
      <c r="N42" s="12" t="str">
        <f t="array" ref="N42">IF('Draft 1'!N42="","",IFERROR(INDEX(Index!$B$2:$B$167,MATCH('Draft 1'!N42,Index!$A$2:$A$167,0)),"ERR"))</f>
        <v>R30.5D</v>
      </c>
      <c r="O42" s="12" t="str">
        <f t="array" ref="O42">IF('Draft 1'!O42="","",IFERROR(INDEX(Index!$B$2:$B$167,MATCH('Draft 1'!O42,Index!$A$2:$A$167,0)),"ERR"))</f>
        <v>R29.3D</v>
      </c>
      <c r="P42" s="12" t="str">
        <f t="array" ref="P42">IF('Draft 1'!P42="","",IFERROR(INDEX(Index!$B$2:$B$167,MATCH('Draft 1'!P42,Index!$A$2:$A$167,0)),"ERR"))</f>
        <v>R31.8D</v>
      </c>
      <c r="Q42" s="12" t="str">
        <f t="array" ref="Q42">IF('Draft 1'!Q42="","",IFERROR(INDEX(Index!$B$2:$B$167,MATCH('Draft 1'!Q42,Index!$A$2:$A$167,0)),"ERR"))</f>
        <v>R13.8B</v>
      </c>
      <c r="R42" s="12" t="str">
        <f t="array" ref="R42">IF('Draft 1'!R42="","",IFERROR(INDEX(Index!$B$2:$B$167,MATCH('Draft 1'!R42,Index!$A$2:$A$167,0)),"ERR"))</f>
        <v/>
      </c>
      <c r="S42" s="12" t="str">
        <f t="array" ref="S42">IF('Draft 1'!S42="","",IFERROR(INDEX(Index!$B$2:$B$167,MATCH('Draft 1'!S42,Index!$A$2:$A$167,0)),"ERR"))</f>
        <v/>
      </c>
      <c r="T42" s="12" t="str">
        <f t="array" ref="T42">IF('Draft 1'!T42="","",IFERROR(INDEX(Index!$B$2:$B$167,MATCH('Draft 1'!T42,Index!$A$2:$A$167,0)),"ERR"))</f>
        <v/>
      </c>
      <c r="U42" s="12" t="str">
        <f t="array" ref="U42">IF('Draft 1'!U42="","",IFERROR(INDEX(Index!$B$2:$B$167,MATCH('Draft 1'!U42,Index!$A$2:$A$167,0)),"ERR"))</f>
        <v/>
      </c>
      <c r="V42" s="12" t="str">
        <f t="array" ref="V42">IF('Draft 1'!V42="","",IFERROR(INDEX(Index!$B$2:$B$167,MATCH('Draft 1'!V42,Index!$A$2:$A$167,0)),"ERR"))</f>
        <v/>
      </c>
      <c r="W42" s="12" t="str">
        <f t="array" ref="W42">IF('Draft 1'!W42="","",IFERROR(INDEX(Index!$B$2:$B$167,MATCH('Draft 1'!W42,Index!$A$2:$A$167,0)),"ERR"))</f>
        <v/>
      </c>
      <c r="X42" s="12" t="str">
        <f t="array" ref="X42">IF('Draft 1'!X42="","",IFERROR(INDEX(Index!$B$2:$B$167,MATCH('Draft 1'!X42,Index!$A$2:$A$167,0)),"ERR"))</f>
        <v/>
      </c>
      <c r="Y42" s="12" t="str">
        <f t="array" ref="Y42">IF('Draft 1'!Y42="","",IFERROR(INDEX(Index!$B$2:$B$167,MATCH('Draft 1'!Y42,Index!$A$2:$A$167,0)),"ERR"))</f>
        <v/>
      </c>
      <c r="Z42" s="12" t="str">
        <f t="array" ref="Z42">IF('Draft 1'!Z42="","",IFERROR(INDEX(Index!$B$2:$B$167,MATCH('Draft 1'!Z42,Index!$A$2:$A$167,0)),"ERR"))</f>
        <v/>
      </c>
      <c r="AA42" s="12" t="str">
        <f t="array" ref="AA42">IF('Draft 1'!AA42="","",IFERROR(INDEX(Index!$B$2:$B$167,MATCH('Draft 1'!AA42,Index!$A$2:$A$167,0)),"ERR"))</f>
        <v/>
      </c>
      <c r="AB42" s="12" t="str">
        <f t="array" ref="AB42">IF('Draft 1'!AB42="","",IFERROR(INDEX(Index!$B$2:$B$167,MATCH('Draft 1'!AB42,Index!$A$2:$A$167,0)),"ERR"))</f>
        <v/>
      </c>
    </row>
  </sheetData>
  <mergeCells count="1">
    <mergeCell ref="E1:AB1"/>
  </mergeCells>
  <conditionalFormatting sqref="E1:AB42">
    <cfRule type="cellIs" dxfId="0" priority="1" operator="equal">
      <formula>"ERR"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3.88"/>
    <col customWidth="1" min="2" max="2" width="5.88"/>
    <col customWidth="1" min="3" max="3" width="20.0"/>
    <col customWidth="1" min="4" max="4" width="5.88"/>
    <col customWidth="1" min="5" max="28" width="7.63"/>
  </cols>
  <sheetData>
    <row r="1">
      <c r="A1" s="1" t="s">
        <v>0</v>
      </c>
      <c r="B1" s="2" t="s">
        <v>1</v>
      </c>
      <c r="C1" s="3" t="s">
        <v>2</v>
      </c>
      <c r="D1" s="4" t="s">
        <v>1</v>
      </c>
      <c r="E1" s="5" t="s">
        <v>87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7">
        <v>1.0</v>
      </c>
      <c r="B2" s="8" t="s">
        <v>4</v>
      </c>
      <c r="C2" s="9" t="s">
        <v>5</v>
      </c>
      <c r="D2" s="10" t="s">
        <v>4</v>
      </c>
      <c r="E2" s="13" t="str">
        <f>IF('Cause-Result'!E2="","",LEFT(REPLACE('Cause-Result'!E2,1,1,"T"),LEN('Cause-Result'!E2)-3))</f>
        <v>T12</v>
      </c>
      <c r="F2" s="13" t="str">
        <f>IF('Cause-Result'!F2="","",LEFT(REPLACE('Cause-Result'!F2,1,1,"T"),LEN('Cause-Result'!F2)-3))</f>
        <v>T14</v>
      </c>
      <c r="G2" s="13" t="str">
        <f>IF('Cause-Result'!G2="","",LEFT(REPLACE('Cause-Result'!G2,1,1,"T"),LEN('Cause-Result'!G2)-3))</f>
        <v>T12</v>
      </c>
      <c r="H2" s="13" t="str">
        <f>IF('Cause-Result'!H2="","",LEFT(REPLACE('Cause-Result'!H2,1,1,"T"),LEN('Cause-Result'!H2)-3))</f>
        <v>T14</v>
      </c>
      <c r="I2" s="13" t="str">
        <f>IF('Cause-Result'!I2="","",LEFT(REPLACE('Cause-Result'!I2,1,1,"T"),LEN('Cause-Result'!I2)-3))</f>
        <v>T29</v>
      </c>
      <c r="J2" s="13" t="str">
        <f>IF('Cause-Result'!J2="","",LEFT(REPLACE('Cause-Result'!J2,1,1,"T"),LEN('Cause-Result'!J2)-3))</f>
        <v>T31</v>
      </c>
      <c r="K2" s="13" t="str">
        <f>IF('Cause-Result'!K2="","",LEFT(REPLACE('Cause-Result'!K2,1,1,"T"),LEN('Cause-Result'!K2)-3))</f>
        <v>T22</v>
      </c>
      <c r="L2" s="13" t="str">
        <f>IF('Cause-Result'!L2="","",LEFT(REPLACE('Cause-Result'!L2,1,1,"T"),LEN('Cause-Result'!L2)-3))</f>
        <v/>
      </c>
      <c r="M2" s="13" t="str">
        <f>IF('Cause-Result'!M2="","",LEFT(REPLACE('Cause-Result'!M2,1,1,"T"),LEN('Cause-Result'!M2)-3))</f>
        <v/>
      </c>
      <c r="N2" s="13" t="str">
        <f>IF('Cause-Result'!N2="","",LEFT(REPLACE('Cause-Result'!N2,1,1,"T"),LEN('Cause-Result'!N2)-3))</f>
        <v/>
      </c>
      <c r="O2" s="13" t="str">
        <f>IF('Cause-Result'!O2="","",LEFT(REPLACE('Cause-Result'!O2,1,1,"T"),LEN('Cause-Result'!O2)-3))</f>
        <v/>
      </c>
      <c r="P2" s="13" t="str">
        <f>IF('Cause-Result'!P2="","",LEFT(REPLACE('Cause-Result'!P2,1,1,"T"),LEN('Cause-Result'!P2)-3))</f>
        <v/>
      </c>
      <c r="Q2" s="13" t="str">
        <f>IF('Cause-Result'!Q2="","",LEFT(REPLACE('Cause-Result'!Q2,1,1,"T"),LEN('Cause-Result'!Q2)-3))</f>
        <v/>
      </c>
      <c r="R2" s="13" t="str">
        <f>IF('Cause-Result'!R2="","",LEFT(REPLACE('Cause-Result'!R2,1,1,"T"),LEN('Cause-Result'!R2)-3))</f>
        <v/>
      </c>
      <c r="S2" s="13" t="str">
        <f>IF('Cause-Result'!S2="","",LEFT(REPLACE('Cause-Result'!S2,1,1,"T"),LEN('Cause-Result'!S2)-3))</f>
        <v/>
      </c>
      <c r="T2" s="13" t="str">
        <f>IF('Cause-Result'!T2="","",LEFT(REPLACE('Cause-Result'!T2,1,1,"T"),LEN('Cause-Result'!T2)-3))</f>
        <v/>
      </c>
      <c r="U2" s="13" t="str">
        <f>IF('Cause-Result'!U2="","",LEFT(REPLACE('Cause-Result'!U2,1,1,"T"),LEN('Cause-Result'!U2)-3))</f>
        <v/>
      </c>
      <c r="V2" s="13" t="str">
        <f>IF('Cause-Result'!V2="","",LEFT(REPLACE('Cause-Result'!V2,1,1,"T"),LEN('Cause-Result'!V2)-3))</f>
        <v/>
      </c>
      <c r="W2" s="13" t="str">
        <f>IF('Cause-Result'!W2="","",LEFT(REPLACE('Cause-Result'!W2,1,1,"T"),LEN('Cause-Result'!W2)-3))</f>
        <v/>
      </c>
      <c r="X2" s="13" t="str">
        <f>IF('Cause-Result'!X2="","",LEFT(REPLACE('Cause-Result'!X2,1,1,"T"),LEN('Cause-Result'!X2)-3))</f>
        <v/>
      </c>
      <c r="Y2" s="13" t="str">
        <f>IF('Cause-Result'!Y2="","",LEFT(REPLACE('Cause-Result'!Y2,1,1,"T"),LEN('Cause-Result'!Y2)-3))</f>
        <v/>
      </c>
      <c r="Z2" s="13" t="str">
        <f>IF('Cause-Result'!Z2="","",LEFT(REPLACE('Cause-Result'!Z2,1,1,"T"),LEN('Cause-Result'!Z2)-3))</f>
        <v/>
      </c>
      <c r="AA2" s="13" t="str">
        <f>IF('Cause-Result'!AA2="","",LEFT(REPLACE('Cause-Result'!AA2,1,1,"T"),LEN('Cause-Result'!AA2)-3))</f>
        <v/>
      </c>
      <c r="AB2" s="13" t="str">
        <f>IF('Cause-Result'!AB2="","",LEFT(REPLACE('Cause-Result'!AB2,1,1,"T"),LEN('Cause-Result'!AB2)-3))</f>
        <v/>
      </c>
    </row>
    <row r="3">
      <c r="A3" s="7">
        <v>2.0</v>
      </c>
      <c r="B3" s="8" t="s">
        <v>6</v>
      </c>
      <c r="C3" s="9" t="s">
        <v>7</v>
      </c>
      <c r="D3" s="10" t="s">
        <v>6</v>
      </c>
      <c r="E3" s="13" t="str">
        <f>IF('Cause-Result'!E3="","",LEFT(REPLACE('Cause-Result'!E3,1,1,"T"),LEN('Cause-Result'!E3)-3))</f>
        <v>T27</v>
      </c>
      <c r="F3" s="13" t="str">
        <f>IF('Cause-Result'!F3="","",LEFT(REPLACE('Cause-Result'!F3,1,1,"T"),LEN('Cause-Result'!F3)-3))</f>
        <v>T26</v>
      </c>
      <c r="G3" s="13" t="str">
        <f>IF('Cause-Result'!G3="","",LEFT(REPLACE('Cause-Result'!G3,1,1,"T"),LEN('Cause-Result'!G3)-3))</f>
        <v>T25</v>
      </c>
      <c r="H3" s="13" t="str">
        <f>IF('Cause-Result'!H3="","",LEFT(REPLACE('Cause-Result'!H3,1,1,"T"),LEN('Cause-Result'!H3)-3))</f>
        <v/>
      </c>
      <c r="I3" s="13" t="str">
        <f>IF('Cause-Result'!I3="","",LEFT(REPLACE('Cause-Result'!I3,1,1,"T"),LEN('Cause-Result'!I3)-3))</f>
        <v/>
      </c>
      <c r="J3" s="13" t="str">
        <f>IF('Cause-Result'!J3="","",LEFT(REPLACE('Cause-Result'!J3,1,1,"T"),LEN('Cause-Result'!J3)-3))</f>
        <v/>
      </c>
      <c r="K3" s="13" t="str">
        <f>IF('Cause-Result'!K3="","",LEFT(REPLACE('Cause-Result'!K3,1,1,"T"),LEN('Cause-Result'!K3)-3))</f>
        <v/>
      </c>
      <c r="L3" s="13" t="str">
        <f>IF('Cause-Result'!L3="","",LEFT(REPLACE('Cause-Result'!L3,1,1,"T"),LEN('Cause-Result'!L3)-3))</f>
        <v/>
      </c>
      <c r="M3" s="13" t="str">
        <f>IF('Cause-Result'!M3="","",LEFT(REPLACE('Cause-Result'!M3,1,1,"T"),LEN('Cause-Result'!M3)-3))</f>
        <v/>
      </c>
      <c r="N3" s="13" t="str">
        <f>IF('Cause-Result'!N3="","",LEFT(REPLACE('Cause-Result'!N3,1,1,"T"),LEN('Cause-Result'!N3)-3))</f>
        <v/>
      </c>
      <c r="O3" s="13" t="str">
        <f>IF('Cause-Result'!O3="","",LEFT(REPLACE('Cause-Result'!O3,1,1,"T"),LEN('Cause-Result'!O3)-3))</f>
        <v/>
      </c>
      <c r="P3" s="13" t="str">
        <f>IF('Cause-Result'!P3="","",LEFT(REPLACE('Cause-Result'!P3,1,1,"T"),LEN('Cause-Result'!P3)-3))</f>
        <v/>
      </c>
      <c r="Q3" s="13" t="str">
        <f>IF('Cause-Result'!Q3="","",LEFT(REPLACE('Cause-Result'!Q3,1,1,"T"),LEN('Cause-Result'!Q3)-3))</f>
        <v/>
      </c>
      <c r="R3" s="13" t="str">
        <f>IF('Cause-Result'!R3="","",LEFT(REPLACE('Cause-Result'!R3,1,1,"T"),LEN('Cause-Result'!R3)-3))</f>
        <v/>
      </c>
      <c r="S3" s="13" t="str">
        <f>IF('Cause-Result'!S3="","",LEFT(REPLACE('Cause-Result'!S3,1,1,"T"),LEN('Cause-Result'!S3)-3))</f>
        <v/>
      </c>
      <c r="T3" s="13" t="str">
        <f>IF('Cause-Result'!T3="","",LEFT(REPLACE('Cause-Result'!T3,1,1,"T"),LEN('Cause-Result'!T3)-3))</f>
        <v/>
      </c>
      <c r="U3" s="13" t="str">
        <f>IF('Cause-Result'!U3="","",LEFT(REPLACE('Cause-Result'!U3,1,1,"T"),LEN('Cause-Result'!U3)-3))</f>
        <v/>
      </c>
      <c r="V3" s="13" t="str">
        <f>IF('Cause-Result'!V3="","",LEFT(REPLACE('Cause-Result'!V3,1,1,"T"),LEN('Cause-Result'!V3)-3))</f>
        <v/>
      </c>
      <c r="W3" s="13" t="str">
        <f>IF('Cause-Result'!W3="","",LEFT(REPLACE('Cause-Result'!W3,1,1,"T"),LEN('Cause-Result'!W3)-3))</f>
        <v/>
      </c>
      <c r="X3" s="13" t="str">
        <f>IF('Cause-Result'!X3="","",LEFT(REPLACE('Cause-Result'!X3,1,1,"T"),LEN('Cause-Result'!X3)-3))</f>
        <v/>
      </c>
      <c r="Y3" s="13" t="str">
        <f>IF('Cause-Result'!Y3="","",LEFT(REPLACE('Cause-Result'!Y3,1,1,"T"),LEN('Cause-Result'!Y3)-3))</f>
        <v/>
      </c>
      <c r="Z3" s="13" t="str">
        <f>IF('Cause-Result'!Z3="","",LEFT(REPLACE('Cause-Result'!Z3,1,1,"T"),LEN('Cause-Result'!Z3)-3))</f>
        <v/>
      </c>
      <c r="AA3" s="13" t="str">
        <f>IF('Cause-Result'!AA3="","",LEFT(REPLACE('Cause-Result'!AA3,1,1,"T"),LEN('Cause-Result'!AA3)-3))</f>
        <v/>
      </c>
      <c r="AB3" s="13" t="str">
        <f>IF('Cause-Result'!AB3="","",LEFT(REPLACE('Cause-Result'!AB3,1,1,"T"),LEN('Cause-Result'!AB3)-3))</f>
        <v/>
      </c>
    </row>
    <row r="4">
      <c r="A4" s="7">
        <v>3.0</v>
      </c>
      <c r="B4" s="8" t="s">
        <v>8</v>
      </c>
      <c r="C4" s="9" t="s">
        <v>9</v>
      </c>
      <c r="D4" s="10" t="s">
        <v>8</v>
      </c>
      <c r="E4" s="13" t="str">
        <f>IF('Cause-Result'!E4="","",LEFT(REPLACE('Cause-Result'!E4,1,1,"T"),LEN('Cause-Result'!E4)-3))</f>
        <v>T14</v>
      </c>
      <c r="F4" s="13" t="str">
        <f>IF('Cause-Result'!F4="","",LEFT(REPLACE('Cause-Result'!F4,1,1,"T"),LEN('Cause-Result'!F4)-3))</f>
        <v>T27</v>
      </c>
      <c r="G4" s="13" t="str">
        <f>IF('Cause-Result'!G4="","",LEFT(REPLACE('Cause-Result'!G4,1,1,"T"),LEN('Cause-Result'!G4)-3))</f>
        <v>T26</v>
      </c>
      <c r="H4" s="13" t="str">
        <f>IF('Cause-Result'!H4="","",LEFT(REPLACE('Cause-Result'!H4,1,1,"T"),LEN('Cause-Result'!H4)-3))</f>
        <v>T25</v>
      </c>
      <c r="I4" s="13" t="str">
        <f>IF('Cause-Result'!I4="","",LEFT(REPLACE('Cause-Result'!I4,1,1,"T"),LEN('Cause-Result'!I4)-3))</f>
        <v>T26</v>
      </c>
      <c r="J4" s="13" t="str">
        <f>IF('Cause-Result'!J4="","",LEFT(REPLACE('Cause-Result'!J4,1,1,"T"),LEN('Cause-Result'!J4)-3))</f>
        <v>T25</v>
      </c>
      <c r="K4" s="13" t="str">
        <f>IF('Cause-Result'!K4="","",LEFT(REPLACE('Cause-Result'!K4,1,1,"T"),LEN('Cause-Result'!K4)-3))</f>
        <v>T30</v>
      </c>
      <c r="L4" s="13" t="str">
        <f>IF('Cause-Result'!L4="","",LEFT(REPLACE('Cause-Result'!L4,1,1,"T"),LEN('Cause-Result'!L4)-3))</f>
        <v>T30</v>
      </c>
      <c r="M4" s="13" t="str">
        <f>IF('Cause-Result'!M4="","",LEFT(REPLACE('Cause-Result'!M4,1,1,"T"),LEN('Cause-Result'!M4)-3))</f>
        <v>T30</v>
      </c>
      <c r="N4" s="13" t="str">
        <f>IF('Cause-Result'!N4="","",LEFT(REPLACE('Cause-Result'!N4,1,1,"T"),LEN('Cause-Result'!N4)-3))</f>
        <v>T29</v>
      </c>
      <c r="O4" s="13" t="str">
        <f>IF('Cause-Result'!O4="","",LEFT(REPLACE('Cause-Result'!O4,1,1,"T"),LEN('Cause-Result'!O4)-3))</f>
        <v>T31</v>
      </c>
      <c r="P4" s="13" t="str">
        <f>IF('Cause-Result'!P4="","",LEFT(REPLACE('Cause-Result'!P4,1,1,"T"),LEN('Cause-Result'!P4)-3))</f>
        <v/>
      </c>
      <c r="Q4" s="13" t="str">
        <f>IF('Cause-Result'!Q4="","",LEFT(REPLACE('Cause-Result'!Q4,1,1,"T"),LEN('Cause-Result'!Q4)-3))</f>
        <v/>
      </c>
      <c r="R4" s="13" t="str">
        <f>IF('Cause-Result'!R4="","",LEFT(REPLACE('Cause-Result'!R4,1,1,"T"),LEN('Cause-Result'!R4)-3))</f>
        <v/>
      </c>
      <c r="S4" s="13" t="str">
        <f>IF('Cause-Result'!S4="","",LEFT(REPLACE('Cause-Result'!S4,1,1,"T"),LEN('Cause-Result'!S4)-3))</f>
        <v/>
      </c>
      <c r="T4" s="13" t="str">
        <f>IF('Cause-Result'!T4="","",LEFT(REPLACE('Cause-Result'!T4,1,1,"T"),LEN('Cause-Result'!T4)-3))</f>
        <v/>
      </c>
      <c r="U4" s="13" t="str">
        <f>IF('Cause-Result'!U4="","",LEFT(REPLACE('Cause-Result'!U4,1,1,"T"),LEN('Cause-Result'!U4)-3))</f>
        <v/>
      </c>
      <c r="V4" s="13" t="str">
        <f>IF('Cause-Result'!V4="","",LEFT(REPLACE('Cause-Result'!V4,1,1,"T"),LEN('Cause-Result'!V4)-3))</f>
        <v/>
      </c>
      <c r="W4" s="13" t="str">
        <f>IF('Cause-Result'!W4="","",LEFT(REPLACE('Cause-Result'!W4,1,1,"T"),LEN('Cause-Result'!W4)-3))</f>
        <v/>
      </c>
      <c r="X4" s="13" t="str">
        <f>IF('Cause-Result'!X4="","",LEFT(REPLACE('Cause-Result'!X4,1,1,"T"),LEN('Cause-Result'!X4)-3))</f>
        <v/>
      </c>
      <c r="Y4" s="13" t="str">
        <f>IF('Cause-Result'!Y4="","",LEFT(REPLACE('Cause-Result'!Y4,1,1,"T"),LEN('Cause-Result'!Y4)-3))</f>
        <v/>
      </c>
      <c r="Z4" s="13" t="str">
        <f>IF('Cause-Result'!Z4="","",LEFT(REPLACE('Cause-Result'!Z4,1,1,"T"),LEN('Cause-Result'!Z4)-3))</f>
        <v/>
      </c>
      <c r="AA4" s="13" t="str">
        <f>IF('Cause-Result'!AA4="","",LEFT(REPLACE('Cause-Result'!AA4,1,1,"T"),LEN('Cause-Result'!AA4)-3))</f>
        <v/>
      </c>
      <c r="AB4" s="13" t="str">
        <f>IF('Cause-Result'!AB4="","",LEFT(REPLACE('Cause-Result'!AB4,1,1,"T"),LEN('Cause-Result'!AB4)-3))</f>
        <v/>
      </c>
    </row>
    <row r="5">
      <c r="A5" s="7">
        <v>4.0</v>
      </c>
      <c r="B5" s="8" t="s">
        <v>10</v>
      </c>
      <c r="C5" s="9" t="s">
        <v>11</v>
      </c>
      <c r="D5" s="10" t="s">
        <v>10</v>
      </c>
      <c r="E5" s="13" t="str">
        <f>IF('Cause-Result'!E5="","",LEFT(REPLACE('Cause-Result'!E5,1,1,"T"),LEN('Cause-Result'!E5)-3))</f>
        <v>T12</v>
      </c>
      <c r="F5" s="13" t="str">
        <f>IF('Cause-Result'!F5="","",LEFT(REPLACE('Cause-Result'!F5,1,1,"T"),LEN('Cause-Result'!F5)-3))</f>
        <v>T14</v>
      </c>
      <c r="G5" s="13" t="str">
        <f>IF('Cause-Result'!G5="","",LEFT(REPLACE('Cause-Result'!G5,1,1,"T"),LEN('Cause-Result'!G5)-3))</f>
        <v>T12</v>
      </c>
      <c r="H5" s="13" t="str">
        <f>IF('Cause-Result'!H5="","",LEFT(REPLACE('Cause-Result'!H5,1,1,"T"),LEN('Cause-Result'!H5)-3))</f>
        <v>T14</v>
      </c>
      <c r="I5" s="13" t="str">
        <f>IF('Cause-Result'!I5="","",LEFT(REPLACE('Cause-Result'!I5,1,1,"T"),LEN('Cause-Result'!I5)-3))</f>
        <v>T29</v>
      </c>
      <c r="J5" s="13" t="str">
        <f>IF('Cause-Result'!J5="","",LEFT(REPLACE('Cause-Result'!J5,1,1,"T"),LEN('Cause-Result'!J5)-3))</f>
        <v>T31</v>
      </c>
      <c r="K5" s="13" t="str">
        <f>IF('Cause-Result'!K5="","",LEFT(REPLACE('Cause-Result'!K5,1,1,"T"),LEN('Cause-Result'!K5)-3))</f>
        <v>T26</v>
      </c>
      <c r="L5" s="13" t="str">
        <f>IF('Cause-Result'!L5="","",LEFT(REPLACE('Cause-Result'!L5,1,1,"T"),LEN('Cause-Result'!L5)-3))</f>
        <v>T25</v>
      </c>
      <c r="M5" s="13" t="str">
        <f>IF('Cause-Result'!M5="","",LEFT(REPLACE('Cause-Result'!M5,1,1,"T"),LEN('Cause-Result'!M5)-3))</f>
        <v>T26</v>
      </c>
      <c r="N5" s="13" t="str">
        <f>IF('Cause-Result'!N5="","",LEFT(REPLACE('Cause-Result'!N5,1,1,"T"),LEN('Cause-Result'!N5)-3))</f>
        <v>T25</v>
      </c>
      <c r="O5" s="13" t="str">
        <f>IF('Cause-Result'!O5="","",LEFT(REPLACE('Cause-Result'!O5,1,1,"T"),LEN('Cause-Result'!O5)-3))</f>
        <v/>
      </c>
      <c r="P5" s="13" t="str">
        <f>IF('Cause-Result'!P5="","",LEFT(REPLACE('Cause-Result'!P5,1,1,"T"),LEN('Cause-Result'!P5)-3))</f>
        <v/>
      </c>
      <c r="Q5" s="13" t="str">
        <f>IF('Cause-Result'!Q5="","",LEFT(REPLACE('Cause-Result'!Q5,1,1,"T"),LEN('Cause-Result'!Q5)-3))</f>
        <v/>
      </c>
      <c r="R5" s="13" t="str">
        <f>IF('Cause-Result'!R5="","",LEFT(REPLACE('Cause-Result'!R5,1,1,"T"),LEN('Cause-Result'!R5)-3))</f>
        <v/>
      </c>
      <c r="S5" s="13" t="str">
        <f>IF('Cause-Result'!S5="","",LEFT(REPLACE('Cause-Result'!S5,1,1,"T"),LEN('Cause-Result'!S5)-3))</f>
        <v/>
      </c>
      <c r="T5" s="13" t="str">
        <f>IF('Cause-Result'!T5="","",LEFT(REPLACE('Cause-Result'!T5,1,1,"T"),LEN('Cause-Result'!T5)-3))</f>
        <v/>
      </c>
      <c r="U5" s="13" t="str">
        <f>IF('Cause-Result'!U5="","",LEFT(REPLACE('Cause-Result'!U5,1,1,"T"),LEN('Cause-Result'!U5)-3))</f>
        <v/>
      </c>
      <c r="V5" s="13" t="str">
        <f>IF('Cause-Result'!V5="","",LEFT(REPLACE('Cause-Result'!V5,1,1,"T"),LEN('Cause-Result'!V5)-3))</f>
        <v/>
      </c>
      <c r="W5" s="13" t="str">
        <f>IF('Cause-Result'!W5="","",LEFT(REPLACE('Cause-Result'!W5,1,1,"T"),LEN('Cause-Result'!W5)-3))</f>
        <v/>
      </c>
      <c r="X5" s="13" t="str">
        <f>IF('Cause-Result'!X5="","",LEFT(REPLACE('Cause-Result'!X5,1,1,"T"),LEN('Cause-Result'!X5)-3))</f>
        <v/>
      </c>
      <c r="Y5" s="13" t="str">
        <f>IF('Cause-Result'!Y5="","",LEFT(REPLACE('Cause-Result'!Y5,1,1,"T"),LEN('Cause-Result'!Y5)-3))</f>
        <v/>
      </c>
      <c r="Z5" s="13" t="str">
        <f>IF('Cause-Result'!Z5="","",LEFT(REPLACE('Cause-Result'!Z5,1,1,"T"),LEN('Cause-Result'!Z5)-3))</f>
        <v/>
      </c>
      <c r="AA5" s="13" t="str">
        <f>IF('Cause-Result'!AA5="","",LEFT(REPLACE('Cause-Result'!AA5,1,1,"T"),LEN('Cause-Result'!AA5)-3))</f>
        <v/>
      </c>
      <c r="AB5" s="13" t="str">
        <f>IF('Cause-Result'!AB5="","",LEFT(REPLACE('Cause-Result'!AB5,1,1,"T"),LEN('Cause-Result'!AB5)-3))</f>
        <v/>
      </c>
    </row>
    <row r="6">
      <c r="A6" s="7">
        <v>5.0</v>
      </c>
      <c r="B6" s="8" t="s">
        <v>12</v>
      </c>
      <c r="C6" s="9" t="s">
        <v>13</v>
      </c>
      <c r="D6" s="10" t="s">
        <v>12</v>
      </c>
      <c r="E6" s="13" t="str">
        <f>IF('Cause-Result'!E6="","",LEFT(REPLACE('Cause-Result'!E6,1,1,"T"),LEN('Cause-Result'!E6)-3))</f>
        <v>T12</v>
      </c>
      <c r="F6" s="13" t="str">
        <f>IF('Cause-Result'!F6="","",LEFT(REPLACE('Cause-Result'!F6,1,1,"T"),LEN('Cause-Result'!F6)-3))</f>
        <v>T14</v>
      </c>
      <c r="G6" s="13" t="str">
        <f>IF('Cause-Result'!G6="","",LEFT(REPLACE('Cause-Result'!G6,1,1,"T"),LEN('Cause-Result'!G6)-3))</f>
        <v>T14</v>
      </c>
      <c r="H6" s="13" t="str">
        <f>IF('Cause-Result'!H6="","",LEFT(REPLACE('Cause-Result'!H6,1,1,"T"),LEN('Cause-Result'!H6)-3))</f>
        <v>T14</v>
      </c>
      <c r="I6" s="13" t="str">
        <f>IF('Cause-Result'!I6="","",LEFT(REPLACE('Cause-Result'!I6,1,1,"T"),LEN('Cause-Result'!I6)-3))</f>
        <v>T14</v>
      </c>
      <c r="J6" s="13" t="str">
        <f>IF('Cause-Result'!J6="","",LEFT(REPLACE('Cause-Result'!J6,1,1,"T"),LEN('Cause-Result'!J6)-3))</f>
        <v>T31</v>
      </c>
      <c r="K6" s="13" t="str">
        <f>IF('Cause-Result'!K6="","",LEFT(REPLACE('Cause-Result'!K6,1,1,"T"),LEN('Cause-Result'!K6)-3))</f>
        <v>T14</v>
      </c>
      <c r="L6" s="13" t="str">
        <f>IF('Cause-Result'!L6="","",LEFT(REPLACE('Cause-Result'!L6,1,1,"T"),LEN('Cause-Result'!L6)-3))</f>
        <v>T29</v>
      </c>
      <c r="M6" s="13" t="str">
        <f>IF('Cause-Result'!M6="","",LEFT(REPLACE('Cause-Result'!M6,1,1,"T"),LEN('Cause-Result'!M6)-3))</f>
        <v>T26</v>
      </c>
      <c r="N6" s="13" t="str">
        <f>IF('Cause-Result'!N6="","",LEFT(REPLACE('Cause-Result'!N6,1,1,"T"),LEN('Cause-Result'!N6)-3))</f>
        <v>T25</v>
      </c>
      <c r="O6" s="13" t="str">
        <f>IF('Cause-Result'!O6="","",LEFT(REPLACE('Cause-Result'!O6,1,1,"T"),LEN('Cause-Result'!O6)-3))</f>
        <v/>
      </c>
      <c r="P6" s="13" t="str">
        <f>IF('Cause-Result'!P6="","",LEFT(REPLACE('Cause-Result'!P6,1,1,"T"),LEN('Cause-Result'!P6)-3))</f>
        <v/>
      </c>
      <c r="Q6" s="13" t="str">
        <f>IF('Cause-Result'!Q6="","",LEFT(REPLACE('Cause-Result'!Q6,1,1,"T"),LEN('Cause-Result'!Q6)-3))</f>
        <v/>
      </c>
      <c r="R6" s="13" t="str">
        <f>IF('Cause-Result'!R6="","",LEFT(REPLACE('Cause-Result'!R6,1,1,"T"),LEN('Cause-Result'!R6)-3))</f>
        <v/>
      </c>
      <c r="S6" s="13" t="str">
        <f>IF('Cause-Result'!S6="","",LEFT(REPLACE('Cause-Result'!S6,1,1,"T"),LEN('Cause-Result'!S6)-3))</f>
        <v/>
      </c>
      <c r="T6" s="13" t="str">
        <f>IF('Cause-Result'!T6="","",LEFT(REPLACE('Cause-Result'!T6,1,1,"T"),LEN('Cause-Result'!T6)-3))</f>
        <v/>
      </c>
      <c r="U6" s="13" t="str">
        <f>IF('Cause-Result'!U6="","",LEFT(REPLACE('Cause-Result'!U6,1,1,"T"),LEN('Cause-Result'!U6)-3))</f>
        <v/>
      </c>
      <c r="V6" s="13" t="str">
        <f>IF('Cause-Result'!V6="","",LEFT(REPLACE('Cause-Result'!V6,1,1,"T"),LEN('Cause-Result'!V6)-3))</f>
        <v/>
      </c>
      <c r="W6" s="13" t="str">
        <f>IF('Cause-Result'!W6="","",LEFT(REPLACE('Cause-Result'!W6,1,1,"T"),LEN('Cause-Result'!W6)-3))</f>
        <v/>
      </c>
      <c r="X6" s="13" t="str">
        <f>IF('Cause-Result'!X6="","",LEFT(REPLACE('Cause-Result'!X6,1,1,"T"),LEN('Cause-Result'!X6)-3))</f>
        <v/>
      </c>
      <c r="Y6" s="13" t="str">
        <f>IF('Cause-Result'!Y6="","",LEFT(REPLACE('Cause-Result'!Y6,1,1,"T"),LEN('Cause-Result'!Y6)-3))</f>
        <v/>
      </c>
      <c r="Z6" s="13" t="str">
        <f>IF('Cause-Result'!Z6="","",LEFT(REPLACE('Cause-Result'!Z6,1,1,"T"),LEN('Cause-Result'!Z6)-3))</f>
        <v/>
      </c>
      <c r="AA6" s="13" t="str">
        <f>IF('Cause-Result'!AA6="","",LEFT(REPLACE('Cause-Result'!AA6,1,1,"T"),LEN('Cause-Result'!AA6)-3))</f>
        <v/>
      </c>
      <c r="AB6" s="13" t="str">
        <f>IF('Cause-Result'!AB6="","",LEFT(REPLACE('Cause-Result'!AB6,1,1,"T"),LEN('Cause-Result'!AB6)-3))</f>
        <v/>
      </c>
    </row>
    <row r="7">
      <c r="A7" s="7">
        <v>6.0</v>
      </c>
      <c r="B7" s="8" t="s">
        <v>14</v>
      </c>
      <c r="C7" s="9" t="s">
        <v>15</v>
      </c>
      <c r="D7" s="10" t="s">
        <v>14</v>
      </c>
      <c r="E7" s="13" t="str">
        <f>IF('Cause-Result'!E7="","",LEFT(REPLACE('Cause-Result'!E7,1,1,"T"),LEN('Cause-Result'!E7)-3))</f>
        <v>T22</v>
      </c>
      <c r="F7" s="13" t="str">
        <f>IF('Cause-Result'!F7="","",LEFT(REPLACE('Cause-Result'!F7,1,1,"T"),LEN('Cause-Result'!F7)-3))</f>
        <v>T15</v>
      </c>
      <c r="G7" s="13" t="str">
        <f>IF('Cause-Result'!G7="","",LEFT(REPLACE('Cause-Result'!G7,1,1,"T"),LEN('Cause-Result'!G7)-3))</f>
        <v>T15</v>
      </c>
      <c r="H7" s="13" t="str">
        <f>IF('Cause-Result'!H7="","",LEFT(REPLACE('Cause-Result'!H7,1,1,"T"),LEN('Cause-Result'!H7)-3))</f>
        <v>T20</v>
      </c>
      <c r="I7" s="13" t="str">
        <f>IF('Cause-Result'!I7="","",LEFT(REPLACE('Cause-Result'!I7,1,1,"T"),LEN('Cause-Result'!I7)-3))</f>
        <v>T24</v>
      </c>
      <c r="J7" s="13" t="str">
        <f>IF('Cause-Result'!J7="","",LEFT(REPLACE('Cause-Result'!J7,1,1,"T"),LEN('Cause-Result'!J7)-3))</f>
        <v>T23</v>
      </c>
      <c r="K7" s="13" t="str">
        <f>IF('Cause-Result'!K7="","",LEFT(REPLACE('Cause-Result'!K7,1,1,"T"),LEN('Cause-Result'!K7)-3))</f>
        <v>T24</v>
      </c>
      <c r="L7" s="13" t="str">
        <f>IF('Cause-Result'!L7="","",LEFT(REPLACE('Cause-Result'!L7,1,1,"T"),LEN('Cause-Result'!L7)-3))</f>
        <v>T23</v>
      </c>
      <c r="M7" s="13" t="str">
        <f>IF('Cause-Result'!M7="","",LEFT(REPLACE('Cause-Result'!M7,1,1,"T"),LEN('Cause-Result'!M7)-3))</f>
        <v>T17</v>
      </c>
      <c r="N7" s="13" t="str">
        <f>IF('Cause-Result'!N7="","",LEFT(REPLACE('Cause-Result'!N7,1,1,"T"),LEN('Cause-Result'!N7)-3))</f>
        <v/>
      </c>
      <c r="O7" s="13" t="str">
        <f>IF('Cause-Result'!O7="","",LEFT(REPLACE('Cause-Result'!O7,1,1,"T"),LEN('Cause-Result'!O7)-3))</f>
        <v/>
      </c>
      <c r="P7" s="13" t="str">
        <f>IF('Cause-Result'!P7="","",LEFT(REPLACE('Cause-Result'!P7,1,1,"T"),LEN('Cause-Result'!P7)-3))</f>
        <v/>
      </c>
      <c r="Q7" s="13" t="str">
        <f>IF('Cause-Result'!Q7="","",LEFT(REPLACE('Cause-Result'!Q7,1,1,"T"),LEN('Cause-Result'!Q7)-3))</f>
        <v/>
      </c>
      <c r="R7" s="13" t="str">
        <f>IF('Cause-Result'!R7="","",LEFT(REPLACE('Cause-Result'!R7,1,1,"T"),LEN('Cause-Result'!R7)-3))</f>
        <v/>
      </c>
      <c r="S7" s="13" t="str">
        <f>IF('Cause-Result'!S7="","",LEFT(REPLACE('Cause-Result'!S7,1,1,"T"),LEN('Cause-Result'!S7)-3))</f>
        <v/>
      </c>
      <c r="T7" s="13" t="str">
        <f>IF('Cause-Result'!T7="","",LEFT(REPLACE('Cause-Result'!T7,1,1,"T"),LEN('Cause-Result'!T7)-3))</f>
        <v/>
      </c>
      <c r="U7" s="13" t="str">
        <f>IF('Cause-Result'!U7="","",LEFT(REPLACE('Cause-Result'!U7,1,1,"T"),LEN('Cause-Result'!U7)-3))</f>
        <v/>
      </c>
      <c r="V7" s="13" t="str">
        <f>IF('Cause-Result'!V7="","",LEFT(REPLACE('Cause-Result'!V7,1,1,"T"),LEN('Cause-Result'!V7)-3))</f>
        <v/>
      </c>
      <c r="W7" s="13" t="str">
        <f>IF('Cause-Result'!W7="","",LEFT(REPLACE('Cause-Result'!W7,1,1,"T"),LEN('Cause-Result'!W7)-3))</f>
        <v/>
      </c>
      <c r="X7" s="13" t="str">
        <f>IF('Cause-Result'!X7="","",LEFT(REPLACE('Cause-Result'!X7,1,1,"T"),LEN('Cause-Result'!X7)-3))</f>
        <v/>
      </c>
      <c r="Y7" s="13" t="str">
        <f>IF('Cause-Result'!Y7="","",LEFT(REPLACE('Cause-Result'!Y7,1,1,"T"),LEN('Cause-Result'!Y7)-3))</f>
        <v/>
      </c>
      <c r="Z7" s="13" t="str">
        <f>IF('Cause-Result'!Z7="","",LEFT(REPLACE('Cause-Result'!Z7,1,1,"T"),LEN('Cause-Result'!Z7)-3))</f>
        <v/>
      </c>
      <c r="AA7" s="13" t="str">
        <f>IF('Cause-Result'!AA7="","",LEFT(REPLACE('Cause-Result'!AA7,1,1,"T"),LEN('Cause-Result'!AA7)-3))</f>
        <v/>
      </c>
      <c r="AB7" s="13" t="str">
        <f>IF('Cause-Result'!AB7="","",LEFT(REPLACE('Cause-Result'!AB7,1,1,"T"),LEN('Cause-Result'!AB7)-3))</f>
        <v/>
      </c>
    </row>
    <row r="8">
      <c r="A8" s="7">
        <v>7.0</v>
      </c>
      <c r="B8" s="8" t="s">
        <v>16</v>
      </c>
      <c r="C8" s="9" t="s">
        <v>17</v>
      </c>
      <c r="D8" s="10" t="s">
        <v>16</v>
      </c>
      <c r="E8" s="13" t="str">
        <f>IF('Cause-Result'!E8="","",LEFT(REPLACE('Cause-Result'!E8,1,1,"T"),LEN('Cause-Result'!E8)-3))</f>
        <v>T9</v>
      </c>
      <c r="F8" s="13" t="str">
        <f>IF('Cause-Result'!F8="","",LEFT(REPLACE('Cause-Result'!F8,1,1,"T"),LEN('Cause-Result'!F8)-3))</f>
        <v>T7</v>
      </c>
      <c r="G8" s="13" t="str">
        <f>IF('Cause-Result'!G8="","",LEFT(REPLACE('Cause-Result'!G8,1,1,"T"),LEN('Cause-Result'!G8)-3))</f>
        <v>T10</v>
      </c>
      <c r="H8" s="13" t="str">
        <f>IF('Cause-Result'!H8="","",LEFT(REPLACE('Cause-Result'!H8,1,1,"T"),LEN('Cause-Result'!H8)-3))</f>
        <v>T11</v>
      </c>
      <c r="I8" s="13" t="str">
        <f>IF('Cause-Result'!I8="","",LEFT(REPLACE('Cause-Result'!I8,1,1,"T"),LEN('Cause-Result'!I8)-3))</f>
        <v>T27</v>
      </c>
      <c r="J8" s="13" t="str">
        <f>IF('Cause-Result'!J8="","",LEFT(REPLACE('Cause-Result'!J8,1,1,"T"),LEN('Cause-Result'!J8)-3))</f>
        <v>T32</v>
      </c>
      <c r="K8" s="13" t="str">
        <f>IF('Cause-Result'!K8="","",LEFT(REPLACE('Cause-Result'!K8,1,1,"T"),LEN('Cause-Result'!K8)-3))</f>
        <v>T22</v>
      </c>
      <c r="L8" s="13" t="str">
        <f>IF('Cause-Result'!L8="","",LEFT(REPLACE('Cause-Result'!L8,1,1,"T"),LEN('Cause-Result'!L8)-3))</f>
        <v>T30</v>
      </c>
      <c r="M8" s="13" t="str">
        <f>IF('Cause-Result'!M8="","",LEFT(REPLACE('Cause-Result'!M8,1,1,"T"),LEN('Cause-Result'!M8)-3))</f>
        <v>T29</v>
      </c>
      <c r="N8" s="13" t="str">
        <f>IF('Cause-Result'!N8="","",LEFT(REPLACE('Cause-Result'!N8,1,1,"T"),LEN('Cause-Result'!N8)-3))</f>
        <v>T31</v>
      </c>
      <c r="O8" s="13" t="str">
        <f>IF('Cause-Result'!O8="","",LEFT(REPLACE('Cause-Result'!O8,1,1,"T"),LEN('Cause-Result'!O8)-3))</f>
        <v>T23</v>
      </c>
      <c r="P8" s="13" t="str">
        <f>IF('Cause-Result'!P8="","",LEFT(REPLACE('Cause-Result'!P8,1,1,"T"),LEN('Cause-Result'!P8)-3))</f>
        <v>T24</v>
      </c>
      <c r="Q8" s="13" t="str">
        <f>IF('Cause-Result'!Q8="","",LEFT(REPLACE('Cause-Result'!Q8,1,1,"T"),LEN('Cause-Result'!Q8)-3))</f>
        <v>T23</v>
      </c>
      <c r="R8" s="13" t="str">
        <f>IF('Cause-Result'!R8="","",LEFT(REPLACE('Cause-Result'!R8,1,1,"T"),LEN('Cause-Result'!R8)-3))</f>
        <v>T24</v>
      </c>
      <c r="S8" s="13" t="str">
        <f>IF('Cause-Result'!S8="","",LEFT(REPLACE('Cause-Result'!S8,1,1,"T"),LEN('Cause-Result'!S8)-3))</f>
        <v/>
      </c>
      <c r="T8" s="13" t="str">
        <f>IF('Cause-Result'!T8="","",LEFT(REPLACE('Cause-Result'!T8,1,1,"T"),LEN('Cause-Result'!T8)-3))</f>
        <v/>
      </c>
      <c r="U8" s="13" t="str">
        <f>IF('Cause-Result'!U8="","",LEFT(REPLACE('Cause-Result'!U8,1,1,"T"),LEN('Cause-Result'!U8)-3))</f>
        <v/>
      </c>
      <c r="V8" s="13" t="str">
        <f>IF('Cause-Result'!V8="","",LEFT(REPLACE('Cause-Result'!V8,1,1,"T"),LEN('Cause-Result'!V8)-3))</f>
        <v/>
      </c>
      <c r="W8" s="13" t="str">
        <f>IF('Cause-Result'!W8="","",LEFT(REPLACE('Cause-Result'!W8,1,1,"T"),LEN('Cause-Result'!W8)-3))</f>
        <v/>
      </c>
      <c r="X8" s="13" t="str">
        <f>IF('Cause-Result'!X8="","",LEFT(REPLACE('Cause-Result'!X8,1,1,"T"),LEN('Cause-Result'!X8)-3))</f>
        <v/>
      </c>
      <c r="Y8" s="13" t="str">
        <f>IF('Cause-Result'!Y8="","",LEFT(REPLACE('Cause-Result'!Y8,1,1,"T"),LEN('Cause-Result'!Y8)-3))</f>
        <v/>
      </c>
      <c r="Z8" s="13" t="str">
        <f>IF('Cause-Result'!Z8="","",LEFT(REPLACE('Cause-Result'!Z8,1,1,"T"),LEN('Cause-Result'!Z8)-3))</f>
        <v/>
      </c>
      <c r="AA8" s="13" t="str">
        <f>IF('Cause-Result'!AA8="","",LEFT(REPLACE('Cause-Result'!AA8,1,1,"T"),LEN('Cause-Result'!AA8)-3))</f>
        <v/>
      </c>
      <c r="AB8" s="13" t="str">
        <f>IF('Cause-Result'!AB8="","",LEFT(REPLACE('Cause-Result'!AB8,1,1,"T"),LEN('Cause-Result'!AB8)-3))</f>
        <v/>
      </c>
    </row>
    <row r="9">
      <c r="A9" s="7">
        <v>8.0</v>
      </c>
      <c r="B9" s="8" t="s">
        <v>18</v>
      </c>
      <c r="C9" s="9" t="s">
        <v>19</v>
      </c>
      <c r="D9" s="10" t="s">
        <v>18</v>
      </c>
      <c r="E9" s="13" t="str">
        <f>IF('Cause-Result'!E9="","",LEFT(REPLACE('Cause-Result'!E9,1,1,"T"),LEN('Cause-Result'!E9)-3))</f>
        <v>T9</v>
      </c>
      <c r="F9" s="13" t="str">
        <f>IF('Cause-Result'!F9="","",LEFT(REPLACE('Cause-Result'!F9,1,1,"T"),LEN('Cause-Result'!F9)-3))</f>
        <v>T7</v>
      </c>
      <c r="G9" s="13" t="str">
        <f>IF('Cause-Result'!G9="","",LEFT(REPLACE('Cause-Result'!G9,1,1,"T"),LEN('Cause-Result'!G9)-3))</f>
        <v>T10</v>
      </c>
      <c r="H9" s="13" t="str">
        <f>IF('Cause-Result'!H9="","",LEFT(REPLACE('Cause-Result'!H9,1,1,"T"),LEN('Cause-Result'!H9)-3))</f>
        <v>T11</v>
      </c>
      <c r="I9" s="13" t="str">
        <f>IF('Cause-Result'!I9="","",LEFT(REPLACE('Cause-Result'!I9,1,1,"T"),LEN('Cause-Result'!I9)-3))</f>
        <v>T27</v>
      </c>
      <c r="J9" s="13" t="str">
        <f>IF('Cause-Result'!J9="","",LEFT(REPLACE('Cause-Result'!J9,1,1,"T"),LEN('Cause-Result'!J9)-3))</f>
        <v>T32</v>
      </c>
      <c r="K9" s="13" t="str">
        <f>IF('Cause-Result'!K9="","",LEFT(REPLACE('Cause-Result'!K9,1,1,"T"),LEN('Cause-Result'!K9)-3))</f>
        <v>T22</v>
      </c>
      <c r="L9" s="13" t="str">
        <f>IF('Cause-Result'!L9="","",LEFT(REPLACE('Cause-Result'!L9,1,1,"T"),LEN('Cause-Result'!L9)-3))</f>
        <v>T30</v>
      </c>
      <c r="M9" s="13" t="str">
        <f>IF('Cause-Result'!M9="","",LEFT(REPLACE('Cause-Result'!M9,1,1,"T"),LEN('Cause-Result'!M9)-3))</f>
        <v>T29</v>
      </c>
      <c r="N9" s="13" t="str">
        <f>IF('Cause-Result'!N9="","",LEFT(REPLACE('Cause-Result'!N9,1,1,"T"),LEN('Cause-Result'!N9)-3))</f>
        <v>T31</v>
      </c>
      <c r="O9" s="13" t="str">
        <f>IF('Cause-Result'!O9="","",LEFT(REPLACE('Cause-Result'!O9,1,1,"T"),LEN('Cause-Result'!O9)-3))</f>
        <v>T23</v>
      </c>
      <c r="P9" s="13" t="str">
        <f>IF('Cause-Result'!P9="","",LEFT(REPLACE('Cause-Result'!P9,1,1,"T"),LEN('Cause-Result'!P9)-3))</f>
        <v>T24</v>
      </c>
      <c r="Q9" s="13" t="str">
        <f>IF('Cause-Result'!Q9="","",LEFT(REPLACE('Cause-Result'!Q9,1,1,"T"),LEN('Cause-Result'!Q9)-3))</f>
        <v>T23</v>
      </c>
      <c r="R9" s="13" t="str">
        <f>IF('Cause-Result'!R9="","",LEFT(REPLACE('Cause-Result'!R9,1,1,"T"),LEN('Cause-Result'!R9)-3))</f>
        <v>T24</v>
      </c>
      <c r="S9" s="13" t="str">
        <f>IF('Cause-Result'!S9="","",LEFT(REPLACE('Cause-Result'!S9,1,1,"T"),LEN('Cause-Result'!S9)-3))</f>
        <v/>
      </c>
      <c r="T9" s="13" t="str">
        <f>IF('Cause-Result'!T9="","",LEFT(REPLACE('Cause-Result'!T9,1,1,"T"),LEN('Cause-Result'!T9)-3))</f>
        <v/>
      </c>
      <c r="U9" s="13" t="str">
        <f>IF('Cause-Result'!U9="","",LEFT(REPLACE('Cause-Result'!U9,1,1,"T"),LEN('Cause-Result'!U9)-3))</f>
        <v/>
      </c>
      <c r="V9" s="13" t="str">
        <f>IF('Cause-Result'!V9="","",LEFT(REPLACE('Cause-Result'!V9,1,1,"T"),LEN('Cause-Result'!V9)-3))</f>
        <v/>
      </c>
      <c r="W9" s="13" t="str">
        <f>IF('Cause-Result'!W9="","",LEFT(REPLACE('Cause-Result'!W9,1,1,"T"),LEN('Cause-Result'!W9)-3))</f>
        <v/>
      </c>
      <c r="X9" s="13" t="str">
        <f>IF('Cause-Result'!X9="","",LEFT(REPLACE('Cause-Result'!X9,1,1,"T"),LEN('Cause-Result'!X9)-3))</f>
        <v/>
      </c>
      <c r="Y9" s="13" t="str">
        <f>IF('Cause-Result'!Y9="","",LEFT(REPLACE('Cause-Result'!Y9,1,1,"T"),LEN('Cause-Result'!Y9)-3))</f>
        <v/>
      </c>
      <c r="Z9" s="13" t="str">
        <f>IF('Cause-Result'!Z9="","",LEFT(REPLACE('Cause-Result'!Z9,1,1,"T"),LEN('Cause-Result'!Z9)-3))</f>
        <v/>
      </c>
      <c r="AA9" s="13" t="str">
        <f>IF('Cause-Result'!AA9="","",LEFT(REPLACE('Cause-Result'!AA9,1,1,"T"),LEN('Cause-Result'!AA9)-3))</f>
        <v/>
      </c>
      <c r="AB9" s="13" t="str">
        <f>IF('Cause-Result'!AB9="","",LEFT(REPLACE('Cause-Result'!AB9,1,1,"T"),LEN('Cause-Result'!AB9)-3))</f>
        <v/>
      </c>
    </row>
    <row r="10">
      <c r="A10" s="7">
        <v>9.0</v>
      </c>
      <c r="B10" s="8" t="s">
        <v>20</v>
      </c>
      <c r="C10" s="9" t="s">
        <v>21</v>
      </c>
      <c r="D10" s="10" t="s">
        <v>20</v>
      </c>
      <c r="E10" s="13" t="str">
        <f>IF('Cause-Result'!E10="","",LEFT(REPLACE('Cause-Result'!E10,1,1,"T"),LEN('Cause-Result'!E10)-3))</f>
        <v>T9</v>
      </c>
      <c r="F10" s="13" t="str">
        <f>IF('Cause-Result'!F10="","",LEFT(REPLACE('Cause-Result'!F10,1,1,"T"),LEN('Cause-Result'!F10)-3))</f>
        <v>T7</v>
      </c>
      <c r="G10" s="13" t="str">
        <f>IF('Cause-Result'!G10="","",LEFT(REPLACE('Cause-Result'!G10,1,1,"T"),LEN('Cause-Result'!G10)-3))</f>
        <v>T10</v>
      </c>
      <c r="H10" s="13" t="str">
        <f>IF('Cause-Result'!H10="","",LEFT(REPLACE('Cause-Result'!H10,1,1,"T"),LEN('Cause-Result'!H10)-3))</f>
        <v>T11</v>
      </c>
      <c r="I10" s="13" t="str">
        <f>IF('Cause-Result'!I10="","",LEFT(REPLACE('Cause-Result'!I10,1,1,"T"),LEN('Cause-Result'!I10)-3))</f>
        <v>T31</v>
      </c>
      <c r="J10" s="13" t="str">
        <f>IF('Cause-Result'!J10="","",LEFT(REPLACE('Cause-Result'!J10,1,1,"T"),LEN('Cause-Result'!J10)-3))</f>
        <v>T30</v>
      </c>
      <c r="K10" s="13" t="str">
        <f>IF('Cause-Result'!K10="","",LEFT(REPLACE('Cause-Result'!K10,1,1,"T"),LEN('Cause-Result'!K10)-3))</f>
        <v>T22</v>
      </c>
      <c r="L10" s="13" t="str">
        <f>IF('Cause-Result'!L10="","",LEFT(REPLACE('Cause-Result'!L10,1,1,"T"),LEN('Cause-Result'!L10)-3))</f>
        <v>T29</v>
      </c>
      <c r="M10" s="13" t="str">
        <f>IF('Cause-Result'!M10="","",LEFT(REPLACE('Cause-Result'!M10,1,1,"T"),LEN('Cause-Result'!M10)-3))</f>
        <v>T23</v>
      </c>
      <c r="N10" s="13" t="str">
        <f>IF('Cause-Result'!N10="","",LEFT(REPLACE('Cause-Result'!N10,1,1,"T"),LEN('Cause-Result'!N10)-3))</f>
        <v>T24</v>
      </c>
      <c r="O10" s="13" t="str">
        <f>IF('Cause-Result'!O10="","",LEFT(REPLACE('Cause-Result'!O10,1,1,"T"),LEN('Cause-Result'!O10)-3))</f>
        <v>T23</v>
      </c>
      <c r="P10" s="13" t="str">
        <f>IF('Cause-Result'!P10="","",LEFT(REPLACE('Cause-Result'!P10,1,1,"T"),LEN('Cause-Result'!P10)-3))</f>
        <v>T24</v>
      </c>
      <c r="Q10" s="13" t="str">
        <f>IF('Cause-Result'!Q10="","",LEFT(REPLACE('Cause-Result'!Q10,1,1,"T"),LEN('Cause-Result'!Q10)-3))</f>
        <v/>
      </c>
      <c r="R10" s="13" t="str">
        <f>IF('Cause-Result'!R10="","",LEFT(REPLACE('Cause-Result'!R10,1,1,"T"),LEN('Cause-Result'!R10)-3))</f>
        <v/>
      </c>
      <c r="S10" s="13" t="str">
        <f>IF('Cause-Result'!S10="","",LEFT(REPLACE('Cause-Result'!S10,1,1,"T"),LEN('Cause-Result'!S10)-3))</f>
        <v/>
      </c>
      <c r="T10" s="13" t="str">
        <f>IF('Cause-Result'!T10="","",LEFT(REPLACE('Cause-Result'!T10,1,1,"T"),LEN('Cause-Result'!T10)-3))</f>
        <v/>
      </c>
      <c r="U10" s="13" t="str">
        <f>IF('Cause-Result'!U10="","",LEFT(REPLACE('Cause-Result'!U10,1,1,"T"),LEN('Cause-Result'!U10)-3))</f>
        <v/>
      </c>
      <c r="V10" s="13" t="str">
        <f>IF('Cause-Result'!V10="","",LEFT(REPLACE('Cause-Result'!V10,1,1,"T"),LEN('Cause-Result'!V10)-3))</f>
        <v/>
      </c>
      <c r="W10" s="13" t="str">
        <f>IF('Cause-Result'!W10="","",LEFT(REPLACE('Cause-Result'!W10,1,1,"T"),LEN('Cause-Result'!W10)-3))</f>
        <v/>
      </c>
      <c r="X10" s="13" t="str">
        <f>IF('Cause-Result'!X10="","",LEFT(REPLACE('Cause-Result'!X10,1,1,"T"),LEN('Cause-Result'!X10)-3))</f>
        <v/>
      </c>
      <c r="Y10" s="13" t="str">
        <f>IF('Cause-Result'!Y10="","",LEFT(REPLACE('Cause-Result'!Y10,1,1,"T"),LEN('Cause-Result'!Y10)-3))</f>
        <v/>
      </c>
      <c r="Z10" s="13" t="str">
        <f>IF('Cause-Result'!Z10="","",LEFT(REPLACE('Cause-Result'!Z10,1,1,"T"),LEN('Cause-Result'!Z10)-3))</f>
        <v/>
      </c>
      <c r="AA10" s="13" t="str">
        <f>IF('Cause-Result'!AA10="","",LEFT(REPLACE('Cause-Result'!AA10,1,1,"T"),LEN('Cause-Result'!AA10)-3))</f>
        <v/>
      </c>
      <c r="AB10" s="13" t="str">
        <f>IF('Cause-Result'!AB10="","",LEFT(REPLACE('Cause-Result'!AB10,1,1,"T"),LEN('Cause-Result'!AB10)-3))</f>
        <v/>
      </c>
    </row>
    <row r="11">
      <c r="A11" s="7">
        <v>10.0</v>
      </c>
      <c r="B11" s="8" t="s">
        <v>22</v>
      </c>
      <c r="C11" s="9" t="s">
        <v>23</v>
      </c>
      <c r="D11" s="10" t="s">
        <v>22</v>
      </c>
      <c r="E11" s="13" t="str">
        <f>IF('Cause-Result'!E11="","",LEFT(REPLACE('Cause-Result'!E11,1,1,"T"),LEN('Cause-Result'!E11)-3))</f>
        <v>T9</v>
      </c>
      <c r="F11" s="13" t="str">
        <f>IF('Cause-Result'!F11="","",LEFT(REPLACE('Cause-Result'!F11,1,1,"T"),LEN('Cause-Result'!F11)-3))</f>
        <v>T7</v>
      </c>
      <c r="G11" s="13" t="str">
        <f>IF('Cause-Result'!G11="","",LEFT(REPLACE('Cause-Result'!G11,1,1,"T"),LEN('Cause-Result'!G11)-3))</f>
        <v>T10</v>
      </c>
      <c r="H11" s="13" t="str">
        <f>IF('Cause-Result'!H11="","",LEFT(REPLACE('Cause-Result'!H11,1,1,"T"),LEN('Cause-Result'!H11)-3))</f>
        <v>T11</v>
      </c>
      <c r="I11" s="13" t="str">
        <f>IF('Cause-Result'!I11="","",LEFT(REPLACE('Cause-Result'!I11,1,1,"T"),LEN('Cause-Result'!I11)-3))</f>
        <v>T22</v>
      </c>
      <c r="J11" s="13" t="str">
        <f>IF('Cause-Result'!J11="","",LEFT(REPLACE('Cause-Result'!J11,1,1,"T"),LEN('Cause-Result'!J11)-3))</f>
        <v>T31</v>
      </c>
      <c r="K11" s="13" t="str">
        <f>IF('Cause-Result'!K11="","",LEFT(REPLACE('Cause-Result'!K11,1,1,"T"),LEN('Cause-Result'!K11)-3))</f>
        <v>T30</v>
      </c>
      <c r="L11" s="13" t="str">
        <f>IF('Cause-Result'!L11="","",LEFT(REPLACE('Cause-Result'!L11,1,1,"T"),LEN('Cause-Result'!L11)-3))</f>
        <v>T30</v>
      </c>
      <c r="M11" s="13" t="str">
        <f>IF('Cause-Result'!M11="","",LEFT(REPLACE('Cause-Result'!M11,1,1,"T"),LEN('Cause-Result'!M11)-3))</f>
        <v>T29</v>
      </c>
      <c r="N11" s="13" t="str">
        <f>IF('Cause-Result'!N11="","",LEFT(REPLACE('Cause-Result'!N11,1,1,"T"),LEN('Cause-Result'!N11)-3))</f>
        <v>T23</v>
      </c>
      <c r="O11" s="13" t="str">
        <f>IF('Cause-Result'!O11="","",LEFT(REPLACE('Cause-Result'!O11,1,1,"T"),LEN('Cause-Result'!O11)-3))</f>
        <v>T24</v>
      </c>
      <c r="P11" s="13" t="str">
        <f>IF('Cause-Result'!P11="","",LEFT(REPLACE('Cause-Result'!P11,1,1,"T"),LEN('Cause-Result'!P11)-3))</f>
        <v>T23</v>
      </c>
      <c r="Q11" s="13" t="str">
        <f>IF('Cause-Result'!Q11="","",LEFT(REPLACE('Cause-Result'!Q11,1,1,"T"),LEN('Cause-Result'!Q11)-3))</f>
        <v>T24</v>
      </c>
      <c r="R11" s="13" t="str">
        <f>IF('Cause-Result'!R11="","",LEFT(REPLACE('Cause-Result'!R11,1,1,"T"),LEN('Cause-Result'!R11)-3))</f>
        <v>T23</v>
      </c>
      <c r="S11" s="13" t="str">
        <f>IF('Cause-Result'!S11="","",LEFT(REPLACE('Cause-Result'!S11,1,1,"T"),LEN('Cause-Result'!S11)-3))</f>
        <v>T24</v>
      </c>
      <c r="T11" s="13" t="str">
        <f>IF('Cause-Result'!T11="","",LEFT(REPLACE('Cause-Result'!T11,1,1,"T"),LEN('Cause-Result'!T11)-3))</f>
        <v>T23</v>
      </c>
      <c r="U11" s="13" t="str">
        <f>IF('Cause-Result'!U11="","",LEFT(REPLACE('Cause-Result'!U11,1,1,"T"),LEN('Cause-Result'!U11)-3))</f>
        <v>T24</v>
      </c>
      <c r="V11" s="13" t="str">
        <f>IF('Cause-Result'!V11="","",LEFT(REPLACE('Cause-Result'!V11,1,1,"T"),LEN('Cause-Result'!V11)-3))</f>
        <v/>
      </c>
      <c r="W11" s="13" t="str">
        <f>IF('Cause-Result'!W11="","",LEFT(REPLACE('Cause-Result'!W11,1,1,"T"),LEN('Cause-Result'!W11)-3))</f>
        <v/>
      </c>
      <c r="X11" s="13" t="str">
        <f>IF('Cause-Result'!X11="","",LEFT(REPLACE('Cause-Result'!X11,1,1,"T"),LEN('Cause-Result'!X11)-3))</f>
        <v/>
      </c>
      <c r="Y11" s="13" t="str">
        <f>IF('Cause-Result'!Y11="","",LEFT(REPLACE('Cause-Result'!Y11,1,1,"T"),LEN('Cause-Result'!Y11)-3))</f>
        <v/>
      </c>
      <c r="Z11" s="13" t="str">
        <f>IF('Cause-Result'!Z11="","",LEFT(REPLACE('Cause-Result'!Z11,1,1,"T"),LEN('Cause-Result'!Z11)-3))</f>
        <v/>
      </c>
      <c r="AA11" s="13" t="str">
        <f>IF('Cause-Result'!AA11="","",LEFT(REPLACE('Cause-Result'!AA11,1,1,"T"),LEN('Cause-Result'!AA11)-3))</f>
        <v/>
      </c>
      <c r="AB11" s="13" t="str">
        <f>IF('Cause-Result'!AB11="","",LEFT(REPLACE('Cause-Result'!AB11,1,1,"T"),LEN('Cause-Result'!AB11)-3))</f>
        <v/>
      </c>
    </row>
    <row r="12">
      <c r="A12" s="7">
        <v>11.0</v>
      </c>
      <c r="B12" s="8" t="s">
        <v>24</v>
      </c>
      <c r="C12" s="9" t="s">
        <v>25</v>
      </c>
      <c r="D12" s="10" t="s">
        <v>24</v>
      </c>
      <c r="E12" s="13" t="str">
        <f>IF('Cause-Result'!E12="","",LEFT(REPLACE('Cause-Result'!E12,1,1,"T"),LEN('Cause-Result'!E12)-3))</f>
        <v>T19</v>
      </c>
      <c r="F12" s="13" t="str">
        <f>IF('Cause-Result'!F12="","",LEFT(REPLACE('Cause-Result'!F12,1,1,"T"),LEN('Cause-Result'!F12)-3))</f>
        <v>T19</v>
      </c>
      <c r="G12" s="13" t="str">
        <f>IF('Cause-Result'!G12="","",LEFT(REPLACE('Cause-Result'!G12,1,1,"T"),LEN('Cause-Result'!G12)-3))</f>
        <v/>
      </c>
      <c r="H12" s="13" t="str">
        <f>IF('Cause-Result'!H12="","",LEFT(REPLACE('Cause-Result'!H12,1,1,"T"),LEN('Cause-Result'!H12)-3))</f>
        <v/>
      </c>
      <c r="I12" s="13" t="str">
        <f>IF('Cause-Result'!I12="","",LEFT(REPLACE('Cause-Result'!I12,1,1,"T"),LEN('Cause-Result'!I12)-3))</f>
        <v/>
      </c>
      <c r="J12" s="13" t="str">
        <f>IF('Cause-Result'!J12="","",LEFT(REPLACE('Cause-Result'!J12,1,1,"T"),LEN('Cause-Result'!J12)-3))</f>
        <v/>
      </c>
      <c r="K12" s="13" t="str">
        <f>IF('Cause-Result'!K12="","",LEFT(REPLACE('Cause-Result'!K12,1,1,"T"),LEN('Cause-Result'!K12)-3))</f>
        <v/>
      </c>
      <c r="L12" s="13" t="str">
        <f>IF('Cause-Result'!L12="","",LEFT(REPLACE('Cause-Result'!L12,1,1,"T"),LEN('Cause-Result'!L12)-3))</f>
        <v/>
      </c>
      <c r="M12" s="13" t="str">
        <f>IF('Cause-Result'!M12="","",LEFT(REPLACE('Cause-Result'!M12,1,1,"T"),LEN('Cause-Result'!M12)-3))</f>
        <v/>
      </c>
      <c r="N12" s="13" t="str">
        <f>IF('Cause-Result'!N12="","",LEFT(REPLACE('Cause-Result'!N12,1,1,"T"),LEN('Cause-Result'!N12)-3))</f>
        <v/>
      </c>
      <c r="O12" s="13" t="str">
        <f>IF('Cause-Result'!O12="","",LEFT(REPLACE('Cause-Result'!O12,1,1,"T"),LEN('Cause-Result'!O12)-3))</f>
        <v/>
      </c>
      <c r="P12" s="13" t="str">
        <f>IF('Cause-Result'!P12="","",LEFT(REPLACE('Cause-Result'!P12,1,1,"T"),LEN('Cause-Result'!P12)-3))</f>
        <v/>
      </c>
      <c r="Q12" s="13" t="str">
        <f>IF('Cause-Result'!Q12="","",LEFT(REPLACE('Cause-Result'!Q12,1,1,"T"),LEN('Cause-Result'!Q12)-3))</f>
        <v/>
      </c>
      <c r="R12" s="13" t="str">
        <f>IF('Cause-Result'!R12="","",LEFT(REPLACE('Cause-Result'!R12,1,1,"T"),LEN('Cause-Result'!R12)-3))</f>
        <v/>
      </c>
      <c r="S12" s="13" t="str">
        <f>IF('Cause-Result'!S12="","",LEFT(REPLACE('Cause-Result'!S12,1,1,"T"),LEN('Cause-Result'!S12)-3))</f>
        <v/>
      </c>
      <c r="T12" s="13" t="str">
        <f>IF('Cause-Result'!T12="","",LEFT(REPLACE('Cause-Result'!T12,1,1,"T"),LEN('Cause-Result'!T12)-3))</f>
        <v/>
      </c>
      <c r="U12" s="13" t="str">
        <f>IF('Cause-Result'!U12="","",LEFT(REPLACE('Cause-Result'!U12,1,1,"T"),LEN('Cause-Result'!U12)-3))</f>
        <v/>
      </c>
      <c r="V12" s="13" t="str">
        <f>IF('Cause-Result'!V12="","",LEFT(REPLACE('Cause-Result'!V12,1,1,"T"),LEN('Cause-Result'!V12)-3))</f>
        <v/>
      </c>
      <c r="W12" s="13" t="str">
        <f>IF('Cause-Result'!W12="","",LEFT(REPLACE('Cause-Result'!W12,1,1,"T"),LEN('Cause-Result'!W12)-3))</f>
        <v/>
      </c>
      <c r="X12" s="13" t="str">
        <f>IF('Cause-Result'!X12="","",LEFT(REPLACE('Cause-Result'!X12,1,1,"T"),LEN('Cause-Result'!X12)-3))</f>
        <v/>
      </c>
      <c r="Y12" s="13" t="str">
        <f>IF('Cause-Result'!Y12="","",LEFT(REPLACE('Cause-Result'!Y12,1,1,"T"),LEN('Cause-Result'!Y12)-3))</f>
        <v/>
      </c>
      <c r="Z12" s="13" t="str">
        <f>IF('Cause-Result'!Z12="","",LEFT(REPLACE('Cause-Result'!Z12,1,1,"T"),LEN('Cause-Result'!Z12)-3))</f>
        <v/>
      </c>
      <c r="AA12" s="13" t="str">
        <f>IF('Cause-Result'!AA12="","",LEFT(REPLACE('Cause-Result'!AA12,1,1,"T"),LEN('Cause-Result'!AA12)-3))</f>
        <v/>
      </c>
      <c r="AB12" s="13" t="str">
        <f>IF('Cause-Result'!AB12="","",LEFT(REPLACE('Cause-Result'!AB12,1,1,"T"),LEN('Cause-Result'!AB12)-3))</f>
        <v/>
      </c>
    </row>
    <row r="13">
      <c r="A13" s="7">
        <v>12.0</v>
      </c>
      <c r="B13" s="8" t="s">
        <v>26</v>
      </c>
      <c r="C13" s="9" t="s">
        <v>27</v>
      </c>
      <c r="D13" s="10" t="s">
        <v>26</v>
      </c>
      <c r="E13" s="13" t="str">
        <f>IF('Cause-Result'!E13="","",LEFT(REPLACE('Cause-Result'!E13,1,1,"T"),LEN('Cause-Result'!E13)-3))</f>
        <v>T31</v>
      </c>
      <c r="F13" s="13" t="str">
        <f>IF('Cause-Result'!F13="","",LEFT(REPLACE('Cause-Result'!F13,1,1,"T"),LEN('Cause-Result'!F13)-3))</f>
        <v>T32</v>
      </c>
      <c r="G13" s="13" t="str">
        <f>IF('Cause-Result'!G13="","",LEFT(REPLACE('Cause-Result'!G13,1,1,"T"),LEN('Cause-Result'!G13)-3))</f>
        <v>T32</v>
      </c>
      <c r="H13" s="13" t="str">
        <f>IF('Cause-Result'!H13="","",LEFT(REPLACE('Cause-Result'!H13,1,1,"T"),LEN('Cause-Result'!H13)-3))</f>
        <v/>
      </c>
      <c r="I13" s="13" t="str">
        <f>IF('Cause-Result'!I13="","",LEFT(REPLACE('Cause-Result'!I13,1,1,"T"),LEN('Cause-Result'!I13)-3))</f>
        <v/>
      </c>
      <c r="J13" s="13" t="str">
        <f>IF('Cause-Result'!J13="","",LEFT(REPLACE('Cause-Result'!J13,1,1,"T"),LEN('Cause-Result'!J13)-3))</f>
        <v/>
      </c>
      <c r="K13" s="13" t="str">
        <f>IF('Cause-Result'!K13="","",LEFT(REPLACE('Cause-Result'!K13,1,1,"T"),LEN('Cause-Result'!K13)-3))</f>
        <v/>
      </c>
      <c r="L13" s="13" t="str">
        <f>IF('Cause-Result'!L13="","",LEFT(REPLACE('Cause-Result'!L13,1,1,"T"),LEN('Cause-Result'!L13)-3))</f>
        <v/>
      </c>
      <c r="M13" s="13" t="str">
        <f>IF('Cause-Result'!M13="","",LEFT(REPLACE('Cause-Result'!M13,1,1,"T"),LEN('Cause-Result'!M13)-3))</f>
        <v/>
      </c>
      <c r="N13" s="13" t="str">
        <f>IF('Cause-Result'!N13="","",LEFT(REPLACE('Cause-Result'!N13,1,1,"T"),LEN('Cause-Result'!N13)-3))</f>
        <v/>
      </c>
      <c r="O13" s="13" t="str">
        <f>IF('Cause-Result'!O13="","",LEFT(REPLACE('Cause-Result'!O13,1,1,"T"),LEN('Cause-Result'!O13)-3))</f>
        <v/>
      </c>
      <c r="P13" s="13" t="str">
        <f>IF('Cause-Result'!P13="","",LEFT(REPLACE('Cause-Result'!P13,1,1,"T"),LEN('Cause-Result'!P13)-3))</f>
        <v/>
      </c>
      <c r="Q13" s="13" t="str">
        <f>IF('Cause-Result'!Q13="","",LEFT(REPLACE('Cause-Result'!Q13,1,1,"T"),LEN('Cause-Result'!Q13)-3))</f>
        <v/>
      </c>
      <c r="R13" s="13" t="str">
        <f>IF('Cause-Result'!R13="","",LEFT(REPLACE('Cause-Result'!R13,1,1,"T"),LEN('Cause-Result'!R13)-3))</f>
        <v/>
      </c>
      <c r="S13" s="13" t="str">
        <f>IF('Cause-Result'!S13="","",LEFT(REPLACE('Cause-Result'!S13,1,1,"T"),LEN('Cause-Result'!S13)-3))</f>
        <v/>
      </c>
      <c r="T13" s="13" t="str">
        <f>IF('Cause-Result'!T13="","",LEFT(REPLACE('Cause-Result'!T13,1,1,"T"),LEN('Cause-Result'!T13)-3))</f>
        <v/>
      </c>
      <c r="U13" s="13" t="str">
        <f>IF('Cause-Result'!U13="","",LEFT(REPLACE('Cause-Result'!U13,1,1,"T"),LEN('Cause-Result'!U13)-3))</f>
        <v/>
      </c>
      <c r="V13" s="13" t="str">
        <f>IF('Cause-Result'!V13="","",LEFT(REPLACE('Cause-Result'!V13,1,1,"T"),LEN('Cause-Result'!V13)-3))</f>
        <v/>
      </c>
      <c r="W13" s="13" t="str">
        <f>IF('Cause-Result'!W13="","",LEFT(REPLACE('Cause-Result'!W13,1,1,"T"),LEN('Cause-Result'!W13)-3))</f>
        <v/>
      </c>
      <c r="X13" s="13" t="str">
        <f>IF('Cause-Result'!X13="","",LEFT(REPLACE('Cause-Result'!X13,1,1,"T"),LEN('Cause-Result'!X13)-3))</f>
        <v/>
      </c>
      <c r="Y13" s="13" t="str">
        <f>IF('Cause-Result'!Y13="","",LEFT(REPLACE('Cause-Result'!Y13,1,1,"T"),LEN('Cause-Result'!Y13)-3))</f>
        <v/>
      </c>
      <c r="Z13" s="13" t="str">
        <f>IF('Cause-Result'!Z13="","",LEFT(REPLACE('Cause-Result'!Z13,1,1,"T"),LEN('Cause-Result'!Z13)-3))</f>
        <v/>
      </c>
      <c r="AA13" s="13" t="str">
        <f>IF('Cause-Result'!AA13="","",LEFT(REPLACE('Cause-Result'!AA13,1,1,"T"),LEN('Cause-Result'!AA13)-3))</f>
        <v/>
      </c>
      <c r="AB13" s="13" t="str">
        <f>IF('Cause-Result'!AB13="","",LEFT(REPLACE('Cause-Result'!AB13,1,1,"T"),LEN('Cause-Result'!AB13)-3))</f>
        <v/>
      </c>
    </row>
    <row r="14">
      <c r="A14" s="7">
        <v>13.0</v>
      </c>
      <c r="B14" s="8" t="s">
        <v>28</v>
      </c>
      <c r="C14" s="9" t="s">
        <v>29</v>
      </c>
      <c r="D14" s="10" t="s">
        <v>28</v>
      </c>
      <c r="E14" s="13" t="str">
        <f>IF('Cause-Result'!E14="","",LEFT(REPLACE('Cause-Result'!E14,1,1,"T"),LEN('Cause-Result'!E14)-3))</f>
        <v>T1</v>
      </c>
      <c r="F14" s="13" t="str">
        <f>IF('Cause-Result'!F14="","",LEFT(REPLACE('Cause-Result'!F14,1,1,"T"),LEN('Cause-Result'!F14)-3))</f>
        <v>T2</v>
      </c>
      <c r="G14" s="13" t="str">
        <f>IF('Cause-Result'!G14="","",LEFT(REPLACE('Cause-Result'!G14,1,1,"T"),LEN('Cause-Result'!G14)-3))</f>
        <v>T3</v>
      </c>
      <c r="H14" s="13" t="str">
        <f>IF('Cause-Result'!H14="","",LEFT(REPLACE('Cause-Result'!H14,1,1,"T"),LEN('Cause-Result'!H14)-3))</f>
        <v>T1</v>
      </c>
      <c r="I14" s="13" t="str">
        <f>IF('Cause-Result'!I14="","",LEFT(REPLACE('Cause-Result'!I14,1,1,"T"),LEN('Cause-Result'!I14)-3))</f>
        <v>T2</v>
      </c>
      <c r="J14" s="13" t="str">
        <f>IF('Cause-Result'!J14="","",LEFT(REPLACE('Cause-Result'!J14,1,1,"T"),LEN('Cause-Result'!J14)-3))</f>
        <v>T3</v>
      </c>
      <c r="K14" s="13" t="str">
        <f>IF('Cause-Result'!K14="","",LEFT(REPLACE('Cause-Result'!K14,1,1,"T"),LEN('Cause-Result'!K14)-3))</f>
        <v>T4</v>
      </c>
      <c r="L14" s="13" t="str">
        <f>IF('Cause-Result'!L14="","",LEFT(REPLACE('Cause-Result'!L14,1,1,"T"),LEN('Cause-Result'!L14)-3))</f>
        <v>T4</v>
      </c>
      <c r="M14" s="13" t="str">
        <f>IF('Cause-Result'!M14="","",LEFT(REPLACE('Cause-Result'!M14,1,1,"T"),LEN('Cause-Result'!M14)-3))</f>
        <v/>
      </c>
      <c r="N14" s="13" t="str">
        <f>IF('Cause-Result'!N14="","",LEFT(REPLACE('Cause-Result'!N14,1,1,"T"),LEN('Cause-Result'!N14)-3))</f>
        <v/>
      </c>
      <c r="O14" s="13" t="str">
        <f>IF('Cause-Result'!O14="","",LEFT(REPLACE('Cause-Result'!O14,1,1,"T"),LEN('Cause-Result'!O14)-3))</f>
        <v/>
      </c>
      <c r="P14" s="13" t="str">
        <f>IF('Cause-Result'!P14="","",LEFT(REPLACE('Cause-Result'!P14,1,1,"T"),LEN('Cause-Result'!P14)-3))</f>
        <v/>
      </c>
      <c r="Q14" s="13" t="str">
        <f>IF('Cause-Result'!Q14="","",LEFT(REPLACE('Cause-Result'!Q14,1,1,"T"),LEN('Cause-Result'!Q14)-3))</f>
        <v/>
      </c>
      <c r="R14" s="13" t="str">
        <f>IF('Cause-Result'!R14="","",LEFT(REPLACE('Cause-Result'!R14,1,1,"T"),LEN('Cause-Result'!R14)-3))</f>
        <v/>
      </c>
      <c r="S14" s="13" t="str">
        <f>IF('Cause-Result'!S14="","",LEFT(REPLACE('Cause-Result'!S14,1,1,"T"),LEN('Cause-Result'!S14)-3))</f>
        <v/>
      </c>
      <c r="T14" s="13" t="str">
        <f>IF('Cause-Result'!T14="","",LEFT(REPLACE('Cause-Result'!T14,1,1,"T"),LEN('Cause-Result'!T14)-3))</f>
        <v/>
      </c>
      <c r="U14" s="13" t="str">
        <f>IF('Cause-Result'!U14="","",LEFT(REPLACE('Cause-Result'!U14,1,1,"T"),LEN('Cause-Result'!U14)-3))</f>
        <v/>
      </c>
      <c r="V14" s="13" t="str">
        <f>IF('Cause-Result'!V14="","",LEFT(REPLACE('Cause-Result'!V14,1,1,"T"),LEN('Cause-Result'!V14)-3))</f>
        <v/>
      </c>
      <c r="W14" s="13" t="str">
        <f>IF('Cause-Result'!W14="","",LEFT(REPLACE('Cause-Result'!W14,1,1,"T"),LEN('Cause-Result'!W14)-3))</f>
        <v/>
      </c>
      <c r="X14" s="13" t="str">
        <f>IF('Cause-Result'!X14="","",LEFT(REPLACE('Cause-Result'!X14,1,1,"T"),LEN('Cause-Result'!X14)-3))</f>
        <v/>
      </c>
      <c r="Y14" s="13" t="str">
        <f>IF('Cause-Result'!Y14="","",LEFT(REPLACE('Cause-Result'!Y14,1,1,"T"),LEN('Cause-Result'!Y14)-3))</f>
        <v/>
      </c>
      <c r="Z14" s="13" t="str">
        <f>IF('Cause-Result'!Z14="","",LEFT(REPLACE('Cause-Result'!Z14,1,1,"T"),LEN('Cause-Result'!Z14)-3))</f>
        <v/>
      </c>
      <c r="AA14" s="13" t="str">
        <f>IF('Cause-Result'!AA14="","",LEFT(REPLACE('Cause-Result'!AA14,1,1,"T"),LEN('Cause-Result'!AA14)-3))</f>
        <v/>
      </c>
      <c r="AB14" s="13" t="str">
        <f>IF('Cause-Result'!AB14="","",LEFT(REPLACE('Cause-Result'!AB14,1,1,"T"),LEN('Cause-Result'!AB14)-3))</f>
        <v/>
      </c>
    </row>
    <row r="15">
      <c r="A15" s="7">
        <v>14.0</v>
      </c>
      <c r="B15" s="8" t="s">
        <v>30</v>
      </c>
      <c r="C15" s="9" t="s">
        <v>31</v>
      </c>
      <c r="D15" s="10" t="s">
        <v>30</v>
      </c>
      <c r="E15" s="13" t="str">
        <f>IF('Cause-Result'!E15="","",LEFT(REPLACE('Cause-Result'!E15,1,1,"T"),LEN('Cause-Result'!E15)-3))</f>
        <v>T1</v>
      </c>
      <c r="F15" s="13" t="str">
        <f>IF('Cause-Result'!F15="","",LEFT(REPLACE('Cause-Result'!F15,1,1,"T"),LEN('Cause-Result'!F15)-3))</f>
        <v>T2</v>
      </c>
      <c r="G15" s="13" t="str">
        <f>IF('Cause-Result'!G15="","",LEFT(REPLACE('Cause-Result'!G15,1,1,"T"),LEN('Cause-Result'!G15)-3))</f>
        <v>T3</v>
      </c>
      <c r="H15" s="13" t="str">
        <f>IF('Cause-Result'!H15="","",LEFT(REPLACE('Cause-Result'!H15,1,1,"T"),LEN('Cause-Result'!H15)-3))</f>
        <v>T1</v>
      </c>
      <c r="I15" s="13" t="str">
        <f>IF('Cause-Result'!I15="","",LEFT(REPLACE('Cause-Result'!I15,1,1,"T"),LEN('Cause-Result'!I15)-3))</f>
        <v>T2</v>
      </c>
      <c r="J15" s="13" t="str">
        <f>IF('Cause-Result'!J15="","",LEFT(REPLACE('Cause-Result'!J15,1,1,"T"),LEN('Cause-Result'!J15)-3))</f>
        <v>T3</v>
      </c>
      <c r="K15" s="13" t="str">
        <f>IF('Cause-Result'!K15="","",LEFT(REPLACE('Cause-Result'!K15,1,1,"T"),LEN('Cause-Result'!K15)-3))</f>
        <v>T4</v>
      </c>
      <c r="L15" s="13" t="str">
        <f>IF('Cause-Result'!L15="","",LEFT(REPLACE('Cause-Result'!L15,1,1,"T"),LEN('Cause-Result'!L15)-3))</f>
        <v>T4</v>
      </c>
      <c r="M15" s="13" t="str">
        <f>IF('Cause-Result'!M15="","",LEFT(REPLACE('Cause-Result'!M15,1,1,"T"),LEN('Cause-Result'!M15)-3))</f>
        <v/>
      </c>
      <c r="N15" s="13" t="str">
        <f>IF('Cause-Result'!N15="","",LEFT(REPLACE('Cause-Result'!N15,1,1,"T"),LEN('Cause-Result'!N15)-3))</f>
        <v/>
      </c>
      <c r="O15" s="13" t="str">
        <f>IF('Cause-Result'!O15="","",LEFT(REPLACE('Cause-Result'!O15,1,1,"T"),LEN('Cause-Result'!O15)-3))</f>
        <v/>
      </c>
      <c r="P15" s="13" t="str">
        <f>IF('Cause-Result'!P15="","",LEFT(REPLACE('Cause-Result'!P15,1,1,"T"),LEN('Cause-Result'!P15)-3))</f>
        <v/>
      </c>
      <c r="Q15" s="13" t="str">
        <f>IF('Cause-Result'!Q15="","",LEFT(REPLACE('Cause-Result'!Q15,1,1,"T"),LEN('Cause-Result'!Q15)-3))</f>
        <v/>
      </c>
      <c r="R15" s="13" t="str">
        <f>IF('Cause-Result'!R15="","",LEFT(REPLACE('Cause-Result'!R15,1,1,"T"),LEN('Cause-Result'!R15)-3))</f>
        <v/>
      </c>
      <c r="S15" s="13" t="str">
        <f>IF('Cause-Result'!S15="","",LEFT(REPLACE('Cause-Result'!S15,1,1,"T"),LEN('Cause-Result'!S15)-3))</f>
        <v/>
      </c>
      <c r="T15" s="13" t="str">
        <f>IF('Cause-Result'!T15="","",LEFT(REPLACE('Cause-Result'!T15,1,1,"T"),LEN('Cause-Result'!T15)-3))</f>
        <v/>
      </c>
      <c r="U15" s="13" t="str">
        <f>IF('Cause-Result'!U15="","",LEFT(REPLACE('Cause-Result'!U15,1,1,"T"),LEN('Cause-Result'!U15)-3))</f>
        <v/>
      </c>
      <c r="V15" s="13" t="str">
        <f>IF('Cause-Result'!V15="","",LEFT(REPLACE('Cause-Result'!V15,1,1,"T"),LEN('Cause-Result'!V15)-3))</f>
        <v/>
      </c>
      <c r="W15" s="13" t="str">
        <f>IF('Cause-Result'!W15="","",LEFT(REPLACE('Cause-Result'!W15,1,1,"T"),LEN('Cause-Result'!W15)-3))</f>
        <v/>
      </c>
      <c r="X15" s="13" t="str">
        <f>IF('Cause-Result'!X15="","",LEFT(REPLACE('Cause-Result'!X15,1,1,"T"),LEN('Cause-Result'!X15)-3))</f>
        <v/>
      </c>
      <c r="Y15" s="13" t="str">
        <f>IF('Cause-Result'!Y15="","",LEFT(REPLACE('Cause-Result'!Y15,1,1,"T"),LEN('Cause-Result'!Y15)-3))</f>
        <v/>
      </c>
      <c r="Z15" s="13" t="str">
        <f>IF('Cause-Result'!Z15="","",LEFT(REPLACE('Cause-Result'!Z15,1,1,"T"),LEN('Cause-Result'!Z15)-3))</f>
        <v/>
      </c>
      <c r="AA15" s="13" t="str">
        <f>IF('Cause-Result'!AA15="","",LEFT(REPLACE('Cause-Result'!AA15,1,1,"T"),LEN('Cause-Result'!AA15)-3))</f>
        <v/>
      </c>
      <c r="AB15" s="13" t="str">
        <f>IF('Cause-Result'!AB15="","",LEFT(REPLACE('Cause-Result'!AB15,1,1,"T"),LEN('Cause-Result'!AB15)-3))</f>
        <v/>
      </c>
    </row>
    <row r="16">
      <c r="A16" s="7">
        <v>15.0</v>
      </c>
      <c r="B16" s="8" t="s">
        <v>32</v>
      </c>
      <c r="C16" s="9" t="s">
        <v>33</v>
      </c>
      <c r="D16" s="10" t="s">
        <v>32</v>
      </c>
      <c r="E16" s="13" t="str">
        <f>IF('Cause-Result'!E16="","",LEFT(REPLACE('Cause-Result'!E16,1,1,"T"),LEN('Cause-Result'!E16)-3))</f>
        <v>T9</v>
      </c>
      <c r="F16" s="13" t="str">
        <f>IF('Cause-Result'!F16="","",LEFT(REPLACE('Cause-Result'!F16,1,1,"T"),LEN('Cause-Result'!F16)-3))</f>
        <v>T7</v>
      </c>
      <c r="G16" s="13" t="str">
        <f>IF('Cause-Result'!G16="","",LEFT(REPLACE('Cause-Result'!G16,1,1,"T"),LEN('Cause-Result'!G16)-3))</f>
        <v>T10</v>
      </c>
      <c r="H16" s="13" t="str">
        <f>IF('Cause-Result'!H16="","",LEFT(REPLACE('Cause-Result'!H16,1,1,"T"),LEN('Cause-Result'!H16)-3))</f>
        <v>T11</v>
      </c>
      <c r="I16" s="13" t="str">
        <f>IF('Cause-Result'!I16="","",LEFT(REPLACE('Cause-Result'!I16,1,1,"T"),LEN('Cause-Result'!I16)-3))</f>
        <v>T9</v>
      </c>
      <c r="J16" s="13" t="str">
        <f>IF('Cause-Result'!J16="","",LEFT(REPLACE('Cause-Result'!J16,1,1,"T"),LEN('Cause-Result'!J16)-3))</f>
        <v>T7</v>
      </c>
      <c r="K16" s="13" t="str">
        <f>IF('Cause-Result'!K16="","",LEFT(REPLACE('Cause-Result'!K16,1,1,"T"),LEN('Cause-Result'!K16)-3))</f>
        <v>T10</v>
      </c>
      <c r="L16" s="13" t="str">
        <f>IF('Cause-Result'!L16="","",LEFT(REPLACE('Cause-Result'!L16,1,1,"T"),LEN('Cause-Result'!L16)-3))</f>
        <v>T11</v>
      </c>
      <c r="M16" s="13" t="str">
        <f>IF('Cause-Result'!M16="","",LEFT(REPLACE('Cause-Result'!M16,1,1,"T"),LEN('Cause-Result'!M16)-3))</f>
        <v>T27</v>
      </c>
      <c r="N16" s="13" t="str">
        <f>IF('Cause-Result'!N16="","",LEFT(REPLACE('Cause-Result'!N16,1,1,"T"),LEN('Cause-Result'!N16)-3))</f>
        <v>T32</v>
      </c>
      <c r="O16" s="13" t="str">
        <f>IF('Cause-Result'!O16="","",LEFT(REPLACE('Cause-Result'!O16,1,1,"T"),LEN('Cause-Result'!O16)-3))</f>
        <v>T22</v>
      </c>
      <c r="P16" s="13" t="str">
        <f>IF('Cause-Result'!P16="","",LEFT(REPLACE('Cause-Result'!P16,1,1,"T"),LEN('Cause-Result'!P16)-3))</f>
        <v>T30</v>
      </c>
      <c r="Q16" s="13" t="str">
        <f>IF('Cause-Result'!Q16="","",LEFT(REPLACE('Cause-Result'!Q16,1,1,"T"),LEN('Cause-Result'!Q16)-3))</f>
        <v>T29</v>
      </c>
      <c r="R16" s="13" t="str">
        <f>IF('Cause-Result'!R16="","",LEFT(REPLACE('Cause-Result'!R16,1,1,"T"),LEN('Cause-Result'!R16)-3))</f>
        <v>T31</v>
      </c>
      <c r="S16" s="13" t="str">
        <f>IF('Cause-Result'!S16="","",LEFT(REPLACE('Cause-Result'!S16,1,1,"T"),LEN('Cause-Result'!S16)-3))</f>
        <v>T23</v>
      </c>
      <c r="T16" s="13" t="str">
        <f>IF('Cause-Result'!T16="","",LEFT(REPLACE('Cause-Result'!T16,1,1,"T"),LEN('Cause-Result'!T16)-3))</f>
        <v>T24</v>
      </c>
      <c r="U16" s="13" t="str">
        <f>IF('Cause-Result'!U16="","",LEFT(REPLACE('Cause-Result'!U16,1,1,"T"),LEN('Cause-Result'!U16)-3))</f>
        <v>T23</v>
      </c>
      <c r="V16" s="13" t="str">
        <f>IF('Cause-Result'!V16="","",LEFT(REPLACE('Cause-Result'!V16,1,1,"T"),LEN('Cause-Result'!V16)-3))</f>
        <v>T24</v>
      </c>
      <c r="W16" s="13" t="str">
        <f>IF('Cause-Result'!W16="","",LEFT(REPLACE('Cause-Result'!W16,1,1,"T"),LEN('Cause-Result'!W16)-3))</f>
        <v>T4</v>
      </c>
      <c r="X16" s="13" t="str">
        <f>IF('Cause-Result'!X16="","",LEFT(REPLACE('Cause-Result'!X16,1,1,"T"),LEN('Cause-Result'!X16)-3))</f>
        <v>T4</v>
      </c>
      <c r="Y16" s="13" t="str">
        <f>IF('Cause-Result'!Y16="","",LEFT(REPLACE('Cause-Result'!Y16,1,1,"T"),LEN('Cause-Result'!Y16)-3))</f>
        <v/>
      </c>
      <c r="Z16" s="13" t="str">
        <f>IF('Cause-Result'!Z16="","",LEFT(REPLACE('Cause-Result'!Z16,1,1,"T"),LEN('Cause-Result'!Z16)-3))</f>
        <v/>
      </c>
      <c r="AA16" s="13" t="str">
        <f>IF('Cause-Result'!AA16="","",LEFT(REPLACE('Cause-Result'!AA16,1,1,"T"),LEN('Cause-Result'!AA16)-3))</f>
        <v/>
      </c>
      <c r="AB16" s="13" t="str">
        <f>IF('Cause-Result'!AB16="","",LEFT(REPLACE('Cause-Result'!AB16,1,1,"T"),LEN('Cause-Result'!AB16)-3))</f>
        <v/>
      </c>
    </row>
    <row r="17">
      <c r="A17" s="7">
        <v>16.0</v>
      </c>
      <c r="B17" s="8" t="s">
        <v>34</v>
      </c>
      <c r="C17" s="9" t="s">
        <v>35</v>
      </c>
      <c r="D17" s="10" t="s">
        <v>34</v>
      </c>
      <c r="E17" s="13" t="str">
        <f>IF('Cause-Result'!E17="","",LEFT(REPLACE('Cause-Result'!E17,1,1,"T"),LEN('Cause-Result'!E17)-3))</f>
        <v>T9</v>
      </c>
      <c r="F17" s="13" t="str">
        <f>IF('Cause-Result'!F17="","",LEFT(REPLACE('Cause-Result'!F17,1,1,"T"),LEN('Cause-Result'!F17)-3))</f>
        <v>T7</v>
      </c>
      <c r="G17" s="13" t="str">
        <f>IF('Cause-Result'!G17="","",LEFT(REPLACE('Cause-Result'!G17,1,1,"T"),LEN('Cause-Result'!G17)-3))</f>
        <v>T10</v>
      </c>
      <c r="H17" s="13" t="str">
        <f>IF('Cause-Result'!H17="","",LEFT(REPLACE('Cause-Result'!H17,1,1,"T"),LEN('Cause-Result'!H17)-3))</f>
        <v>T11</v>
      </c>
      <c r="I17" s="13" t="str">
        <f>IF('Cause-Result'!I17="","",LEFT(REPLACE('Cause-Result'!I17,1,1,"T"),LEN('Cause-Result'!I17)-3))</f>
        <v>T9</v>
      </c>
      <c r="J17" s="13" t="str">
        <f>IF('Cause-Result'!J17="","",LEFT(REPLACE('Cause-Result'!J17,1,1,"T"),LEN('Cause-Result'!J17)-3))</f>
        <v>T7</v>
      </c>
      <c r="K17" s="13" t="str">
        <f>IF('Cause-Result'!K17="","",LEFT(REPLACE('Cause-Result'!K17,1,1,"T"),LEN('Cause-Result'!K17)-3))</f>
        <v>T10</v>
      </c>
      <c r="L17" s="13" t="str">
        <f>IF('Cause-Result'!L17="","",LEFT(REPLACE('Cause-Result'!L17,1,1,"T"),LEN('Cause-Result'!L17)-3))</f>
        <v>T11</v>
      </c>
      <c r="M17" s="13" t="str">
        <f>IF('Cause-Result'!M17="","",LEFT(REPLACE('Cause-Result'!M17,1,1,"T"),LEN('Cause-Result'!M17)-3))</f>
        <v>T22</v>
      </c>
      <c r="N17" s="13" t="str">
        <f>IF('Cause-Result'!N17="","",LEFT(REPLACE('Cause-Result'!N17,1,1,"T"),LEN('Cause-Result'!N17)-3))</f>
        <v>T22</v>
      </c>
      <c r="O17" s="13" t="str">
        <f>IF('Cause-Result'!O17="","",LEFT(REPLACE('Cause-Result'!O17,1,1,"T"),LEN('Cause-Result'!O17)-3))</f>
        <v>T31</v>
      </c>
      <c r="P17" s="13" t="str">
        <f>IF('Cause-Result'!P17="","",LEFT(REPLACE('Cause-Result'!P17,1,1,"T"),LEN('Cause-Result'!P17)-3))</f>
        <v>T30</v>
      </c>
      <c r="Q17" s="13" t="str">
        <f>IF('Cause-Result'!Q17="","",LEFT(REPLACE('Cause-Result'!Q17,1,1,"T"),LEN('Cause-Result'!Q17)-3))</f>
        <v>T30</v>
      </c>
      <c r="R17" s="13" t="str">
        <f>IF('Cause-Result'!R17="","",LEFT(REPLACE('Cause-Result'!R17,1,1,"T"),LEN('Cause-Result'!R17)-3))</f>
        <v>T29</v>
      </c>
      <c r="S17" s="13" t="str">
        <f>IF('Cause-Result'!S17="","",LEFT(REPLACE('Cause-Result'!S17,1,1,"T"),LEN('Cause-Result'!S17)-3))</f>
        <v>T23</v>
      </c>
      <c r="T17" s="13" t="str">
        <f>IF('Cause-Result'!T17="","",LEFT(REPLACE('Cause-Result'!T17,1,1,"T"),LEN('Cause-Result'!T17)-3))</f>
        <v>T24</v>
      </c>
      <c r="U17" s="13" t="str">
        <f>IF('Cause-Result'!U17="","",LEFT(REPLACE('Cause-Result'!U17,1,1,"T"),LEN('Cause-Result'!U17)-3))</f>
        <v>T23</v>
      </c>
      <c r="V17" s="13" t="str">
        <f>IF('Cause-Result'!V17="","",LEFT(REPLACE('Cause-Result'!V17,1,1,"T"),LEN('Cause-Result'!V17)-3))</f>
        <v>T24</v>
      </c>
      <c r="W17" s="13" t="str">
        <f>IF('Cause-Result'!W17="","",LEFT(REPLACE('Cause-Result'!W17,1,1,"T"),LEN('Cause-Result'!W17)-3))</f>
        <v>T23</v>
      </c>
      <c r="X17" s="13" t="str">
        <f>IF('Cause-Result'!X17="","",LEFT(REPLACE('Cause-Result'!X17,1,1,"T"),LEN('Cause-Result'!X17)-3))</f>
        <v>T24</v>
      </c>
      <c r="Y17" s="13" t="str">
        <f>IF('Cause-Result'!Y17="","",LEFT(REPLACE('Cause-Result'!Y17,1,1,"T"),LEN('Cause-Result'!Y17)-3))</f>
        <v>T23</v>
      </c>
      <c r="Z17" s="13" t="str">
        <f>IF('Cause-Result'!Z17="","",LEFT(REPLACE('Cause-Result'!Z17,1,1,"T"),LEN('Cause-Result'!Z17)-3))</f>
        <v>T24</v>
      </c>
      <c r="AA17" s="13" t="str">
        <f>IF('Cause-Result'!AA17="","",LEFT(REPLACE('Cause-Result'!AA17,1,1,"T"),LEN('Cause-Result'!AA17)-3))</f>
        <v>T4</v>
      </c>
      <c r="AB17" s="13" t="str">
        <f>IF('Cause-Result'!AB17="","",LEFT(REPLACE('Cause-Result'!AB17,1,1,"T"),LEN('Cause-Result'!AB17)-3))</f>
        <v>T4</v>
      </c>
    </row>
    <row r="18">
      <c r="A18" s="7">
        <v>19.0</v>
      </c>
      <c r="B18" s="8" t="s">
        <v>36</v>
      </c>
      <c r="C18" s="9" t="s">
        <v>37</v>
      </c>
      <c r="D18" s="10" t="s">
        <v>36</v>
      </c>
      <c r="E18" s="13" t="str">
        <f>IF('Cause-Result'!E18="","",LEFT(REPLACE('Cause-Result'!E18,1,1,"T"),LEN('Cause-Result'!E18)-3))</f>
        <v>T32</v>
      </c>
      <c r="F18" s="13" t="str">
        <f>IF('Cause-Result'!F18="","",LEFT(REPLACE('Cause-Result'!F18,1,1,"T"),LEN('Cause-Result'!F18)-3))</f>
        <v/>
      </c>
      <c r="G18" s="13" t="str">
        <f>IF('Cause-Result'!G18="","",LEFT(REPLACE('Cause-Result'!G18,1,1,"T"),LEN('Cause-Result'!G18)-3))</f>
        <v/>
      </c>
      <c r="H18" s="13" t="str">
        <f>IF('Cause-Result'!H18="","",LEFT(REPLACE('Cause-Result'!H18,1,1,"T"),LEN('Cause-Result'!H18)-3))</f>
        <v/>
      </c>
      <c r="I18" s="13" t="str">
        <f>IF('Cause-Result'!I18="","",LEFT(REPLACE('Cause-Result'!I18,1,1,"T"),LEN('Cause-Result'!I18)-3))</f>
        <v/>
      </c>
      <c r="J18" s="13" t="str">
        <f>IF('Cause-Result'!J18="","",LEFT(REPLACE('Cause-Result'!J18,1,1,"T"),LEN('Cause-Result'!J18)-3))</f>
        <v/>
      </c>
      <c r="K18" s="13" t="str">
        <f>IF('Cause-Result'!K18="","",LEFT(REPLACE('Cause-Result'!K18,1,1,"T"),LEN('Cause-Result'!K18)-3))</f>
        <v/>
      </c>
      <c r="L18" s="13" t="str">
        <f>IF('Cause-Result'!L18="","",LEFT(REPLACE('Cause-Result'!L18,1,1,"T"),LEN('Cause-Result'!L18)-3))</f>
        <v/>
      </c>
      <c r="M18" s="13" t="str">
        <f>IF('Cause-Result'!M18="","",LEFT(REPLACE('Cause-Result'!M18,1,1,"T"),LEN('Cause-Result'!M18)-3))</f>
        <v/>
      </c>
      <c r="N18" s="13" t="str">
        <f>IF('Cause-Result'!N18="","",LEFT(REPLACE('Cause-Result'!N18,1,1,"T"),LEN('Cause-Result'!N18)-3))</f>
        <v/>
      </c>
      <c r="O18" s="13" t="str">
        <f>IF('Cause-Result'!O18="","",LEFT(REPLACE('Cause-Result'!O18,1,1,"T"),LEN('Cause-Result'!O18)-3))</f>
        <v/>
      </c>
      <c r="P18" s="13" t="str">
        <f>IF('Cause-Result'!P18="","",LEFT(REPLACE('Cause-Result'!P18,1,1,"T"),LEN('Cause-Result'!P18)-3))</f>
        <v/>
      </c>
      <c r="Q18" s="13" t="str">
        <f>IF('Cause-Result'!Q18="","",LEFT(REPLACE('Cause-Result'!Q18,1,1,"T"),LEN('Cause-Result'!Q18)-3))</f>
        <v/>
      </c>
      <c r="R18" s="13" t="str">
        <f>IF('Cause-Result'!R18="","",LEFT(REPLACE('Cause-Result'!R18,1,1,"T"),LEN('Cause-Result'!R18)-3))</f>
        <v/>
      </c>
      <c r="S18" s="13" t="str">
        <f>IF('Cause-Result'!S18="","",LEFT(REPLACE('Cause-Result'!S18,1,1,"T"),LEN('Cause-Result'!S18)-3))</f>
        <v/>
      </c>
      <c r="T18" s="13" t="str">
        <f>IF('Cause-Result'!T18="","",LEFT(REPLACE('Cause-Result'!T18,1,1,"T"),LEN('Cause-Result'!T18)-3))</f>
        <v/>
      </c>
      <c r="U18" s="13" t="str">
        <f>IF('Cause-Result'!U18="","",LEFT(REPLACE('Cause-Result'!U18,1,1,"T"),LEN('Cause-Result'!U18)-3))</f>
        <v/>
      </c>
      <c r="V18" s="13" t="str">
        <f>IF('Cause-Result'!V18="","",LEFT(REPLACE('Cause-Result'!V18,1,1,"T"),LEN('Cause-Result'!V18)-3))</f>
        <v/>
      </c>
      <c r="W18" s="13" t="str">
        <f>IF('Cause-Result'!W18="","",LEFT(REPLACE('Cause-Result'!W18,1,1,"T"),LEN('Cause-Result'!W18)-3))</f>
        <v/>
      </c>
      <c r="X18" s="13" t="str">
        <f>IF('Cause-Result'!X18="","",LEFT(REPLACE('Cause-Result'!X18,1,1,"T"),LEN('Cause-Result'!X18)-3))</f>
        <v/>
      </c>
      <c r="Y18" s="13" t="str">
        <f>IF('Cause-Result'!Y18="","",LEFT(REPLACE('Cause-Result'!Y18,1,1,"T"),LEN('Cause-Result'!Y18)-3))</f>
        <v/>
      </c>
      <c r="Z18" s="13" t="str">
        <f>IF('Cause-Result'!Z18="","",LEFT(REPLACE('Cause-Result'!Z18,1,1,"T"),LEN('Cause-Result'!Z18)-3))</f>
        <v/>
      </c>
      <c r="AA18" s="13" t="str">
        <f>IF('Cause-Result'!AA18="","",LEFT(REPLACE('Cause-Result'!AA18,1,1,"T"),LEN('Cause-Result'!AA18)-3))</f>
        <v/>
      </c>
      <c r="AB18" s="13" t="str">
        <f>IF('Cause-Result'!AB18="","",LEFT(REPLACE('Cause-Result'!AB18,1,1,"T"),LEN('Cause-Result'!AB18)-3))</f>
        <v/>
      </c>
    </row>
    <row r="19">
      <c r="A19" s="7">
        <v>20.0</v>
      </c>
      <c r="B19" s="8" t="s">
        <v>38</v>
      </c>
      <c r="C19" s="9" t="s">
        <v>39</v>
      </c>
      <c r="D19" s="10" t="s">
        <v>38</v>
      </c>
      <c r="E19" s="13" t="str">
        <f>IF('Cause-Result'!E19="","",LEFT(REPLACE('Cause-Result'!E19,1,1,"T"),LEN('Cause-Result'!E19)-3))</f>
        <v>T20</v>
      </c>
      <c r="F19" s="13" t="str">
        <f>IF('Cause-Result'!F19="","",LEFT(REPLACE('Cause-Result'!F19,1,1,"T"),LEN('Cause-Result'!F19)-3))</f>
        <v>T31</v>
      </c>
      <c r="G19" s="13" t="str">
        <f>IF('Cause-Result'!G19="","",LEFT(REPLACE('Cause-Result'!G19,1,1,"T"),LEN('Cause-Result'!G19)-3))</f>
        <v>T32</v>
      </c>
      <c r="H19" s="13" t="str">
        <f>IF('Cause-Result'!H19="","",LEFT(REPLACE('Cause-Result'!H19,1,1,"T"),LEN('Cause-Result'!H19)-3))</f>
        <v/>
      </c>
      <c r="I19" s="13" t="str">
        <f>IF('Cause-Result'!I19="","",LEFT(REPLACE('Cause-Result'!I19,1,1,"T"),LEN('Cause-Result'!I19)-3))</f>
        <v/>
      </c>
      <c r="J19" s="13" t="str">
        <f>IF('Cause-Result'!J19="","",LEFT(REPLACE('Cause-Result'!J19,1,1,"T"),LEN('Cause-Result'!J19)-3))</f>
        <v/>
      </c>
      <c r="K19" s="13" t="str">
        <f>IF('Cause-Result'!K19="","",LEFT(REPLACE('Cause-Result'!K19,1,1,"T"),LEN('Cause-Result'!K19)-3))</f>
        <v/>
      </c>
      <c r="L19" s="13" t="str">
        <f>IF('Cause-Result'!L19="","",LEFT(REPLACE('Cause-Result'!L19,1,1,"T"),LEN('Cause-Result'!L19)-3))</f>
        <v/>
      </c>
      <c r="M19" s="13" t="str">
        <f>IF('Cause-Result'!M19="","",LEFT(REPLACE('Cause-Result'!M19,1,1,"T"),LEN('Cause-Result'!M19)-3))</f>
        <v/>
      </c>
      <c r="N19" s="13" t="str">
        <f>IF('Cause-Result'!N19="","",LEFT(REPLACE('Cause-Result'!N19,1,1,"T"),LEN('Cause-Result'!N19)-3))</f>
        <v/>
      </c>
      <c r="O19" s="13" t="str">
        <f>IF('Cause-Result'!O19="","",LEFT(REPLACE('Cause-Result'!O19,1,1,"T"),LEN('Cause-Result'!O19)-3))</f>
        <v/>
      </c>
      <c r="P19" s="13" t="str">
        <f>IF('Cause-Result'!P19="","",LEFT(REPLACE('Cause-Result'!P19,1,1,"T"),LEN('Cause-Result'!P19)-3))</f>
        <v/>
      </c>
      <c r="Q19" s="13" t="str">
        <f>IF('Cause-Result'!Q19="","",LEFT(REPLACE('Cause-Result'!Q19,1,1,"T"),LEN('Cause-Result'!Q19)-3))</f>
        <v/>
      </c>
      <c r="R19" s="13" t="str">
        <f>IF('Cause-Result'!R19="","",LEFT(REPLACE('Cause-Result'!R19,1,1,"T"),LEN('Cause-Result'!R19)-3))</f>
        <v/>
      </c>
      <c r="S19" s="13" t="str">
        <f>IF('Cause-Result'!S19="","",LEFT(REPLACE('Cause-Result'!S19,1,1,"T"),LEN('Cause-Result'!S19)-3))</f>
        <v/>
      </c>
      <c r="T19" s="13" t="str">
        <f>IF('Cause-Result'!T19="","",LEFT(REPLACE('Cause-Result'!T19,1,1,"T"),LEN('Cause-Result'!T19)-3))</f>
        <v/>
      </c>
      <c r="U19" s="13" t="str">
        <f>IF('Cause-Result'!U19="","",LEFT(REPLACE('Cause-Result'!U19,1,1,"T"),LEN('Cause-Result'!U19)-3))</f>
        <v/>
      </c>
      <c r="V19" s="13" t="str">
        <f>IF('Cause-Result'!V19="","",LEFT(REPLACE('Cause-Result'!V19,1,1,"T"),LEN('Cause-Result'!V19)-3))</f>
        <v/>
      </c>
      <c r="W19" s="13" t="str">
        <f>IF('Cause-Result'!W19="","",LEFT(REPLACE('Cause-Result'!W19,1,1,"T"),LEN('Cause-Result'!W19)-3))</f>
        <v/>
      </c>
      <c r="X19" s="13" t="str">
        <f>IF('Cause-Result'!X19="","",LEFT(REPLACE('Cause-Result'!X19,1,1,"T"),LEN('Cause-Result'!X19)-3))</f>
        <v/>
      </c>
      <c r="Y19" s="13" t="str">
        <f>IF('Cause-Result'!Y19="","",LEFT(REPLACE('Cause-Result'!Y19,1,1,"T"),LEN('Cause-Result'!Y19)-3))</f>
        <v/>
      </c>
      <c r="Z19" s="13" t="str">
        <f>IF('Cause-Result'!Z19="","",LEFT(REPLACE('Cause-Result'!Z19,1,1,"T"),LEN('Cause-Result'!Z19)-3))</f>
        <v/>
      </c>
      <c r="AA19" s="13" t="str">
        <f>IF('Cause-Result'!AA19="","",LEFT(REPLACE('Cause-Result'!AA19,1,1,"T"),LEN('Cause-Result'!AA19)-3))</f>
        <v/>
      </c>
      <c r="AB19" s="13" t="str">
        <f>IF('Cause-Result'!AB19="","",LEFT(REPLACE('Cause-Result'!AB19,1,1,"T"),LEN('Cause-Result'!AB19)-3))</f>
        <v/>
      </c>
    </row>
    <row r="20">
      <c r="A20" s="7">
        <v>21.0</v>
      </c>
      <c r="B20" s="8" t="s">
        <v>40</v>
      </c>
      <c r="C20" s="9" t="s">
        <v>41</v>
      </c>
      <c r="D20" s="10" t="s">
        <v>40</v>
      </c>
      <c r="E20" s="13" t="str">
        <f>IF('Cause-Result'!E20="","",LEFT(REPLACE('Cause-Result'!E20,1,1,"T"),LEN('Cause-Result'!E20)-3))</f>
        <v>T21</v>
      </c>
      <c r="F20" s="13" t="str">
        <f>IF('Cause-Result'!F20="","",LEFT(REPLACE('Cause-Result'!F20,1,1,"T"),LEN('Cause-Result'!F20)-3))</f>
        <v>T31</v>
      </c>
      <c r="G20" s="13" t="str">
        <f>IF('Cause-Result'!G20="","",LEFT(REPLACE('Cause-Result'!G20,1,1,"T"),LEN('Cause-Result'!G20)-3))</f>
        <v>T32</v>
      </c>
      <c r="H20" s="13" t="str">
        <f>IF('Cause-Result'!H20="","",LEFT(REPLACE('Cause-Result'!H20,1,1,"T"),LEN('Cause-Result'!H20)-3))</f>
        <v/>
      </c>
      <c r="I20" s="13" t="str">
        <f>IF('Cause-Result'!I20="","",LEFT(REPLACE('Cause-Result'!I20,1,1,"T"),LEN('Cause-Result'!I20)-3))</f>
        <v/>
      </c>
      <c r="J20" s="13" t="str">
        <f>IF('Cause-Result'!J20="","",LEFT(REPLACE('Cause-Result'!J20,1,1,"T"),LEN('Cause-Result'!J20)-3))</f>
        <v/>
      </c>
      <c r="K20" s="13" t="str">
        <f>IF('Cause-Result'!K20="","",LEFT(REPLACE('Cause-Result'!K20,1,1,"T"),LEN('Cause-Result'!K20)-3))</f>
        <v/>
      </c>
      <c r="L20" s="13" t="str">
        <f>IF('Cause-Result'!L20="","",LEFT(REPLACE('Cause-Result'!L20,1,1,"T"),LEN('Cause-Result'!L20)-3))</f>
        <v/>
      </c>
      <c r="M20" s="13" t="str">
        <f>IF('Cause-Result'!M20="","",LEFT(REPLACE('Cause-Result'!M20,1,1,"T"),LEN('Cause-Result'!M20)-3))</f>
        <v/>
      </c>
      <c r="N20" s="13" t="str">
        <f>IF('Cause-Result'!N20="","",LEFT(REPLACE('Cause-Result'!N20,1,1,"T"),LEN('Cause-Result'!N20)-3))</f>
        <v/>
      </c>
      <c r="O20" s="13" t="str">
        <f>IF('Cause-Result'!O20="","",LEFT(REPLACE('Cause-Result'!O20,1,1,"T"),LEN('Cause-Result'!O20)-3))</f>
        <v/>
      </c>
      <c r="P20" s="13" t="str">
        <f>IF('Cause-Result'!P20="","",LEFT(REPLACE('Cause-Result'!P20,1,1,"T"),LEN('Cause-Result'!P20)-3))</f>
        <v/>
      </c>
      <c r="Q20" s="13" t="str">
        <f>IF('Cause-Result'!Q20="","",LEFT(REPLACE('Cause-Result'!Q20,1,1,"T"),LEN('Cause-Result'!Q20)-3))</f>
        <v/>
      </c>
      <c r="R20" s="13" t="str">
        <f>IF('Cause-Result'!R20="","",LEFT(REPLACE('Cause-Result'!R20,1,1,"T"),LEN('Cause-Result'!R20)-3))</f>
        <v/>
      </c>
      <c r="S20" s="13" t="str">
        <f>IF('Cause-Result'!S20="","",LEFT(REPLACE('Cause-Result'!S20,1,1,"T"),LEN('Cause-Result'!S20)-3))</f>
        <v/>
      </c>
      <c r="T20" s="13" t="str">
        <f>IF('Cause-Result'!T20="","",LEFT(REPLACE('Cause-Result'!T20,1,1,"T"),LEN('Cause-Result'!T20)-3))</f>
        <v/>
      </c>
      <c r="U20" s="13" t="str">
        <f>IF('Cause-Result'!U20="","",LEFT(REPLACE('Cause-Result'!U20,1,1,"T"),LEN('Cause-Result'!U20)-3))</f>
        <v/>
      </c>
      <c r="V20" s="13" t="str">
        <f>IF('Cause-Result'!V20="","",LEFT(REPLACE('Cause-Result'!V20,1,1,"T"),LEN('Cause-Result'!V20)-3))</f>
        <v/>
      </c>
      <c r="W20" s="13" t="str">
        <f>IF('Cause-Result'!W20="","",LEFT(REPLACE('Cause-Result'!W20,1,1,"T"),LEN('Cause-Result'!W20)-3))</f>
        <v/>
      </c>
      <c r="X20" s="13" t="str">
        <f>IF('Cause-Result'!X20="","",LEFT(REPLACE('Cause-Result'!X20,1,1,"T"),LEN('Cause-Result'!X20)-3))</f>
        <v/>
      </c>
      <c r="Y20" s="13" t="str">
        <f>IF('Cause-Result'!Y20="","",LEFT(REPLACE('Cause-Result'!Y20,1,1,"T"),LEN('Cause-Result'!Y20)-3))</f>
        <v/>
      </c>
      <c r="Z20" s="13" t="str">
        <f>IF('Cause-Result'!Z20="","",LEFT(REPLACE('Cause-Result'!Z20,1,1,"T"),LEN('Cause-Result'!Z20)-3))</f>
        <v/>
      </c>
      <c r="AA20" s="13" t="str">
        <f>IF('Cause-Result'!AA20="","",LEFT(REPLACE('Cause-Result'!AA20,1,1,"T"),LEN('Cause-Result'!AA20)-3))</f>
        <v/>
      </c>
      <c r="AB20" s="13" t="str">
        <f>IF('Cause-Result'!AB20="","",LEFT(REPLACE('Cause-Result'!AB20,1,1,"T"),LEN('Cause-Result'!AB20)-3))</f>
        <v/>
      </c>
    </row>
    <row r="21">
      <c r="A21" s="7">
        <v>22.0</v>
      </c>
      <c r="B21" s="8" t="s">
        <v>42</v>
      </c>
      <c r="C21" s="9" t="s">
        <v>43</v>
      </c>
      <c r="D21" s="10" t="s">
        <v>42</v>
      </c>
      <c r="E21" s="13" t="str">
        <f>IF('Cause-Result'!E21="","",LEFT(REPLACE('Cause-Result'!E21,1,1,"T"),LEN('Cause-Result'!E21)-3))</f>
        <v>T15</v>
      </c>
      <c r="F21" s="13" t="str">
        <f>IF('Cause-Result'!F21="","",LEFT(REPLACE('Cause-Result'!F21,1,1,"T"),LEN('Cause-Result'!F21)-3))</f>
        <v>T15</v>
      </c>
      <c r="G21" s="13" t="str">
        <f>IF('Cause-Result'!G21="","",LEFT(REPLACE('Cause-Result'!G21,1,1,"T"),LEN('Cause-Result'!G21)-3))</f>
        <v>T14</v>
      </c>
      <c r="H21" s="13" t="str">
        <f>IF('Cause-Result'!H21="","",LEFT(REPLACE('Cause-Result'!H21,1,1,"T"),LEN('Cause-Result'!H21)-3))</f>
        <v>T14</v>
      </c>
      <c r="I21" s="13" t="str">
        <f>IF('Cause-Result'!I21="","",LEFT(REPLACE('Cause-Result'!I21,1,1,"T"),LEN('Cause-Result'!I21)-3))</f>
        <v>T13</v>
      </c>
      <c r="J21" s="13" t="str">
        <f>IF('Cause-Result'!J21="","",LEFT(REPLACE('Cause-Result'!J21,1,1,"T"),LEN('Cause-Result'!J21)-3))</f>
        <v>T13</v>
      </c>
      <c r="K21" s="13" t="str">
        <f>IF('Cause-Result'!K21="","",LEFT(REPLACE('Cause-Result'!K21,1,1,"T"),LEN('Cause-Result'!K21)-3))</f>
        <v>T12</v>
      </c>
      <c r="L21" s="13" t="str">
        <f>IF('Cause-Result'!L21="","",LEFT(REPLACE('Cause-Result'!L21,1,1,"T"),LEN('Cause-Result'!L21)-3))</f>
        <v>T15</v>
      </c>
      <c r="M21" s="13" t="str">
        <f>IF('Cause-Result'!M21="","",LEFT(REPLACE('Cause-Result'!M21,1,1,"T"),LEN('Cause-Result'!M21)-3))</f>
        <v>T14</v>
      </c>
      <c r="N21" s="13" t="str">
        <f>IF('Cause-Result'!N21="","",LEFT(REPLACE('Cause-Result'!N21,1,1,"T"),LEN('Cause-Result'!N21)-3))</f>
        <v>T13</v>
      </c>
      <c r="O21" s="13" t="str">
        <f>IF('Cause-Result'!O21="","",LEFT(REPLACE('Cause-Result'!O21,1,1,"T"),LEN('Cause-Result'!O21)-3))</f>
        <v>T12</v>
      </c>
      <c r="P21" s="13" t="str">
        <f>IF('Cause-Result'!P21="","",LEFT(REPLACE('Cause-Result'!P21,1,1,"T"),LEN('Cause-Result'!P21)-3))</f>
        <v>T31</v>
      </c>
      <c r="Q21" s="13" t="str">
        <f>IF('Cause-Result'!Q21="","",LEFT(REPLACE('Cause-Result'!Q21,1,1,"T"),LEN('Cause-Result'!Q21)-3))</f>
        <v>T2</v>
      </c>
      <c r="R21" s="13" t="str">
        <f>IF('Cause-Result'!R21="","",LEFT(REPLACE('Cause-Result'!R21,1,1,"T"),LEN('Cause-Result'!R21)-3))</f>
        <v>T4</v>
      </c>
      <c r="S21" s="13" t="str">
        <f>IF('Cause-Result'!S21="","",LEFT(REPLACE('Cause-Result'!S21,1,1,"T"),LEN('Cause-Result'!S21)-3))</f>
        <v>T2</v>
      </c>
      <c r="T21" s="13" t="str">
        <f>IF('Cause-Result'!T21="","",LEFT(REPLACE('Cause-Result'!T21,1,1,"T"),LEN('Cause-Result'!T21)-3))</f>
        <v>T4</v>
      </c>
      <c r="U21" s="13" t="str">
        <f>IF('Cause-Result'!U21="","",LEFT(REPLACE('Cause-Result'!U21,1,1,"T"),LEN('Cause-Result'!U21)-3))</f>
        <v>T30</v>
      </c>
      <c r="V21" s="13" t="str">
        <f>IF('Cause-Result'!V21="","",LEFT(REPLACE('Cause-Result'!V21,1,1,"T"),LEN('Cause-Result'!V21)-3))</f>
        <v>T30</v>
      </c>
      <c r="W21" s="13" t="str">
        <f>IF('Cause-Result'!W21="","",LEFT(REPLACE('Cause-Result'!W21,1,1,"T"),LEN('Cause-Result'!W21)-3))</f>
        <v>T29</v>
      </c>
      <c r="X21" s="13" t="str">
        <f>IF('Cause-Result'!X21="","",LEFT(REPLACE('Cause-Result'!X21,1,1,"T"),LEN('Cause-Result'!X21)-3))</f>
        <v>T16</v>
      </c>
      <c r="Y21" s="13" t="str">
        <f>IF('Cause-Result'!Y21="","",LEFT(REPLACE('Cause-Result'!Y21,1,1,"T"),LEN('Cause-Result'!Y21)-3))</f>
        <v>T16</v>
      </c>
      <c r="Z21" s="13" t="str">
        <f>IF('Cause-Result'!Z21="","",LEFT(REPLACE('Cause-Result'!Z21,1,1,"T"),LEN('Cause-Result'!Z21)-3))</f>
        <v>T17</v>
      </c>
      <c r="AA21" s="13" t="str">
        <f>IF('Cause-Result'!AA21="","",LEFT(REPLACE('Cause-Result'!AA21,1,1,"T"),LEN('Cause-Result'!AA21)-3))</f>
        <v>T17</v>
      </c>
      <c r="AB21" s="13" t="str">
        <f>IF('Cause-Result'!AB21="","",LEFT(REPLACE('Cause-Result'!AB21,1,1,"T"),LEN('Cause-Result'!AB21)-3))</f>
        <v/>
      </c>
    </row>
    <row r="22">
      <c r="A22" s="7">
        <v>23.0</v>
      </c>
      <c r="B22" s="8" t="s">
        <v>44</v>
      </c>
      <c r="C22" s="9" t="s">
        <v>45</v>
      </c>
      <c r="D22" s="10" t="s">
        <v>44</v>
      </c>
      <c r="E22" s="13" t="str">
        <f>IF('Cause-Result'!E22="","",LEFT(REPLACE('Cause-Result'!E22,1,1,"T"),LEN('Cause-Result'!E22)-3))</f>
        <v/>
      </c>
      <c r="F22" s="13" t="str">
        <f>IF('Cause-Result'!F22="","",LEFT(REPLACE('Cause-Result'!F22,1,1,"T"),LEN('Cause-Result'!F22)-3))</f>
        <v/>
      </c>
      <c r="G22" s="13" t="str">
        <f>IF('Cause-Result'!G22="","",LEFT(REPLACE('Cause-Result'!G22,1,1,"T"),LEN('Cause-Result'!G22)-3))</f>
        <v/>
      </c>
      <c r="H22" s="13" t="str">
        <f>IF('Cause-Result'!H22="","",LEFT(REPLACE('Cause-Result'!H22,1,1,"T"),LEN('Cause-Result'!H22)-3))</f>
        <v/>
      </c>
      <c r="I22" s="13" t="str">
        <f>IF('Cause-Result'!I22="","",LEFT(REPLACE('Cause-Result'!I22,1,1,"T"),LEN('Cause-Result'!I22)-3))</f>
        <v/>
      </c>
      <c r="J22" s="13" t="str">
        <f>IF('Cause-Result'!J22="","",LEFT(REPLACE('Cause-Result'!J22,1,1,"T"),LEN('Cause-Result'!J22)-3))</f>
        <v/>
      </c>
      <c r="K22" s="13" t="str">
        <f>IF('Cause-Result'!K22="","",LEFT(REPLACE('Cause-Result'!K22,1,1,"T"),LEN('Cause-Result'!K22)-3))</f>
        <v/>
      </c>
      <c r="L22" s="13" t="str">
        <f>IF('Cause-Result'!L22="","",LEFT(REPLACE('Cause-Result'!L22,1,1,"T"),LEN('Cause-Result'!L22)-3))</f>
        <v/>
      </c>
      <c r="M22" s="13" t="str">
        <f>IF('Cause-Result'!M22="","",LEFT(REPLACE('Cause-Result'!M22,1,1,"T"),LEN('Cause-Result'!M22)-3))</f>
        <v/>
      </c>
      <c r="N22" s="13" t="str">
        <f>IF('Cause-Result'!N22="","",LEFT(REPLACE('Cause-Result'!N22,1,1,"T"),LEN('Cause-Result'!N22)-3))</f>
        <v/>
      </c>
      <c r="O22" s="13" t="str">
        <f>IF('Cause-Result'!O22="","",LEFT(REPLACE('Cause-Result'!O22,1,1,"T"),LEN('Cause-Result'!O22)-3))</f>
        <v/>
      </c>
      <c r="P22" s="13" t="str">
        <f>IF('Cause-Result'!P22="","",LEFT(REPLACE('Cause-Result'!P22,1,1,"T"),LEN('Cause-Result'!P22)-3))</f>
        <v/>
      </c>
      <c r="Q22" s="13" t="str">
        <f>IF('Cause-Result'!Q22="","",LEFT(REPLACE('Cause-Result'!Q22,1,1,"T"),LEN('Cause-Result'!Q22)-3))</f>
        <v/>
      </c>
      <c r="R22" s="13" t="str">
        <f>IF('Cause-Result'!R22="","",LEFT(REPLACE('Cause-Result'!R22,1,1,"T"),LEN('Cause-Result'!R22)-3))</f>
        <v/>
      </c>
      <c r="S22" s="13" t="str">
        <f>IF('Cause-Result'!S22="","",LEFT(REPLACE('Cause-Result'!S22,1,1,"T"),LEN('Cause-Result'!S22)-3))</f>
        <v/>
      </c>
      <c r="T22" s="13" t="str">
        <f>IF('Cause-Result'!T22="","",LEFT(REPLACE('Cause-Result'!T22,1,1,"T"),LEN('Cause-Result'!T22)-3))</f>
        <v/>
      </c>
      <c r="U22" s="13" t="str">
        <f>IF('Cause-Result'!U22="","",LEFT(REPLACE('Cause-Result'!U22,1,1,"T"),LEN('Cause-Result'!U22)-3))</f>
        <v/>
      </c>
      <c r="V22" s="13" t="str">
        <f>IF('Cause-Result'!V22="","",LEFT(REPLACE('Cause-Result'!V22,1,1,"T"),LEN('Cause-Result'!V22)-3))</f>
        <v/>
      </c>
      <c r="W22" s="13" t="str">
        <f>IF('Cause-Result'!W22="","",LEFT(REPLACE('Cause-Result'!W22,1,1,"T"),LEN('Cause-Result'!W22)-3))</f>
        <v/>
      </c>
      <c r="X22" s="13" t="str">
        <f>IF('Cause-Result'!X22="","",LEFT(REPLACE('Cause-Result'!X22,1,1,"T"),LEN('Cause-Result'!X22)-3))</f>
        <v/>
      </c>
      <c r="Y22" s="13" t="str">
        <f>IF('Cause-Result'!Y22="","",LEFT(REPLACE('Cause-Result'!Y22,1,1,"T"),LEN('Cause-Result'!Y22)-3))</f>
        <v/>
      </c>
      <c r="Z22" s="13" t="str">
        <f>IF('Cause-Result'!Z22="","",LEFT(REPLACE('Cause-Result'!Z22,1,1,"T"),LEN('Cause-Result'!Z22)-3))</f>
        <v/>
      </c>
      <c r="AA22" s="13" t="str">
        <f>IF('Cause-Result'!AA22="","",LEFT(REPLACE('Cause-Result'!AA22,1,1,"T"),LEN('Cause-Result'!AA22)-3))</f>
        <v/>
      </c>
      <c r="AB22" s="13" t="str">
        <f>IF('Cause-Result'!AB22="","",LEFT(REPLACE('Cause-Result'!AB22,1,1,"T"),LEN('Cause-Result'!AB22)-3))</f>
        <v/>
      </c>
    </row>
    <row r="23">
      <c r="A23" s="7">
        <v>24.0</v>
      </c>
      <c r="B23" s="8" t="s">
        <v>46</v>
      </c>
      <c r="C23" s="9" t="s">
        <v>47</v>
      </c>
      <c r="D23" s="10" t="s">
        <v>46</v>
      </c>
      <c r="E23" s="13" t="str">
        <f>IF('Cause-Result'!E23="","",LEFT(REPLACE('Cause-Result'!E23,1,1,"T"),LEN('Cause-Result'!E23)-3))</f>
        <v/>
      </c>
      <c r="F23" s="13" t="str">
        <f>IF('Cause-Result'!F23="","",LEFT(REPLACE('Cause-Result'!F23,1,1,"T"),LEN('Cause-Result'!F23)-3))</f>
        <v/>
      </c>
      <c r="G23" s="13" t="str">
        <f>IF('Cause-Result'!G23="","",LEFT(REPLACE('Cause-Result'!G23,1,1,"T"),LEN('Cause-Result'!G23)-3))</f>
        <v/>
      </c>
      <c r="H23" s="13" t="str">
        <f>IF('Cause-Result'!H23="","",LEFT(REPLACE('Cause-Result'!H23,1,1,"T"),LEN('Cause-Result'!H23)-3))</f>
        <v/>
      </c>
      <c r="I23" s="13" t="str">
        <f>IF('Cause-Result'!I23="","",LEFT(REPLACE('Cause-Result'!I23,1,1,"T"),LEN('Cause-Result'!I23)-3))</f>
        <v/>
      </c>
      <c r="J23" s="13" t="str">
        <f>IF('Cause-Result'!J23="","",LEFT(REPLACE('Cause-Result'!J23,1,1,"T"),LEN('Cause-Result'!J23)-3))</f>
        <v/>
      </c>
      <c r="K23" s="13" t="str">
        <f>IF('Cause-Result'!K23="","",LEFT(REPLACE('Cause-Result'!K23,1,1,"T"),LEN('Cause-Result'!K23)-3))</f>
        <v/>
      </c>
      <c r="L23" s="13" t="str">
        <f>IF('Cause-Result'!L23="","",LEFT(REPLACE('Cause-Result'!L23,1,1,"T"),LEN('Cause-Result'!L23)-3))</f>
        <v/>
      </c>
      <c r="M23" s="13" t="str">
        <f>IF('Cause-Result'!M23="","",LEFT(REPLACE('Cause-Result'!M23,1,1,"T"),LEN('Cause-Result'!M23)-3))</f>
        <v/>
      </c>
      <c r="N23" s="13" t="str">
        <f>IF('Cause-Result'!N23="","",LEFT(REPLACE('Cause-Result'!N23,1,1,"T"),LEN('Cause-Result'!N23)-3))</f>
        <v/>
      </c>
      <c r="O23" s="13" t="str">
        <f>IF('Cause-Result'!O23="","",LEFT(REPLACE('Cause-Result'!O23,1,1,"T"),LEN('Cause-Result'!O23)-3))</f>
        <v/>
      </c>
      <c r="P23" s="13" t="str">
        <f>IF('Cause-Result'!P23="","",LEFT(REPLACE('Cause-Result'!P23,1,1,"T"),LEN('Cause-Result'!P23)-3))</f>
        <v/>
      </c>
      <c r="Q23" s="13" t="str">
        <f>IF('Cause-Result'!Q23="","",LEFT(REPLACE('Cause-Result'!Q23,1,1,"T"),LEN('Cause-Result'!Q23)-3))</f>
        <v/>
      </c>
      <c r="R23" s="13" t="str">
        <f>IF('Cause-Result'!R23="","",LEFT(REPLACE('Cause-Result'!R23,1,1,"T"),LEN('Cause-Result'!R23)-3))</f>
        <v/>
      </c>
      <c r="S23" s="13" t="str">
        <f>IF('Cause-Result'!S23="","",LEFT(REPLACE('Cause-Result'!S23,1,1,"T"),LEN('Cause-Result'!S23)-3))</f>
        <v/>
      </c>
      <c r="T23" s="13" t="str">
        <f>IF('Cause-Result'!T23="","",LEFT(REPLACE('Cause-Result'!T23,1,1,"T"),LEN('Cause-Result'!T23)-3))</f>
        <v/>
      </c>
      <c r="U23" s="13" t="str">
        <f>IF('Cause-Result'!U23="","",LEFT(REPLACE('Cause-Result'!U23,1,1,"T"),LEN('Cause-Result'!U23)-3))</f>
        <v/>
      </c>
      <c r="V23" s="13" t="str">
        <f>IF('Cause-Result'!V23="","",LEFT(REPLACE('Cause-Result'!V23,1,1,"T"),LEN('Cause-Result'!V23)-3))</f>
        <v/>
      </c>
      <c r="W23" s="13" t="str">
        <f>IF('Cause-Result'!W23="","",LEFT(REPLACE('Cause-Result'!W23,1,1,"T"),LEN('Cause-Result'!W23)-3))</f>
        <v/>
      </c>
      <c r="X23" s="13" t="str">
        <f>IF('Cause-Result'!X23="","",LEFT(REPLACE('Cause-Result'!X23,1,1,"T"),LEN('Cause-Result'!X23)-3))</f>
        <v/>
      </c>
      <c r="Y23" s="13" t="str">
        <f>IF('Cause-Result'!Y23="","",LEFT(REPLACE('Cause-Result'!Y23,1,1,"T"),LEN('Cause-Result'!Y23)-3))</f>
        <v/>
      </c>
      <c r="Z23" s="13" t="str">
        <f>IF('Cause-Result'!Z23="","",LEFT(REPLACE('Cause-Result'!Z23,1,1,"T"),LEN('Cause-Result'!Z23)-3))</f>
        <v/>
      </c>
      <c r="AA23" s="13" t="str">
        <f>IF('Cause-Result'!AA23="","",LEFT(REPLACE('Cause-Result'!AA23,1,1,"T"),LEN('Cause-Result'!AA23)-3))</f>
        <v/>
      </c>
      <c r="AB23" s="13" t="str">
        <f>IF('Cause-Result'!AB23="","",LEFT(REPLACE('Cause-Result'!AB23,1,1,"T"),LEN('Cause-Result'!AB23)-3))</f>
        <v/>
      </c>
    </row>
    <row r="24">
      <c r="A24" s="7">
        <v>25.0</v>
      </c>
      <c r="B24" s="8" t="s">
        <v>48</v>
      </c>
      <c r="C24" s="9" t="s">
        <v>49</v>
      </c>
      <c r="D24" s="10" t="s">
        <v>48</v>
      </c>
      <c r="E24" s="13" t="str">
        <f>IF('Cause-Result'!E24="","",LEFT(REPLACE('Cause-Result'!E24,1,1,"T"),LEN('Cause-Result'!E24)-3))</f>
        <v/>
      </c>
      <c r="F24" s="13" t="str">
        <f>IF('Cause-Result'!F24="","",LEFT(REPLACE('Cause-Result'!F24,1,1,"T"),LEN('Cause-Result'!F24)-3))</f>
        <v/>
      </c>
      <c r="G24" s="13" t="str">
        <f>IF('Cause-Result'!G24="","",LEFT(REPLACE('Cause-Result'!G24,1,1,"T"),LEN('Cause-Result'!G24)-3))</f>
        <v/>
      </c>
      <c r="H24" s="13" t="str">
        <f>IF('Cause-Result'!H24="","",LEFT(REPLACE('Cause-Result'!H24,1,1,"T"),LEN('Cause-Result'!H24)-3))</f>
        <v/>
      </c>
      <c r="I24" s="13" t="str">
        <f>IF('Cause-Result'!I24="","",LEFT(REPLACE('Cause-Result'!I24,1,1,"T"),LEN('Cause-Result'!I24)-3))</f>
        <v/>
      </c>
      <c r="J24" s="13" t="str">
        <f>IF('Cause-Result'!J24="","",LEFT(REPLACE('Cause-Result'!J24,1,1,"T"),LEN('Cause-Result'!J24)-3))</f>
        <v/>
      </c>
      <c r="K24" s="13" t="str">
        <f>IF('Cause-Result'!K24="","",LEFT(REPLACE('Cause-Result'!K24,1,1,"T"),LEN('Cause-Result'!K24)-3))</f>
        <v/>
      </c>
      <c r="L24" s="13" t="str">
        <f>IF('Cause-Result'!L24="","",LEFT(REPLACE('Cause-Result'!L24,1,1,"T"),LEN('Cause-Result'!L24)-3))</f>
        <v/>
      </c>
      <c r="M24" s="13" t="str">
        <f>IF('Cause-Result'!M24="","",LEFT(REPLACE('Cause-Result'!M24,1,1,"T"),LEN('Cause-Result'!M24)-3))</f>
        <v/>
      </c>
      <c r="N24" s="13" t="str">
        <f>IF('Cause-Result'!N24="","",LEFT(REPLACE('Cause-Result'!N24,1,1,"T"),LEN('Cause-Result'!N24)-3))</f>
        <v/>
      </c>
      <c r="O24" s="13" t="str">
        <f>IF('Cause-Result'!O24="","",LEFT(REPLACE('Cause-Result'!O24,1,1,"T"),LEN('Cause-Result'!O24)-3))</f>
        <v/>
      </c>
      <c r="P24" s="13" t="str">
        <f>IF('Cause-Result'!P24="","",LEFT(REPLACE('Cause-Result'!P24,1,1,"T"),LEN('Cause-Result'!P24)-3))</f>
        <v/>
      </c>
      <c r="Q24" s="13" t="str">
        <f>IF('Cause-Result'!Q24="","",LEFT(REPLACE('Cause-Result'!Q24,1,1,"T"),LEN('Cause-Result'!Q24)-3))</f>
        <v/>
      </c>
      <c r="R24" s="13" t="str">
        <f>IF('Cause-Result'!R24="","",LEFT(REPLACE('Cause-Result'!R24,1,1,"T"),LEN('Cause-Result'!R24)-3))</f>
        <v/>
      </c>
      <c r="S24" s="13" t="str">
        <f>IF('Cause-Result'!S24="","",LEFT(REPLACE('Cause-Result'!S24,1,1,"T"),LEN('Cause-Result'!S24)-3))</f>
        <v/>
      </c>
      <c r="T24" s="13" t="str">
        <f>IF('Cause-Result'!T24="","",LEFT(REPLACE('Cause-Result'!T24,1,1,"T"),LEN('Cause-Result'!T24)-3))</f>
        <v/>
      </c>
      <c r="U24" s="13" t="str">
        <f>IF('Cause-Result'!U24="","",LEFT(REPLACE('Cause-Result'!U24,1,1,"T"),LEN('Cause-Result'!U24)-3))</f>
        <v/>
      </c>
      <c r="V24" s="13" t="str">
        <f>IF('Cause-Result'!V24="","",LEFT(REPLACE('Cause-Result'!V24,1,1,"T"),LEN('Cause-Result'!V24)-3))</f>
        <v/>
      </c>
      <c r="W24" s="13" t="str">
        <f>IF('Cause-Result'!W24="","",LEFT(REPLACE('Cause-Result'!W24,1,1,"T"),LEN('Cause-Result'!W24)-3))</f>
        <v/>
      </c>
      <c r="X24" s="13" t="str">
        <f>IF('Cause-Result'!X24="","",LEFT(REPLACE('Cause-Result'!X24,1,1,"T"),LEN('Cause-Result'!X24)-3))</f>
        <v/>
      </c>
      <c r="Y24" s="13" t="str">
        <f>IF('Cause-Result'!Y24="","",LEFT(REPLACE('Cause-Result'!Y24,1,1,"T"),LEN('Cause-Result'!Y24)-3))</f>
        <v/>
      </c>
      <c r="Z24" s="13" t="str">
        <f>IF('Cause-Result'!Z24="","",LEFT(REPLACE('Cause-Result'!Z24,1,1,"T"),LEN('Cause-Result'!Z24)-3))</f>
        <v/>
      </c>
      <c r="AA24" s="13" t="str">
        <f>IF('Cause-Result'!AA24="","",LEFT(REPLACE('Cause-Result'!AA24,1,1,"T"),LEN('Cause-Result'!AA24)-3))</f>
        <v/>
      </c>
      <c r="AB24" s="13" t="str">
        <f>IF('Cause-Result'!AB24="","",LEFT(REPLACE('Cause-Result'!AB24,1,1,"T"),LEN('Cause-Result'!AB24)-3))</f>
        <v/>
      </c>
    </row>
    <row r="25">
      <c r="A25" s="7">
        <v>26.0</v>
      </c>
      <c r="B25" s="8" t="s">
        <v>50</v>
      </c>
      <c r="C25" s="9" t="s">
        <v>51</v>
      </c>
      <c r="D25" s="10" t="s">
        <v>50</v>
      </c>
      <c r="E25" s="13" t="str">
        <f>IF('Cause-Result'!E25="","",LEFT(REPLACE('Cause-Result'!E25,1,1,"T"),LEN('Cause-Result'!E25)-3))</f>
        <v/>
      </c>
      <c r="F25" s="13" t="str">
        <f>IF('Cause-Result'!F25="","",LEFT(REPLACE('Cause-Result'!F25,1,1,"T"),LEN('Cause-Result'!F25)-3))</f>
        <v/>
      </c>
      <c r="G25" s="13" t="str">
        <f>IF('Cause-Result'!G25="","",LEFT(REPLACE('Cause-Result'!G25,1,1,"T"),LEN('Cause-Result'!G25)-3))</f>
        <v/>
      </c>
      <c r="H25" s="13" t="str">
        <f>IF('Cause-Result'!H25="","",LEFT(REPLACE('Cause-Result'!H25,1,1,"T"),LEN('Cause-Result'!H25)-3))</f>
        <v/>
      </c>
      <c r="I25" s="13" t="str">
        <f>IF('Cause-Result'!I25="","",LEFT(REPLACE('Cause-Result'!I25,1,1,"T"),LEN('Cause-Result'!I25)-3))</f>
        <v/>
      </c>
      <c r="J25" s="13" t="str">
        <f>IF('Cause-Result'!J25="","",LEFT(REPLACE('Cause-Result'!J25,1,1,"T"),LEN('Cause-Result'!J25)-3))</f>
        <v/>
      </c>
      <c r="K25" s="13" t="str">
        <f>IF('Cause-Result'!K25="","",LEFT(REPLACE('Cause-Result'!K25,1,1,"T"),LEN('Cause-Result'!K25)-3))</f>
        <v/>
      </c>
      <c r="L25" s="13" t="str">
        <f>IF('Cause-Result'!L25="","",LEFT(REPLACE('Cause-Result'!L25,1,1,"T"),LEN('Cause-Result'!L25)-3))</f>
        <v/>
      </c>
      <c r="M25" s="13" t="str">
        <f>IF('Cause-Result'!M25="","",LEFT(REPLACE('Cause-Result'!M25,1,1,"T"),LEN('Cause-Result'!M25)-3))</f>
        <v/>
      </c>
      <c r="N25" s="13" t="str">
        <f>IF('Cause-Result'!N25="","",LEFT(REPLACE('Cause-Result'!N25,1,1,"T"),LEN('Cause-Result'!N25)-3))</f>
        <v/>
      </c>
      <c r="O25" s="13" t="str">
        <f>IF('Cause-Result'!O25="","",LEFT(REPLACE('Cause-Result'!O25,1,1,"T"),LEN('Cause-Result'!O25)-3))</f>
        <v/>
      </c>
      <c r="P25" s="13" t="str">
        <f>IF('Cause-Result'!P25="","",LEFT(REPLACE('Cause-Result'!P25,1,1,"T"),LEN('Cause-Result'!P25)-3))</f>
        <v/>
      </c>
      <c r="Q25" s="13" t="str">
        <f>IF('Cause-Result'!Q25="","",LEFT(REPLACE('Cause-Result'!Q25,1,1,"T"),LEN('Cause-Result'!Q25)-3))</f>
        <v/>
      </c>
      <c r="R25" s="13" t="str">
        <f>IF('Cause-Result'!R25="","",LEFT(REPLACE('Cause-Result'!R25,1,1,"T"),LEN('Cause-Result'!R25)-3))</f>
        <v/>
      </c>
      <c r="S25" s="13" t="str">
        <f>IF('Cause-Result'!S25="","",LEFT(REPLACE('Cause-Result'!S25,1,1,"T"),LEN('Cause-Result'!S25)-3))</f>
        <v/>
      </c>
      <c r="T25" s="13" t="str">
        <f>IF('Cause-Result'!T25="","",LEFT(REPLACE('Cause-Result'!T25,1,1,"T"),LEN('Cause-Result'!T25)-3))</f>
        <v/>
      </c>
      <c r="U25" s="13" t="str">
        <f>IF('Cause-Result'!U25="","",LEFT(REPLACE('Cause-Result'!U25,1,1,"T"),LEN('Cause-Result'!U25)-3))</f>
        <v/>
      </c>
      <c r="V25" s="13" t="str">
        <f>IF('Cause-Result'!V25="","",LEFT(REPLACE('Cause-Result'!V25,1,1,"T"),LEN('Cause-Result'!V25)-3))</f>
        <v/>
      </c>
      <c r="W25" s="13" t="str">
        <f>IF('Cause-Result'!W25="","",LEFT(REPLACE('Cause-Result'!W25,1,1,"T"),LEN('Cause-Result'!W25)-3))</f>
        <v/>
      </c>
      <c r="X25" s="13" t="str">
        <f>IF('Cause-Result'!X25="","",LEFT(REPLACE('Cause-Result'!X25,1,1,"T"),LEN('Cause-Result'!X25)-3))</f>
        <v/>
      </c>
      <c r="Y25" s="13" t="str">
        <f>IF('Cause-Result'!Y25="","",LEFT(REPLACE('Cause-Result'!Y25,1,1,"T"),LEN('Cause-Result'!Y25)-3))</f>
        <v/>
      </c>
      <c r="Z25" s="13" t="str">
        <f>IF('Cause-Result'!Z25="","",LEFT(REPLACE('Cause-Result'!Z25,1,1,"T"),LEN('Cause-Result'!Z25)-3))</f>
        <v/>
      </c>
      <c r="AA25" s="13" t="str">
        <f>IF('Cause-Result'!AA25="","",LEFT(REPLACE('Cause-Result'!AA25,1,1,"T"),LEN('Cause-Result'!AA25)-3))</f>
        <v/>
      </c>
      <c r="AB25" s="13" t="str">
        <f>IF('Cause-Result'!AB25="","",LEFT(REPLACE('Cause-Result'!AB25,1,1,"T"),LEN('Cause-Result'!AB25)-3))</f>
        <v/>
      </c>
    </row>
    <row r="26">
      <c r="A26" s="7">
        <v>27.0</v>
      </c>
      <c r="B26" s="8" t="s">
        <v>52</v>
      </c>
      <c r="C26" s="9" t="s">
        <v>53</v>
      </c>
      <c r="D26" s="10" t="s">
        <v>52</v>
      </c>
      <c r="E26" s="13" t="str">
        <f>IF('Cause-Result'!E26="","",LEFT(REPLACE('Cause-Result'!E26,1,1,"T"),LEN('Cause-Result'!E26)-3))</f>
        <v/>
      </c>
      <c r="F26" s="13" t="str">
        <f>IF('Cause-Result'!F26="","",LEFT(REPLACE('Cause-Result'!F26,1,1,"T"),LEN('Cause-Result'!F26)-3))</f>
        <v/>
      </c>
      <c r="G26" s="13" t="str">
        <f>IF('Cause-Result'!G26="","",LEFT(REPLACE('Cause-Result'!G26,1,1,"T"),LEN('Cause-Result'!G26)-3))</f>
        <v/>
      </c>
      <c r="H26" s="13" t="str">
        <f>IF('Cause-Result'!H26="","",LEFT(REPLACE('Cause-Result'!H26,1,1,"T"),LEN('Cause-Result'!H26)-3))</f>
        <v/>
      </c>
      <c r="I26" s="13" t="str">
        <f>IF('Cause-Result'!I26="","",LEFT(REPLACE('Cause-Result'!I26,1,1,"T"),LEN('Cause-Result'!I26)-3))</f>
        <v/>
      </c>
      <c r="J26" s="13" t="str">
        <f>IF('Cause-Result'!J26="","",LEFT(REPLACE('Cause-Result'!J26,1,1,"T"),LEN('Cause-Result'!J26)-3))</f>
        <v/>
      </c>
      <c r="K26" s="13" t="str">
        <f>IF('Cause-Result'!K26="","",LEFT(REPLACE('Cause-Result'!K26,1,1,"T"),LEN('Cause-Result'!K26)-3))</f>
        <v/>
      </c>
      <c r="L26" s="13" t="str">
        <f>IF('Cause-Result'!L26="","",LEFT(REPLACE('Cause-Result'!L26,1,1,"T"),LEN('Cause-Result'!L26)-3))</f>
        <v/>
      </c>
      <c r="M26" s="13" t="str">
        <f>IF('Cause-Result'!M26="","",LEFT(REPLACE('Cause-Result'!M26,1,1,"T"),LEN('Cause-Result'!M26)-3))</f>
        <v/>
      </c>
      <c r="N26" s="13" t="str">
        <f>IF('Cause-Result'!N26="","",LEFT(REPLACE('Cause-Result'!N26,1,1,"T"),LEN('Cause-Result'!N26)-3))</f>
        <v/>
      </c>
      <c r="O26" s="13" t="str">
        <f>IF('Cause-Result'!O26="","",LEFT(REPLACE('Cause-Result'!O26,1,1,"T"),LEN('Cause-Result'!O26)-3))</f>
        <v/>
      </c>
      <c r="P26" s="13" t="str">
        <f>IF('Cause-Result'!P26="","",LEFT(REPLACE('Cause-Result'!P26,1,1,"T"),LEN('Cause-Result'!P26)-3))</f>
        <v/>
      </c>
      <c r="Q26" s="13" t="str">
        <f>IF('Cause-Result'!Q26="","",LEFT(REPLACE('Cause-Result'!Q26,1,1,"T"),LEN('Cause-Result'!Q26)-3))</f>
        <v/>
      </c>
      <c r="R26" s="13" t="str">
        <f>IF('Cause-Result'!R26="","",LEFT(REPLACE('Cause-Result'!R26,1,1,"T"),LEN('Cause-Result'!R26)-3))</f>
        <v/>
      </c>
      <c r="S26" s="13" t="str">
        <f>IF('Cause-Result'!S26="","",LEFT(REPLACE('Cause-Result'!S26,1,1,"T"),LEN('Cause-Result'!S26)-3))</f>
        <v/>
      </c>
      <c r="T26" s="13" t="str">
        <f>IF('Cause-Result'!T26="","",LEFT(REPLACE('Cause-Result'!T26,1,1,"T"),LEN('Cause-Result'!T26)-3))</f>
        <v/>
      </c>
      <c r="U26" s="13" t="str">
        <f>IF('Cause-Result'!U26="","",LEFT(REPLACE('Cause-Result'!U26,1,1,"T"),LEN('Cause-Result'!U26)-3))</f>
        <v/>
      </c>
      <c r="V26" s="13" t="str">
        <f>IF('Cause-Result'!V26="","",LEFT(REPLACE('Cause-Result'!V26,1,1,"T"),LEN('Cause-Result'!V26)-3))</f>
        <v/>
      </c>
      <c r="W26" s="13" t="str">
        <f>IF('Cause-Result'!W26="","",LEFT(REPLACE('Cause-Result'!W26,1,1,"T"),LEN('Cause-Result'!W26)-3))</f>
        <v/>
      </c>
      <c r="X26" s="13" t="str">
        <f>IF('Cause-Result'!X26="","",LEFT(REPLACE('Cause-Result'!X26,1,1,"T"),LEN('Cause-Result'!X26)-3))</f>
        <v/>
      </c>
      <c r="Y26" s="13" t="str">
        <f>IF('Cause-Result'!Y26="","",LEFT(REPLACE('Cause-Result'!Y26,1,1,"T"),LEN('Cause-Result'!Y26)-3))</f>
        <v/>
      </c>
      <c r="Z26" s="13" t="str">
        <f>IF('Cause-Result'!Z26="","",LEFT(REPLACE('Cause-Result'!Z26,1,1,"T"),LEN('Cause-Result'!Z26)-3))</f>
        <v/>
      </c>
      <c r="AA26" s="13" t="str">
        <f>IF('Cause-Result'!AA26="","",LEFT(REPLACE('Cause-Result'!AA26,1,1,"T"),LEN('Cause-Result'!AA26)-3))</f>
        <v/>
      </c>
      <c r="AB26" s="13" t="str">
        <f>IF('Cause-Result'!AB26="","",LEFT(REPLACE('Cause-Result'!AB26,1,1,"T"),LEN('Cause-Result'!AB26)-3))</f>
        <v/>
      </c>
    </row>
    <row r="27">
      <c r="A27" s="7">
        <v>28.0</v>
      </c>
      <c r="B27" s="8" t="s">
        <v>54</v>
      </c>
      <c r="C27" s="9" t="s">
        <v>55</v>
      </c>
      <c r="D27" s="10" t="s">
        <v>54</v>
      </c>
      <c r="E27" s="13" t="str">
        <f>IF('Cause-Result'!E27="","",LEFT(REPLACE('Cause-Result'!E27,1,1,"T"),LEN('Cause-Result'!E27)-3))</f>
        <v/>
      </c>
      <c r="F27" s="13" t="str">
        <f>IF('Cause-Result'!F27="","",LEFT(REPLACE('Cause-Result'!F27,1,1,"T"),LEN('Cause-Result'!F27)-3))</f>
        <v/>
      </c>
      <c r="G27" s="13" t="str">
        <f>IF('Cause-Result'!G27="","",LEFT(REPLACE('Cause-Result'!G27,1,1,"T"),LEN('Cause-Result'!G27)-3))</f>
        <v/>
      </c>
      <c r="H27" s="13" t="str">
        <f>IF('Cause-Result'!H27="","",LEFT(REPLACE('Cause-Result'!H27,1,1,"T"),LEN('Cause-Result'!H27)-3))</f>
        <v/>
      </c>
      <c r="I27" s="13" t="str">
        <f>IF('Cause-Result'!I27="","",LEFT(REPLACE('Cause-Result'!I27,1,1,"T"),LEN('Cause-Result'!I27)-3))</f>
        <v/>
      </c>
      <c r="J27" s="13" t="str">
        <f>IF('Cause-Result'!J27="","",LEFT(REPLACE('Cause-Result'!J27,1,1,"T"),LEN('Cause-Result'!J27)-3))</f>
        <v/>
      </c>
      <c r="K27" s="13" t="str">
        <f>IF('Cause-Result'!K27="","",LEFT(REPLACE('Cause-Result'!K27,1,1,"T"),LEN('Cause-Result'!K27)-3))</f>
        <v/>
      </c>
      <c r="L27" s="13" t="str">
        <f>IF('Cause-Result'!L27="","",LEFT(REPLACE('Cause-Result'!L27,1,1,"T"),LEN('Cause-Result'!L27)-3))</f>
        <v/>
      </c>
      <c r="M27" s="13" t="str">
        <f>IF('Cause-Result'!M27="","",LEFT(REPLACE('Cause-Result'!M27,1,1,"T"),LEN('Cause-Result'!M27)-3))</f>
        <v/>
      </c>
      <c r="N27" s="13" t="str">
        <f>IF('Cause-Result'!N27="","",LEFT(REPLACE('Cause-Result'!N27,1,1,"T"),LEN('Cause-Result'!N27)-3))</f>
        <v/>
      </c>
      <c r="O27" s="13" t="str">
        <f>IF('Cause-Result'!O27="","",LEFT(REPLACE('Cause-Result'!O27,1,1,"T"),LEN('Cause-Result'!O27)-3))</f>
        <v/>
      </c>
      <c r="P27" s="13" t="str">
        <f>IF('Cause-Result'!P27="","",LEFT(REPLACE('Cause-Result'!P27,1,1,"T"),LEN('Cause-Result'!P27)-3))</f>
        <v/>
      </c>
      <c r="Q27" s="13" t="str">
        <f>IF('Cause-Result'!Q27="","",LEFT(REPLACE('Cause-Result'!Q27,1,1,"T"),LEN('Cause-Result'!Q27)-3))</f>
        <v/>
      </c>
      <c r="R27" s="13" t="str">
        <f>IF('Cause-Result'!R27="","",LEFT(REPLACE('Cause-Result'!R27,1,1,"T"),LEN('Cause-Result'!R27)-3))</f>
        <v/>
      </c>
      <c r="S27" s="13" t="str">
        <f>IF('Cause-Result'!S27="","",LEFT(REPLACE('Cause-Result'!S27,1,1,"T"),LEN('Cause-Result'!S27)-3))</f>
        <v/>
      </c>
      <c r="T27" s="13" t="str">
        <f>IF('Cause-Result'!T27="","",LEFT(REPLACE('Cause-Result'!T27,1,1,"T"),LEN('Cause-Result'!T27)-3))</f>
        <v/>
      </c>
      <c r="U27" s="13" t="str">
        <f>IF('Cause-Result'!U27="","",LEFT(REPLACE('Cause-Result'!U27,1,1,"T"),LEN('Cause-Result'!U27)-3))</f>
        <v/>
      </c>
      <c r="V27" s="13" t="str">
        <f>IF('Cause-Result'!V27="","",LEFT(REPLACE('Cause-Result'!V27,1,1,"T"),LEN('Cause-Result'!V27)-3))</f>
        <v/>
      </c>
      <c r="W27" s="13" t="str">
        <f>IF('Cause-Result'!W27="","",LEFT(REPLACE('Cause-Result'!W27,1,1,"T"),LEN('Cause-Result'!W27)-3))</f>
        <v/>
      </c>
      <c r="X27" s="13" t="str">
        <f>IF('Cause-Result'!X27="","",LEFT(REPLACE('Cause-Result'!X27,1,1,"T"),LEN('Cause-Result'!X27)-3))</f>
        <v/>
      </c>
      <c r="Y27" s="13" t="str">
        <f>IF('Cause-Result'!Y27="","",LEFT(REPLACE('Cause-Result'!Y27,1,1,"T"),LEN('Cause-Result'!Y27)-3))</f>
        <v/>
      </c>
      <c r="Z27" s="13" t="str">
        <f>IF('Cause-Result'!Z27="","",LEFT(REPLACE('Cause-Result'!Z27,1,1,"T"),LEN('Cause-Result'!Z27)-3))</f>
        <v/>
      </c>
      <c r="AA27" s="13" t="str">
        <f>IF('Cause-Result'!AA27="","",LEFT(REPLACE('Cause-Result'!AA27,1,1,"T"),LEN('Cause-Result'!AA27)-3))</f>
        <v/>
      </c>
      <c r="AB27" s="13" t="str">
        <f>IF('Cause-Result'!AB27="","",LEFT(REPLACE('Cause-Result'!AB27,1,1,"T"),LEN('Cause-Result'!AB27)-3))</f>
        <v/>
      </c>
    </row>
    <row r="28">
      <c r="A28" s="7">
        <v>29.0</v>
      </c>
      <c r="B28" s="8" t="s">
        <v>56</v>
      </c>
      <c r="C28" s="9" t="s">
        <v>57</v>
      </c>
      <c r="D28" s="10" t="s">
        <v>56</v>
      </c>
      <c r="E28" s="13" t="str">
        <f>IF('Cause-Result'!E28="","",LEFT(REPLACE('Cause-Result'!E28,1,1,"T"),LEN('Cause-Result'!E28)-3))</f>
        <v>T16</v>
      </c>
      <c r="F28" s="13" t="str">
        <f>IF('Cause-Result'!F28="","",LEFT(REPLACE('Cause-Result'!F28,1,1,"T"),LEN('Cause-Result'!F28)-3))</f>
        <v>T16</v>
      </c>
      <c r="G28" s="13" t="str">
        <f>IF('Cause-Result'!G28="","",LEFT(REPLACE('Cause-Result'!G28,1,1,"T"),LEN('Cause-Result'!G28)-3))</f>
        <v>T27</v>
      </c>
      <c r="H28" s="13" t="str">
        <f>IF('Cause-Result'!H28="","",LEFT(REPLACE('Cause-Result'!H28,1,1,"T"),LEN('Cause-Result'!H28)-3))</f>
        <v>T26</v>
      </c>
      <c r="I28" s="13" t="str">
        <f>IF('Cause-Result'!I28="","",LEFT(REPLACE('Cause-Result'!I28,1,1,"T"),LEN('Cause-Result'!I28)-3))</f>
        <v>T25</v>
      </c>
      <c r="J28" s="13" t="str">
        <f>IF('Cause-Result'!J28="","",LEFT(REPLACE('Cause-Result'!J28,1,1,"T"),LEN('Cause-Result'!J28)-3))</f>
        <v>T26</v>
      </c>
      <c r="K28" s="13" t="str">
        <f>IF('Cause-Result'!K28="","",LEFT(REPLACE('Cause-Result'!K28,1,1,"T"),LEN('Cause-Result'!K28)-3))</f>
        <v>T25</v>
      </c>
      <c r="L28" s="13" t="str">
        <f>IF('Cause-Result'!L28="","",LEFT(REPLACE('Cause-Result'!L28,1,1,"T"),LEN('Cause-Result'!L28)-3))</f>
        <v>T30</v>
      </c>
      <c r="M28" s="13" t="str">
        <f>IF('Cause-Result'!M28="","",LEFT(REPLACE('Cause-Result'!M28,1,1,"T"),LEN('Cause-Result'!M28)-3))</f>
        <v>T30</v>
      </c>
      <c r="N28" s="13" t="str">
        <f>IF('Cause-Result'!N28="","",LEFT(REPLACE('Cause-Result'!N28,1,1,"T"),LEN('Cause-Result'!N28)-3))</f>
        <v>T30</v>
      </c>
      <c r="O28" s="13" t="str">
        <f>IF('Cause-Result'!O28="","",LEFT(REPLACE('Cause-Result'!O28,1,1,"T"),LEN('Cause-Result'!O28)-3))</f>
        <v>T29</v>
      </c>
      <c r="P28" s="13" t="str">
        <f>IF('Cause-Result'!P28="","",LEFT(REPLACE('Cause-Result'!P28,1,1,"T"),LEN('Cause-Result'!P28)-3))</f>
        <v>T31</v>
      </c>
      <c r="Q28" s="13" t="str">
        <f>IF('Cause-Result'!Q28="","",LEFT(REPLACE('Cause-Result'!Q28,1,1,"T"),LEN('Cause-Result'!Q28)-3))</f>
        <v/>
      </c>
      <c r="R28" s="13" t="str">
        <f>IF('Cause-Result'!R28="","",LEFT(REPLACE('Cause-Result'!R28,1,1,"T"),LEN('Cause-Result'!R28)-3))</f>
        <v/>
      </c>
      <c r="S28" s="13" t="str">
        <f>IF('Cause-Result'!S28="","",LEFT(REPLACE('Cause-Result'!S28,1,1,"T"),LEN('Cause-Result'!S28)-3))</f>
        <v/>
      </c>
      <c r="T28" s="13" t="str">
        <f>IF('Cause-Result'!T28="","",LEFT(REPLACE('Cause-Result'!T28,1,1,"T"),LEN('Cause-Result'!T28)-3))</f>
        <v/>
      </c>
      <c r="U28" s="13" t="str">
        <f>IF('Cause-Result'!U28="","",LEFT(REPLACE('Cause-Result'!U28,1,1,"T"),LEN('Cause-Result'!U28)-3))</f>
        <v/>
      </c>
      <c r="V28" s="13" t="str">
        <f>IF('Cause-Result'!V28="","",LEFT(REPLACE('Cause-Result'!V28,1,1,"T"),LEN('Cause-Result'!V28)-3))</f>
        <v/>
      </c>
      <c r="W28" s="13" t="str">
        <f>IF('Cause-Result'!W28="","",LEFT(REPLACE('Cause-Result'!W28,1,1,"T"),LEN('Cause-Result'!W28)-3))</f>
        <v/>
      </c>
      <c r="X28" s="13" t="str">
        <f>IF('Cause-Result'!X28="","",LEFT(REPLACE('Cause-Result'!X28,1,1,"T"),LEN('Cause-Result'!X28)-3))</f>
        <v/>
      </c>
      <c r="Y28" s="13" t="str">
        <f>IF('Cause-Result'!Y28="","",LEFT(REPLACE('Cause-Result'!Y28,1,1,"T"),LEN('Cause-Result'!Y28)-3))</f>
        <v/>
      </c>
      <c r="Z28" s="13" t="str">
        <f>IF('Cause-Result'!Z28="","",LEFT(REPLACE('Cause-Result'!Z28,1,1,"T"),LEN('Cause-Result'!Z28)-3))</f>
        <v/>
      </c>
      <c r="AA28" s="13" t="str">
        <f>IF('Cause-Result'!AA28="","",LEFT(REPLACE('Cause-Result'!AA28,1,1,"T"),LEN('Cause-Result'!AA28)-3))</f>
        <v/>
      </c>
      <c r="AB28" s="13" t="str">
        <f>IF('Cause-Result'!AB28="","",LEFT(REPLACE('Cause-Result'!AB28,1,1,"T"),LEN('Cause-Result'!AB28)-3))</f>
        <v/>
      </c>
    </row>
    <row r="29">
      <c r="A29" s="7">
        <v>30.0</v>
      </c>
      <c r="B29" s="8" t="s">
        <v>58</v>
      </c>
      <c r="C29" s="9" t="s">
        <v>59</v>
      </c>
      <c r="D29" s="10" t="s">
        <v>58</v>
      </c>
      <c r="E29" s="13" t="str">
        <f>IF('Cause-Result'!E29="","",LEFT(REPLACE('Cause-Result'!E29,1,1,"T"),LEN('Cause-Result'!E29)-3))</f>
        <v>T16</v>
      </c>
      <c r="F29" s="13" t="str">
        <f>IF('Cause-Result'!F29="","",LEFT(REPLACE('Cause-Result'!F29,1,1,"T"),LEN('Cause-Result'!F29)-3))</f>
        <v>T16</v>
      </c>
      <c r="G29" s="13" t="str">
        <f>IF('Cause-Result'!G29="","",LEFT(REPLACE('Cause-Result'!G29,1,1,"T"),LEN('Cause-Result'!G29)-3))</f>
        <v>T31</v>
      </c>
      <c r="H29" s="13" t="str">
        <f>IF('Cause-Result'!H29="","",LEFT(REPLACE('Cause-Result'!H29,1,1,"T"),LEN('Cause-Result'!H29)-3))</f>
        <v>T27</v>
      </c>
      <c r="I29" s="13" t="str">
        <f>IF('Cause-Result'!I29="","",LEFT(REPLACE('Cause-Result'!I29,1,1,"T"),LEN('Cause-Result'!I29)-3))</f>
        <v>T26</v>
      </c>
      <c r="J29" s="13" t="str">
        <f>IF('Cause-Result'!J29="","",LEFT(REPLACE('Cause-Result'!J29,1,1,"T"),LEN('Cause-Result'!J29)-3))</f>
        <v>T25</v>
      </c>
      <c r="K29" s="13" t="str">
        <f>IF('Cause-Result'!K29="","",LEFT(REPLACE('Cause-Result'!K29,1,1,"T"),LEN('Cause-Result'!K29)-3))</f>
        <v>T26</v>
      </c>
      <c r="L29" s="13" t="str">
        <f>IF('Cause-Result'!L29="","",LEFT(REPLACE('Cause-Result'!L29,1,1,"T"),LEN('Cause-Result'!L29)-3))</f>
        <v>T25</v>
      </c>
      <c r="M29" s="13" t="str">
        <f>IF('Cause-Result'!M29="","",LEFT(REPLACE('Cause-Result'!M29,1,1,"T"),LEN('Cause-Result'!M29)-3))</f>
        <v>T30</v>
      </c>
      <c r="N29" s="13" t="str">
        <f>IF('Cause-Result'!N29="","",LEFT(REPLACE('Cause-Result'!N29,1,1,"T"),LEN('Cause-Result'!N29)-3))</f>
        <v>T30</v>
      </c>
      <c r="O29" s="13" t="str">
        <f>IF('Cause-Result'!O29="","",LEFT(REPLACE('Cause-Result'!O29,1,1,"T"),LEN('Cause-Result'!O29)-3))</f>
        <v>T30</v>
      </c>
      <c r="P29" s="13" t="str">
        <f>IF('Cause-Result'!P29="","",LEFT(REPLACE('Cause-Result'!P29,1,1,"T"),LEN('Cause-Result'!P29)-3))</f>
        <v>T29</v>
      </c>
      <c r="Q29" s="13" t="str">
        <f>IF('Cause-Result'!Q29="","",LEFT(REPLACE('Cause-Result'!Q29,1,1,"T"),LEN('Cause-Result'!Q29)-3))</f>
        <v>T31</v>
      </c>
      <c r="R29" s="13" t="str">
        <f>IF('Cause-Result'!R29="","",LEFT(REPLACE('Cause-Result'!R29,1,1,"T"),LEN('Cause-Result'!R29)-3))</f>
        <v/>
      </c>
      <c r="S29" s="13" t="str">
        <f>IF('Cause-Result'!S29="","",LEFT(REPLACE('Cause-Result'!S29,1,1,"T"),LEN('Cause-Result'!S29)-3))</f>
        <v/>
      </c>
      <c r="T29" s="13" t="str">
        <f>IF('Cause-Result'!T29="","",LEFT(REPLACE('Cause-Result'!T29,1,1,"T"),LEN('Cause-Result'!T29)-3))</f>
        <v/>
      </c>
      <c r="U29" s="13" t="str">
        <f>IF('Cause-Result'!U29="","",LEFT(REPLACE('Cause-Result'!U29,1,1,"T"),LEN('Cause-Result'!U29)-3))</f>
        <v/>
      </c>
      <c r="V29" s="13" t="str">
        <f>IF('Cause-Result'!V29="","",LEFT(REPLACE('Cause-Result'!V29,1,1,"T"),LEN('Cause-Result'!V29)-3))</f>
        <v/>
      </c>
      <c r="W29" s="13" t="str">
        <f>IF('Cause-Result'!W29="","",LEFT(REPLACE('Cause-Result'!W29,1,1,"T"),LEN('Cause-Result'!W29)-3))</f>
        <v/>
      </c>
      <c r="X29" s="13" t="str">
        <f>IF('Cause-Result'!X29="","",LEFT(REPLACE('Cause-Result'!X29,1,1,"T"),LEN('Cause-Result'!X29)-3))</f>
        <v/>
      </c>
      <c r="Y29" s="13" t="str">
        <f>IF('Cause-Result'!Y29="","",LEFT(REPLACE('Cause-Result'!Y29,1,1,"T"),LEN('Cause-Result'!Y29)-3))</f>
        <v/>
      </c>
      <c r="Z29" s="13" t="str">
        <f>IF('Cause-Result'!Z29="","",LEFT(REPLACE('Cause-Result'!Z29,1,1,"T"),LEN('Cause-Result'!Z29)-3))</f>
        <v/>
      </c>
      <c r="AA29" s="13" t="str">
        <f>IF('Cause-Result'!AA29="","",LEFT(REPLACE('Cause-Result'!AA29,1,1,"T"),LEN('Cause-Result'!AA29)-3))</f>
        <v/>
      </c>
      <c r="AB29" s="13" t="str">
        <f>IF('Cause-Result'!AB29="","",LEFT(REPLACE('Cause-Result'!AB29,1,1,"T"),LEN('Cause-Result'!AB29)-3))</f>
        <v/>
      </c>
    </row>
    <row r="30">
      <c r="A30" s="7">
        <v>31.0</v>
      </c>
      <c r="B30" s="8" t="s">
        <v>60</v>
      </c>
      <c r="C30" s="9" t="s">
        <v>61</v>
      </c>
      <c r="D30" s="10" t="s">
        <v>60</v>
      </c>
      <c r="E30" s="13" t="str">
        <f>IF('Cause-Result'!E30="","",LEFT(REPLACE('Cause-Result'!E30,1,1,"T"),LEN('Cause-Result'!E30)-3))</f>
        <v>T4</v>
      </c>
      <c r="F30" s="13" t="str">
        <f>IF('Cause-Result'!F30="","",LEFT(REPLACE('Cause-Result'!F30,1,1,"T"),LEN('Cause-Result'!F30)-3))</f>
        <v>T4</v>
      </c>
      <c r="G30" s="13" t="str">
        <f>IF('Cause-Result'!G30="","",LEFT(REPLACE('Cause-Result'!G30,1,1,"T"),LEN('Cause-Result'!G30)-3))</f>
        <v>T28</v>
      </c>
      <c r="H30" s="13" t="str">
        <f>IF('Cause-Result'!H30="","",LEFT(REPLACE('Cause-Result'!H30,1,1,"T"),LEN('Cause-Result'!H30)-3))</f>
        <v/>
      </c>
      <c r="I30" s="13" t="str">
        <f>IF('Cause-Result'!I30="","",LEFT(REPLACE('Cause-Result'!I30,1,1,"T"),LEN('Cause-Result'!I30)-3))</f>
        <v/>
      </c>
      <c r="J30" s="13" t="str">
        <f>IF('Cause-Result'!J30="","",LEFT(REPLACE('Cause-Result'!J30,1,1,"T"),LEN('Cause-Result'!J30)-3))</f>
        <v/>
      </c>
      <c r="K30" s="13" t="str">
        <f>IF('Cause-Result'!K30="","",LEFT(REPLACE('Cause-Result'!K30,1,1,"T"),LEN('Cause-Result'!K30)-3))</f>
        <v/>
      </c>
      <c r="L30" s="13" t="str">
        <f>IF('Cause-Result'!L30="","",LEFT(REPLACE('Cause-Result'!L30,1,1,"T"),LEN('Cause-Result'!L30)-3))</f>
        <v/>
      </c>
      <c r="M30" s="13" t="str">
        <f>IF('Cause-Result'!M30="","",LEFT(REPLACE('Cause-Result'!M30,1,1,"T"),LEN('Cause-Result'!M30)-3))</f>
        <v/>
      </c>
      <c r="N30" s="13" t="str">
        <f>IF('Cause-Result'!N30="","",LEFT(REPLACE('Cause-Result'!N30,1,1,"T"),LEN('Cause-Result'!N30)-3))</f>
        <v/>
      </c>
      <c r="O30" s="13" t="str">
        <f>IF('Cause-Result'!O30="","",LEFT(REPLACE('Cause-Result'!O30,1,1,"T"),LEN('Cause-Result'!O30)-3))</f>
        <v/>
      </c>
      <c r="P30" s="13" t="str">
        <f>IF('Cause-Result'!P30="","",LEFT(REPLACE('Cause-Result'!P30,1,1,"T"),LEN('Cause-Result'!P30)-3))</f>
        <v/>
      </c>
      <c r="Q30" s="13" t="str">
        <f>IF('Cause-Result'!Q30="","",LEFT(REPLACE('Cause-Result'!Q30,1,1,"T"),LEN('Cause-Result'!Q30)-3))</f>
        <v/>
      </c>
      <c r="R30" s="13" t="str">
        <f>IF('Cause-Result'!R30="","",LEFT(REPLACE('Cause-Result'!R30,1,1,"T"),LEN('Cause-Result'!R30)-3))</f>
        <v/>
      </c>
      <c r="S30" s="13" t="str">
        <f>IF('Cause-Result'!S30="","",LEFT(REPLACE('Cause-Result'!S30,1,1,"T"),LEN('Cause-Result'!S30)-3))</f>
        <v/>
      </c>
      <c r="T30" s="13" t="str">
        <f>IF('Cause-Result'!T30="","",LEFT(REPLACE('Cause-Result'!T30,1,1,"T"),LEN('Cause-Result'!T30)-3))</f>
        <v/>
      </c>
      <c r="U30" s="13" t="str">
        <f>IF('Cause-Result'!U30="","",LEFT(REPLACE('Cause-Result'!U30,1,1,"T"),LEN('Cause-Result'!U30)-3))</f>
        <v/>
      </c>
      <c r="V30" s="13" t="str">
        <f>IF('Cause-Result'!V30="","",LEFT(REPLACE('Cause-Result'!V30,1,1,"T"),LEN('Cause-Result'!V30)-3))</f>
        <v/>
      </c>
      <c r="W30" s="13" t="str">
        <f>IF('Cause-Result'!W30="","",LEFT(REPLACE('Cause-Result'!W30,1,1,"T"),LEN('Cause-Result'!W30)-3))</f>
        <v/>
      </c>
      <c r="X30" s="13" t="str">
        <f>IF('Cause-Result'!X30="","",LEFT(REPLACE('Cause-Result'!X30,1,1,"T"),LEN('Cause-Result'!X30)-3))</f>
        <v/>
      </c>
      <c r="Y30" s="13" t="str">
        <f>IF('Cause-Result'!Y30="","",LEFT(REPLACE('Cause-Result'!Y30,1,1,"T"),LEN('Cause-Result'!Y30)-3))</f>
        <v/>
      </c>
      <c r="Z30" s="13" t="str">
        <f>IF('Cause-Result'!Z30="","",LEFT(REPLACE('Cause-Result'!Z30,1,1,"T"),LEN('Cause-Result'!Z30)-3))</f>
        <v/>
      </c>
      <c r="AA30" s="13" t="str">
        <f>IF('Cause-Result'!AA30="","",LEFT(REPLACE('Cause-Result'!AA30,1,1,"T"),LEN('Cause-Result'!AA30)-3))</f>
        <v/>
      </c>
      <c r="AB30" s="13" t="str">
        <f>IF('Cause-Result'!AB30="","",LEFT(REPLACE('Cause-Result'!AB30,1,1,"T"),LEN('Cause-Result'!AB30)-3))</f>
        <v/>
      </c>
    </row>
    <row r="31">
      <c r="A31" s="7">
        <v>32.0</v>
      </c>
      <c r="B31" s="8" t="s">
        <v>62</v>
      </c>
      <c r="C31" s="9" t="s">
        <v>63</v>
      </c>
      <c r="D31" s="10" t="s">
        <v>62</v>
      </c>
      <c r="E31" s="13" t="str">
        <f>IF('Cause-Result'!E31="","",LEFT(REPLACE('Cause-Result'!E31,1,1,"T"),LEN('Cause-Result'!E31)-3))</f>
        <v>T4</v>
      </c>
      <c r="F31" s="13" t="str">
        <f>IF('Cause-Result'!F31="","",LEFT(REPLACE('Cause-Result'!F31,1,1,"T"),LEN('Cause-Result'!F31)-3))</f>
        <v>T4</v>
      </c>
      <c r="G31" s="13" t="str">
        <f>IF('Cause-Result'!G31="","",LEFT(REPLACE('Cause-Result'!G31,1,1,"T"),LEN('Cause-Result'!G31)-3))</f>
        <v>T28</v>
      </c>
      <c r="H31" s="13" t="str">
        <f>IF('Cause-Result'!H31="","",LEFT(REPLACE('Cause-Result'!H31,1,1,"T"),LEN('Cause-Result'!H31)-3))</f>
        <v/>
      </c>
      <c r="I31" s="13" t="str">
        <f>IF('Cause-Result'!I31="","",LEFT(REPLACE('Cause-Result'!I31,1,1,"T"),LEN('Cause-Result'!I31)-3))</f>
        <v/>
      </c>
      <c r="J31" s="13" t="str">
        <f>IF('Cause-Result'!J31="","",LEFT(REPLACE('Cause-Result'!J31,1,1,"T"),LEN('Cause-Result'!J31)-3))</f>
        <v/>
      </c>
      <c r="K31" s="13" t="str">
        <f>IF('Cause-Result'!K31="","",LEFT(REPLACE('Cause-Result'!K31,1,1,"T"),LEN('Cause-Result'!K31)-3))</f>
        <v/>
      </c>
      <c r="L31" s="13" t="str">
        <f>IF('Cause-Result'!L31="","",LEFT(REPLACE('Cause-Result'!L31,1,1,"T"),LEN('Cause-Result'!L31)-3))</f>
        <v/>
      </c>
      <c r="M31" s="13" t="str">
        <f>IF('Cause-Result'!M31="","",LEFT(REPLACE('Cause-Result'!M31,1,1,"T"),LEN('Cause-Result'!M31)-3))</f>
        <v/>
      </c>
      <c r="N31" s="13" t="str">
        <f>IF('Cause-Result'!N31="","",LEFT(REPLACE('Cause-Result'!N31,1,1,"T"),LEN('Cause-Result'!N31)-3))</f>
        <v/>
      </c>
      <c r="O31" s="13" t="str">
        <f>IF('Cause-Result'!O31="","",LEFT(REPLACE('Cause-Result'!O31,1,1,"T"),LEN('Cause-Result'!O31)-3))</f>
        <v/>
      </c>
      <c r="P31" s="13" t="str">
        <f>IF('Cause-Result'!P31="","",LEFT(REPLACE('Cause-Result'!P31,1,1,"T"),LEN('Cause-Result'!P31)-3))</f>
        <v/>
      </c>
      <c r="Q31" s="13" t="str">
        <f>IF('Cause-Result'!Q31="","",LEFT(REPLACE('Cause-Result'!Q31,1,1,"T"),LEN('Cause-Result'!Q31)-3))</f>
        <v/>
      </c>
      <c r="R31" s="13" t="str">
        <f>IF('Cause-Result'!R31="","",LEFT(REPLACE('Cause-Result'!R31,1,1,"T"),LEN('Cause-Result'!R31)-3))</f>
        <v/>
      </c>
      <c r="S31" s="13" t="str">
        <f>IF('Cause-Result'!S31="","",LEFT(REPLACE('Cause-Result'!S31,1,1,"T"),LEN('Cause-Result'!S31)-3))</f>
        <v/>
      </c>
      <c r="T31" s="13" t="str">
        <f>IF('Cause-Result'!T31="","",LEFT(REPLACE('Cause-Result'!T31,1,1,"T"),LEN('Cause-Result'!T31)-3))</f>
        <v/>
      </c>
      <c r="U31" s="13" t="str">
        <f>IF('Cause-Result'!U31="","",LEFT(REPLACE('Cause-Result'!U31,1,1,"T"),LEN('Cause-Result'!U31)-3))</f>
        <v/>
      </c>
      <c r="V31" s="13" t="str">
        <f>IF('Cause-Result'!V31="","",LEFT(REPLACE('Cause-Result'!V31,1,1,"T"),LEN('Cause-Result'!V31)-3))</f>
        <v/>
      </c>
      <c r="W31" s="13" t="str">
        <f>IF('Cause-Result'!W31="","",LEFT(REPLACE('Cause-Result'!W31,1,1,"T"),LEN('Cause-Result'!W31)-3))</f>
        <v/>
      </c>
      <c r="X31" s="13" t="str">
        <f>IF('Cause-Result'!X31="","",LEFT(REPLACE('Cause-Result'!X31,1,1,"T"),LEN('Cause-Result'!X31)-3))</f>
        <v/>
      </c>
      <c r="Y31" s="13" t="str">
        <f>IF('Cause-Result'!Y31="","",LEFT(REPLACE('Cause-Result'!Y31,1,1,"T"),LEN('Cause-Result'!Y31)-3))</f>
        <v/>
      </c>
      <c r="Z31" s="13" t="str">
        <f>IF('Cause-Result'!Z31="","",LEFT(REPLACE('Cause-Result'!Z31,1,1,"T"),LEN('Cause-Result'!Z31)-3))</f>
        <v/>
      </c>
      <c r="AA31" s="13" t="str">
        <f>IF('Cause-Result'!AA31="","",LEFT(REPLACE('Cause-Result'!AA31,1,1,"T"),LEN('Cause-Result'!AA31)-3))</f>
        <v/>
      </c>
      <c r="AB31" s="13" t="str">
        <f>IF('Cause-Result'!AB31="","",LEFT(REPLACE('Cause-Result'!AB31,1,1,"T"),LEN('Cause-Result'!AB31)-3))</f>
        <v/>
      </c>
    </row>
    <row r="32">
      <c r="A32" s="7">
        <v>33.0</v>
      </c>
      <c r="B32" s="8" t="s">
        <v>64</v>
      </c>
      <c r="C32" s="9" t="s">
        <v>65</v>
      </c>
      <c r="D32" s="10" t="s">
        <v>64</v>
      </c>
      <c r="E32" s="13" t="str">
        <f>IF('Cause-Result'!E32="","",LEFT(REPLACE('Cause-Result'!E32,1,1,"T"),LEN('Cause-Result'!E32)-3))</f>
        <v>T10</v>
      </c>
      <c r="F32" s="13" t="str">
        <f>IF('Cause-Result'!F32="","",LEFT(REPLACE('Cause-Result'!F32,1,1,"T"),LEN('Cause-Result'!F32)-3))</f>
        <v>T11</v>
      </c>
      <c r="G32" s="13" t="str">
        <f>IF('Cause-Result'!G32="","",LEFT(REPLACE('Cause-Result'!G32,1,1,"T"),LEN('Cause-Result'!G32)-3))</f>
        <v>T9</v>
      </c>
      <c r="H32" s="13" t="str">
        <f>IF('Cause-Result'!H32="","",LEFT(REPLACE('Cause-Result'!H32,1,1,"T"),LEN('Cause-Result'!H32)-3))</f>
        <v>T7</v>
      </c>
      <c r="I32" s="13" t="str">
        <f>IF('Cause-Result'!I32="","",LEFT(REPLACE('Cause-Result'!I32,1,1,"T"),LEN('Cause-Result'!I32)-3))</f>
        <v>T22</v>
      </c>
      <c r="J32" s="13" t="str">
        <f>IF('Cause-Result'!J32="","",LEFT(REPLACE('Cause-Result'!J32,1,1,"T"),LEN('Cause-Result'!J32)-3))</f>
        <v>T31</v>
      </c>
      <c r="K32" s="13" t="str">
        <f>IF('Cause-Result'!K32="","",LEFT(REPLACE('Cause-Result'!K32,1,1,"T"),LEN('Cause-Result'!K32)-3))</f>
        <v>T30</v>
      </c>
      <c r="L32" s="13" t="str">
        <f>IF('Cause-Result'!L32="","",LEFT(REPLACE('Cause-Result'!L32,1,1,"T"),LEN('Cause-Result'!L32)-3))</f>
        <v>T30</v>
      </c>
      <c r="M32" s="13" t="str">
        <f>IF('Cause-Result'!M32="","",LEFT(REPLACE('Cause-Result'!M32,1,1,"T"),LEN('Cause-Result'!M32)-3))</f>
        <v>T29</v>
      </c>
      <c r="N32" s="13" t="str">
        <f>IF('Cause-Result'!N32="","",LEFT(REPLACE('Cause-Result'!N32,1,1,"T"),LEN('Cause-Result'!N32)-3))</f>
        <v>T23</v>
      </c>
      <c r="O32" s="13" t="str">
        <f>IF('Cause-Result'!O32="","",LEFT(REPLACE('Cause-Result'!O32,1,1,"T"),LEN('Cause-Result'!O32)-3))</f>
        <v>T24</v>
      </c>
      <c r="P32" s="13" t="str">
        <f>IF('Cause-Result'!P32="","",LEFT(REPLACE('Cause-Result'!P32,1,1,"T"),LEN('Cause-Result'!P32)-3))</f>
        <v>T23</v>
      </c>
      <c r="Q32" s="13" t="str">
        <f>IF('Cause-Result'!Q32="","",LEFT(REPLACE('Cause-Result'!Q32,1,1,"T"),LEN('Cause-Result'!Q32)-3))</f>
        <v>T24</v>
      </c>
      <c r="R32" s="13" t="str">
        <f>IF('Cause-Result'!R32="","",LEFT(REPLACE('Cause-Result'!R32,1,1,"T"),LEN('Cause-Result'!R32)-3))</f>
        <v>T23</v>
      </c>
      <c r="S32" s="13" t="str">
        <f>IF('Cause-Result'!S32="","",LEFT(REPLACE('Cause-Result'!S32,1,1,"T"),LEN('Cause-Result'!S32)-3))</f>
        <v>T24</v>
      </c>
      <c r="T32" s="13" t="str">
        <f>IF('Cause-Result'!T32="","",LEFT(REPLACE('Cause-Result'!T32,1,1,"T"),LEN('Cause-Result'!T32)-3))</f>
        <v>T23</v>
      </c>
      <c r="U32" s="13" t="str">
        <f>IF('Cause-Result'!U32="","",LEFT(REPLACE('Cause-Result'!U32,1,1,"T"),LEN('Cause-Result'!U32)-3))</f>
        <v>T24</v>
      </c>
      <c r="V32" s="13" t="str">
        <f>IF('Cause-Result'!V32="","",LEFT(REPLACE('Cause-Result'!V32,1,1,"T"),LEN('Cause-Result'!V32)-3))</f>
        <v/>
      </c>
      <c r="W32" s="13" t="str">
        <f>IF('Cause-Result'!W32="","",LEFT(REPLACE('Cause-Result'!W32,1,1,"T"),LEN('Cause-Result'!W32)-3))</f>
        <v/>
      </c>
      <c r="X32" s="13" t="str">
        <f>IF('Cause-Result'!X32="","",LEFT(REPLACE('Cause-Result'!X32,1,1,"T"),LEN('Cause-Result'!X32)-3))</f>
        <v/>
      </c>
      <c r="Y32" s="13" t="str">
        <f>IF('Cause-Result'!Y32="","",LEFT(REPLACE('Cause-Result'!Y32,1,1,"T"),LEN('Cause-Result'!Y32)-3))</f>
        <v/>
      </c>
      <c r="Z32" s="13" t="str">
        <f>IF('Cause-Result'!Z32="","",LEFT(REPLACE('Cause-Result'!Z32,1,1,"T"),LEN('Cause-Result'!Z32)-3))</f>
        <v/>
      </c>
      <c r="AA32" s="13" t="str">
        <f>IF('Cause-Result'!AA32="","",LEFT(REPLACE('Cause-Result'!AA32,1,1,"T"),LEN('Cause-Result'!AA32)-3))</f>
        <v/>
      </c>
      <c r="AB32" s="13" t="str">
        <f>IF('Cause-Result'!AB32="","",LEFT(REPLACE('Cause-Result'!AB32,1,1,"T"),LEN('Cause-Result'!AB32)-3))</f>
        <v/>
      </c>
    </row>
    <row r="33">
      <c r="A33" s="7">
        <v>34.0</v>
      </c>
      <c r="B33" s="8" t="s">
        <v>66</v>
      </c>
      <c r="C33" s="9" t="s">
        <v>67</v>
      </c>
      <c r="D33" s="10" t="s">
        <v>66</v>
      </c>
      <c r="E33" s="13" t="str">
        <f>IF('Cause-Result'!E33="","",LEFT(REPLACE('Cause-Result'!E33,1,1,"T"),LEN('Cause-Result'!E33)-3))</f>
        <v>T10</v>
      </c>
      <c r="F33" s="13" t="str">
        <f>IF('Cause-Result'!F33="","",LEFT(REPLACE('Cause-Result'!F33,1,1,"T"),LEN('Cause-Result'!F33)-3))</f>
        <v>T11</v>
      </c>
      <c r="G33" s="13" t="str">
        <f>IF('Cause-Result'!G33="","",LEFT(REPLACE('Cause-Result'!G33,1,1,"T"),LEN('Cause-Result'!G33)-3))</f>
        <v>T9</v>
      </c>
      <c r="H33" s="13" t="str">
        <f>IF('Cause-Result'!H33="","",LEFT(REPLACE('Cause-Result'!H33,1,1,"T"),LEN('Cause-Result'!H33)-3))</f>
        <v>T7</v>
      </c>
      <c r="I33" s="13" t="str">
        <f>IF('Cause-Result'!I33="","",LEFT(REPLACE('Cause-Result'!I33,1,1,"T"),LEN('Cause-Result'!I33)-3))</f>
        <v>T31</v>
      </c>
      <c r="J33" s="13" t="str">
        <f>IF('Cause-Result'!J33="","",LEFT(REPLACE('Cause-Result'!J33,1,1,"T"),LEN('Cause-Result'!J33)-3))</f>
        <v>T30</v>
      </c>
      <c r="K33" s="13" t="str">
        <f>IF('Cause-Result'!K33="","",LEFT(REPLACE('Cause-Result'!K33,1,1,"T"),LEN('Cause-Result'!K33)-3))</f>
        <v>T22</v>
      </c>
      <c r="L33" s="13" t="str">
        <f>IF('Cause-Result'!L33="","",LEFT(REPLACE('Cause-Result'!L33,1,1,"T"),LEN('Cause-Result'!L33)-3))</f>
        <v>T29</v>
      </c>
      <c r="M33" s="13" t="str">
        <f>IF('Cause-Result'!M33="","",LEFT(REPLACE('Cause-Result'!M33,1,1,"T"),LEN('Cause-Result'!M33)-3))</f>
        <v>T23</v>
      </c>
      <c r="N33" s="13" t="str">
        <f>IF('Cause-Result'!N33="","",LEFT(REPLACE('Cause-Result'!N33,1,1,"T"),LEN('Cause-Result'!N33)-3))</f>
        <v>T24</v>
      </c>
      <c r="O33" s="13" t="str">
        <f>IF('Cause-Result'!O33="","",LEFT(REPLACE('Cause-Result'!O33,1,1,"T"),LEN('Cause-Result'!O33)-3))</f>
        <v>T23</v>
      </c>
      <c r="P33" s="13" t="str">
        <f>IF('Cause-Result'!P33="","",LEFT(REPLACE('Cause-Result'!P33,1,1,"T"),LEN('Cause-Result'!P33)-3))</f>
        <v>T24</v>
      </c>
      <c r="Q33" s="13" t="str">
        <f>IF('Cause-Result'!Q33="","",LEFT(REPLACE('Cause-Result'!Q33,1,1,"T"),LEN('Cause-Result'!Q33)-3))</f>
        <v/>
      </c>
      <c r="R33" s="13" t="str">
        <f>IF('Cause-Result'!R33="","",LEFT(REPLACE('Cause-Result'!R33,1,1,"T"),LEN('Cause-Result'!R33)-3))</f>
        <v/>
      </c>
      <c r="S33" s="13" t="str">
        <f>IF('Cause-Result'!S33="","",LEFT(REPLACE('Cause-Result'!S33,1,1,"T"),LEN('Cause-Result'!S33)-3))</f>
        <v/>
      </c>
      <c r="T33" s="13" t="str">
        <f>IF('Cause-Result'!T33="","",LEFT(REPLACE('Cause-Result'!T33,1,1,"T"),LEN('Cause-Result'!T33)-3))</f>
        <v/>
      </c>
      <c r="U33" s="13" t="str">
        <f>IF('Cause-Result'!U33="","",LEFT(REPLACE('Cause-Result'!U33,1,1,"T"),LEN('Cause-Result'!U33)-3))</f>
        <v/>
      </c>
      <c r="V33" s="13" t="str">
        <f>IF('Cause-Result'!V33="","",LEFT(REPLACE('Cause-Result'!V33,1,1,"T"),LEN('Cause-Result'!V33)-3))</f>
        <v/>
      </c>
      <c r="W33" s="13" t="str">
        <f>IF('Cause-Result'!W33="","",LEFT(REPLACE('Cause-Result'!W33,1,1,"T"),LEN('Cause-Result'!W33)-3))</f>
        <v/>
      </c>
      <c r="X33" s="13" t="str">
        <f>IF('Cause-Result'!X33="","",LEFT(REPLACE('Cause-Result'!X33,1,1,"T"),LEN('Cause-Result'!X33)-3))</f>
        <v/>
      </c>
      <c r="Y33" s="13" t="str">
        <f>IF('Cause-Result'!Y33="","",LEFT(REPLACE('Cause-Result'!Y33,1,1,"T"),LEN('Cause-Result'!Y33)-3))</f>
        <v/>
      </c>
      <c r="Z33" s="13" t="str">
        <f>IF('Cause-Result'!Z33="","",LEFT(REPLACE('Cause-Result'!Z33,1,1,"T"),LEN('Cause-Result'!Z33)-3))</f>
        <v/>
      </c>
      <c r="AA33" s="13" t="str">
        <f>IF('Cause-Result'!AA33="","",LEFT(REPLACE('Cause-Result'!AA33,1,1,"T"),LEN('Cause-Result'!AA33)-3))</f>
        <v/>
      </c>
      <c r="AB33" s="13" t="str">
        <f>IF('Cause-Result'!AB33="","",LEFT(REPLACE('Cause-Result'!AB33,1,1,"T"),LEN('Cause-Result'!AB33)-3))</f>
        <v/>
      </c>
    </row>
    <row r="34">
      <c r="A34" s="7">
        <v>35.0</v>
      </c>
      <c r="B34" s="8" t="s">
        <v>68</v>
      </c>
      <c r="C34" s="9" t="s">
        <v>69</v>
      </c>
      <c r="D34" s="10" t="s">
        <v>68</v>
      </c>
      <c r="E34" s="13" t="str">
        <f>IF('Cause-Result'!E34="","",LEFT(REPLACE('Cause-Result'!E34,1,1,"T"),LEN('Cause-Result'!E34)-3))</f>
        <v>T10</v>
      </c>
      <c r="F34" s="13" t="str">
        <f>IF('Cause-Result'!F34="","",LEFT(REPLACE('Cause-Result'!F34,1,1,"T"),LEN('Cause-Result'!F34)-3))</f>
        <v>T11</v>
      </c>
      <c r="G34" s="13" t="str">
        <f>IF('Cause-Result'!G34="","",LEFT(REPLACE('Cause-Result'!G34,1,1,"T"),LEN('Cause-Result'!G34)-3))</f>
        <v>T9</v>
      </c>
      <c r="H34" s="13" t="str">
        <f>IF('Cause-Result'!H34="","",LEFT(REPLACE('Cause-Result'!H34,1,1,"T"),LEN('Cause-Result'!H34)-3))</f>
        <v>T7</v>
      </c>
      <c r="I34" s="13" t="str">
        <f>IF('Cause-Result'!I34="","",LEFT(REPLACE('Cause-Result'!I34,1,1,"T"),LEN('Cause-Result'!I34)-3))</f>
        <v>T27</v>
      </c>
      <c r="J34" s="13" t="str">
        <f>IF('Cause-Result'!J34="","",LEFT(REPLACE('Cause-Result'!J34,1,1,"T"),LEN('Cause-Result'!J34)-3))</f>
        <v>T32</v>
      </c>
      <c r="K34" s="13" t="str">
        <f>IF('Cause-Result'!K34="","",LEFT(REPLACE('Cause-Result'!K34,1,1,"T"),LEN('Cause-Result'!K34)-3))</f>
        <v>T22</v>
      </c>
      <c r="L34" s="13" t="str">
        <f>IF('Cause-Result'!L34="","",LEFT(REPLACE('Cause-Result'!L34,1,1,"T"),LEN('Cause-Result'!L34)-3))</f>
        <v>T30</v>
      </c>
      <c r="M34" s="13" t="str">
        <f>IF('Cause-Result'!M34="","",LEFT(REPLACE('Cause-Result'!M34,1,1,"T"),LEN('Cause-Result'!M34)-3))</f>
        <v>T29</v>
      </c>
      <c r="N34" s="13" t="str">
        <f>IF('Cause-Result'!N34="","",LEFT(REPLACE('Cause-Result'!N34,1,1,"T"),LEN('Cause-Result'!N34)-3))</f>
        <v>T31</v>
      </c>
      <c r="O34" s="13" t="str">
        <f>IF('Cause-Result'!O34="","",LEFT(REPLACE('Cause-Result'!O34,1,1,"T"),LEN('Cause-Result'!O34)-3))</f>
        <v>T23</v>
      </c>
      <c r="P34" s="13" t="str">
        <f>IF('Cause-Result'!P34="","",LEFT(REPLACE('Cause-Result'!P34,1,1,"T"),LEN('Cause-Result'!P34)-3))</f>
        <v>T24</v>
      </c>
      <c r="Q34" s="13" t="str">
        <f>IF('Cause-Result'!Q34="","",LEFT(REPLACE('Cause-Result'!Q34,1,1,"T"),LEN('Cause-Result'!Q34)-3))</f>
        <v>T23</v>
      </c>
      <c r="R34" s="13" t="str">
        <f>IF('Cause-Result'!R34="","",LEFT(REPLACE('Cause-Result'!R34,1,1,"T"),LEN('Cause-Result'!R34)-3))</f>
        <v>T24</v>
      </c>
      <c r="S34" s="13" t="str">
        <f>IF('Cause-Result'!S34="","",LEFT(REPLACE('Cause-Result'!S34,1,1,"T"),LEN('Cause-Result'!S34)-3))</f>
        <v/>
      </c>
      <c r="T34" s="13" t="str">
        <f>IF('Cause-Result'!T34="","",LEFT(REPLACE('Cause-Result'!T34,1,1,"T"),LEN('Cause-Result'!T34)-3))</f>
        <v/>
      </c>
      <c r="U34" s="13" t="str">
        <f>IF('Cause-Result'!U34="","",LEFT(REPLACE('Cause-Result'!U34,1,1,"T"),LEN('Cause-Result'!U34)-3))</f>
        <v/>
      </c>
      <c r="V34" s="13" t="str">
        <f>IF('Cause-Result'!V34="","",LEFT(REPLACE('Cause-Result'!V34,1,1,"T"),LEN('Cause-Result'!V34)-3))</f>
        <v/>
      </c>
      <c r="W34" s="13" t="str">
        <f>IF('Cause-Result'!W34="","",LEFT(REPLACE('Cause-Result'!W34,1,1,"T"),LEN('Cause-Result'!W34)-3))</f>
        <v/>
      </c>
      <c r="X34" s="13" t="str">
        <f>IF('Cause-Result'!X34="","",LEFT(REPLACE('Cause-Result'!X34,1,1,"T"),LEN('Cause-Result'!X34)-3))</f>
        <v/>
      </c>
      <c r="Y34" s="13" t="str">
        <f>IF('Cause-Result'!Y34="","",LEFT(REPLACE('Cause-Result'!Y34,1,1,"T"),LEN('Cause-Result'!Y34)-3))</f>
        <v/>
      </c>
      <c r="Z34" s="13" t="str">
        <f>IF('Cause-Result'!Z34="","",LEFT(REPLACE('Cause-Result'!Z34,1,1,"T"),LEN('Cause-Result'!Z34)-3))</f>
        <v/>
      </c>
      <c r="AA34" s="13" t="str">
        <f>IF('Cause-Result'!AA34="","",LEFT(REPLACE('Cause-Result'!AA34,1,1,"T"),LEN('Cause-Result'!AA34)-3))</f>
        <v/>
      </c>
      <c r="AB34" s="13" t="str">
        <f>IF('Cause-Result'!AB34="","",LEFT(REPLACE('Cause-Result'!AB34,1,1,"T"),LEN('Cause-Result'!AB34)-3))</f>
        <v/>
      </c>
    </row>
    <row r="35">
      <c r="A35" s="7">
        <v>36.0</v>
      </c>
      <c r="B35" s="8" t="s">
        <v>70</v>
      </c>
      <c r="C35" s="9" t="s">
        <v>71</v>
      </c>
      <c r="D35" s="10" t="s">
        <v>70</v>
      </c>
      <c r="E35" s="13" t="str">
        <f>IF('Cause-Result'!E35="","",LEFT(REPLACE('Cause-Result'!E35,1,1,"T"),LEN('Cause-Result'!E35)-3))</f>
        <v>T10</v>
      </c>
      <c r="F35" s="13" t="str">
        <f>IF('Cause-Result'!F35="","",LEFT(REPLACE('Cause-Result'!F35,1,1,"T"),LEN('Cause-Result'!F35)-3))</f>
        <v>T11</v>
      </c>
      <c r="G35" s="13" t="str">
        <f>IF('Cause-Result'!G35="","",LEFT(REPLACE('Cause-Result'!G35,1,1,"T"),LEN('Cause-Result'!G35)-3))</f>
        <v>T9</v>
      </c>
      <c r="H35" s="13" t="str">
        <f>IF('Cause-Result'!H35="","",LEFT(REPLACE('Cause-Result'!H35,1,1,"T"),LEN('Cause-Result'!H35)-3))</f>
        <v>T7</v>
      </c>
      <c r="I35" s="13" t="str">
        <f>IF('Cause-Result'!I35="","",LEFT(REPLACE('Cause-Result'!I35,1,1,"T"),LEN('Cause-Result'!I35)-3))</f>
        <v>T27</v>
      </c>
      <c r="J35" s="13" t="str">
        <f>IF('Cause-Result'!J35="","",LEFT(REPLACE('Cause-Result'!J35,1,1,"T"),LEN('Cause-Result'!J35)-3))</f>
        <v>T32</v>
      </c>
      <c r="K35" s="13" t="str">
        <f>IF('Cause-Result'!K35="","",LEFT(REPLACE('Cause-Result'!K35,1,1,"T"),LEN('Cause-Result'!K35)-3))</f>
        <v>T22</v>
      </c>
      <c r="L35" s="13" t="str">
        <f>IF('Cause-Result'!L35="","",LEFT(REPLACE('Cause-Result'!L35,1,1,"T"),LEN('Cause-Result'!L35)-3))</f>
        <v>T30</v>
      </c>
      <c r="M35" s="13" t="str">
        <f>IF('Cause-Result'!M35="","",LEFT(REPLACE('Cause-Result'!M35,1,1,"T"),LEN('Cause-Result'!M35)-3))</f>
        <v>T29</v>
      </c>
      <c r="N35" s="13" t="str">
        <f>IF('Cause-Result'!N35="","",LEFT(REPLACE('Cause-Result'!N35,1,1,"T"),LEN('Cause-Result'!N35)-3))</f>
        <v>T31</v>
      </c>
      <c r="O35" s="13" t="str">
        <f>IF('Cause-Result'!O35="","",LEFT(REPLACE('Cause-Result'!O35,1,1,"T"),LEN('Cause-Result'!O35)-3))</f>
        <v>T23</v>
      </c>
      <c r="P35" s="13" t="str">
        <f>IF('Cause-Result'!P35="","",LEFT(REPLACE('Cause-Result'!P35,1,1,"T"),LEN('Cause-Result'!P35)-3))</f>
        <v>T24</v>
      </c>
      <c r="Q35" s="13" t="str">
        <f>IF('Cause-Result'!Q35="","",LEFT(REPLACE('Cause-Result'!Q35,1,1,"T"),LEN('Cause-Result'!Q35)-3))</f>
        <v>T23</v>
      </c>
      <c r="R35" s="13" t="str">
        <f>IF('Cause-Result'!R35="","",LEFT(REPLACE('Cause-Result'!R35,1,1,"T"),LEN('Cause-Result'!R35)-3))</f>
        <v>T24</v>
      </c>
      <c r="S35" s="13" t="str">
        <f>IF('Cause-Result'!S35="","",LEFT(REPLACE('Cause-Result'!S35,1,1,"T"),LEN('Cause-Result'!S35)-3))</f>
        <v/>
      </c>
      <c r="T35" s="13" t="str">
        <f>IF('Cause-Result'!T35="","",LEFT(REPLACE('Cause-Result'!T35,1,1,"T"),LEN('Cause-Result'!T35)-3))</f>
        <v/>
      </c>
      <c r="U35" s="13" t="str">
        <f>IF('Cause-Result'!U35="","",LEFT(REPLACE('Cause-Result'!U35,1,1,"T"),LEN('Cause-Result'!U35)-3))</f>
        <v/>
      </c>
      <c r="V35" s="13" t="str">
        <f>IF('Cause-Result'!V35="","",LEFT(REPLACE('Cause-Result'!V35,1,1,"T"),LEN('Cause-Result'!V35)-3))</f>
        <v/>
      </c>
      <c r="W35" s="13" t="str">
        <f>IF('Cause-Result'!W35="","",LEFT(REPLACE('Cause-Result'!W35,1,1,"T"),LEN('Cause-Result'!W35)-3))</f>
        <v/>
      </c>
      <c r="X35" s="13" t="str">
        <f>IF('Cause-Result'!X35="","",LEFT(REPLACE('Cause-Result'!X35,1,1,"T"),LEN('Cause-Result'!X35)-3))</f>
        <v/>
      </c>
      <c r="Y35" s="13" t="str">
        <f>IF('Cause-Result'!Y35="","",LEFT(REPLACE('Cause-Result'!Y35,1,1,"T"),LEN('Cause-Result'!Y35)-3))</f>
        <v/>
      </c>
      <c r="Z35" s="13" t="str">
        <f>IF('Cause-Result'!Z35="","",LEFT(REPLACE('Cause-Result'!Z35,1,1,"T"),LEN('Cause-Result'!Z35)-3))</f>
        <v/>
      </c>
      <c r="AA35" s="13" t="str">
        <f>IF('Cause-Result'!AA35="","",LEFT(REPLACE('Cause-Result'!AA35,1,1,"T"),LEN('Cause-Result'!AA35)-3))</f>
        <v/>
      </c>
      <c r="AB35" s="13" t="str">
        <f>IF('Cause-Result'!AB35="","",LEFT(REPLACE('Cause-Result'!AB35,1,1,"T"),LEN('Cause-Result'!AB35)-3))</f>
        <v/>
      </c>
    </row>
    <row r="36">
      <c r="A36" s="7">
        <v>37.0</v>
      </c>
      <c r="B36" s="8" t="s">
        <v>72</v>
      </c>
      <c r="C36" s="9" t="s">
        <v>73</v>
      </c>
      <c r="D36" s="10" t="s">
        <v>72</v>
      </c>
      <c r="E36" s="13" t="str">
        <f>IF('Cause-Result'!E36="","",LEFT(REPLACE('Cause-Result'!E36,1,1,"T"),LEN('Cause-Result'!E36)-3))</f>
        <v>T5</v>
      </c>
      <c r="F36" s="13" t="str">
        <f>IF('Cause-Result'!F36="","",LEFT(REPLACE('Cause-Result'!F36,1,1,"T"),LEN('Cause-Result'!F36)-3))</f>
        <v>T6</v>
      </c>
      <c r="G36" s="13" t="str">
        <f>IF('Cause-Result'!G36="","",LEFT(REPLACE('Cause-Result'!G36,1,1,"T"),LEN('Cause-Result'!G36)-3))</f>
        <v>T4</v>
      </c>
      <c r="H36" s="13" t="str">
        <f>IF('Cause-Result'!H36="","",LEFT(REPLACE('Cause-Result'!H36,1,1,"T"),LEN('Cause-Result'!H36)-3))</f>
        <v>T5</v>
      </c>
      <c r="I36" s="13" t="str">
        <f>IF('Cause-Result'!I36="","",LEFT(REPLACE('Cause-Result'!I36,1,1,"T"),LEN('Cause-Result'!I36)-3))</f>
        <v>T6</v>
      </c>
      <c r="J36" s="13" t="str">
        <f>IF('Cause-Result'!J36="","",LEFT(REPLACE('Cause-Result'!J36,1,1,"T"),LEN('Cause-Result'!J36)-3))</f>
        <v>T4</v>
      </c>
      <c r="K36" s="13" t="str">
        <f>IF('Cause-Result'!K36="","",LEFT(REPLACE('Cause-Result'!K36,1,1,"T"),LEN('Cause-Result'!K36)-3))</f>
        <v/>
      </c>
      <c r="L36" s="13" t="str">
        <f>IF('Cause-Result'!L36="","",LEFT(REPLACE('Cause-Result'!L36,1,1,"T"),LEN('Cause-Result'!L36)-3))</f>
        <v/>
      </c>
      <c r="M36" s="13" t="str">
        <f>IF('Cause-Result'!M36="","",LEFT(REPLACE('Cause-Result'!M36,1,1,"T"),LEN('Cause-Result'!M36)-3))</f>
        <v/>
      </c>
      <c r="N36" s="13" t="str">
        <f>IF('Cause-Result'!N36="","",LEFT(REPLACE('Cause-Result'!N36,1,1,"T"),LEN('Cause-Result'!N36)-3))</f>
        <v/>
      </c>
      <c r="O36" s="13" t="str">
        <f>IF('Cause-Result'!O36="","",LEFT(REPLACE('Cause-Result'!O36,1,1,"T"),LEN('Cause-Result'!O36)-3))</f>
        <v/>
      </c>
      <c r="P36" s="13" t="str">
        <f>IF('Cause-Result'!P36="","",LEFT(REPLACE('Cause-Result'!P36,1,1,"T"),LEN('Cause-Result'!P36)-3))</f>
        <v/>
      </c>
      <c r="Q36" s="13" t="str">
        <f>IF('Cause-Result'!Q36="","",LEFT(REPLACE('Cause-Result'!Q36,1,1,"T"),LEN('Cause-Result'!Q36)-3))</f>
        <v/>
      </c>
      <c r="R36" s="13" t="str">
        <f>IF('Cause-Result'!R36="","",LEFT(REPLACE('Cause-Result'!R36,1,1,"T"),LEN('Cause-Result'!R36)-3))</f>
        <v/>
      </c>
      <c r="S36" s="13" t="str">
        <f>IF('Cause-Result'!S36="","",LEFT(REPLACE('Cause-Result'!S36,1,1,"T"),LEN('Cause-Result'!S36)-3))</f>
        <v/>
      </c>
      <c r="T36" s="13" t="str">
        <f>IF('Cause-Result'!T36="","",LEFT(REPLACE('Cause-Result'!T36,1,1,"T"),LEN('Cause-Result'!T36)-3))</f>
        <v/>
      </c>
      <c r="U36" s="13" t="str">
        <f>IF('Cause-Result'!U36="","",LEFT(REPLACE('Cause-Result'!U36,1,1,"T"),LEN('Cause-Result'!U36)-3))</f>
        <v/>
      </c>
      <c r="V36" s="13" t="str">
        <f>IF('Cause-Result'!V36="","",LEFT(REPLACE('Cause-Result'!V36,1,1,"T"),LEN('Cause-Result'!V36)-3))</f>
        <v/>
      </c>
      <c r="W36" s="13" t="str">
        <f>IF('Cause-Result'!W36="","",LEFT(REPLACE('Cause-Result'!W36,1,1,"T"),LEN('Cause-Result'!W36)-3))</f>
        <v/>
      </c>
      <c r="X36" s="13" t="str">
        <f>IF('Cause-Result'!X36="","",LEFT(REPLACE('Cause-Result'!X36,1,1,"T"),LEN('Cause-Result'!X36)-3))</f>
        <v/>
      </c>
      <c r="Y36" s="13" t="str">
        <f>IF('Cause-Result'!Y36="","",LEFT(REPLACE('Cause-Result'!Y36,1,1,"T"),LEN('Cause-Result'!Y36)-3))</f>
        <v/>
      </c>
      <c r="Z36" s="13" t="str">
        <f>IF('Cause-Result'!Z36="","",LEFT(REPLACE('Cause-Result'!Z36,1,1,"T"),LEN('Cause-Result'!Z36)-3))</f>
        <v/>
      </c>
      <c r="AA36" s="13" t="str">
        <f>IF('Cause-Result'!AA36="","",LEFT(REPLACE('Cause-Result'!AA36,1,1,"T"),LEN('Cause-Result'!AA36)-3))</f>
        <v/>
      </c>
      <c r="AB36" s="13" t="str">
        <f>IF('Cause-Result'!AB36="","",LEFT(REPLACE('Cause-Result'!AB36,1,1,"T"),LEN('Cause-Result'!AB36)-3))</f>
        <v/>
      </c>
    </row>
    <row r="37">
      <c r="A37" s="7">
        <v>38.0</v>
      </c>
      <c r="B37" s="8" t="s">
        <v>74</v>
      </c>
      <c r="C37" s="9" t="s">
        <v>75</v>
      </c>
      <c r="D37" s="10" t="s">
        <v>74</v>
      </c>
      <c r="E37" s="13" t="str">
        <f>IF('Cause-Result'!E37="","",LEFT(REPLACE('Cause-Result'!E37,1,1,"T"),LEN('Cause-Result'!E37)-3))</f>
        <v>T31</v>
      </c>
      <c r="F37" s="13" t="str">
        <f>IF('Cause-Result'!F37="","",LEFT(REPLACE('Cause-Result'!F37,1,1,"T"),LEN('Cause-Result'!F37)-3))</f>
        <v>T31</v>
      </c>
      <c r="G37" s="13" t="str">
        <f>IF('Cause-Result'!G37="","",LEFT(REPLACE('Cause-Result'!G37,1,1,"T"),LEN('Cause-Result'!G37)-3))</f>
        <v>T31</v>
      </c>
      <c r="H37" s="13" t="str">
        <f>IF('Cause-Result'!H37="","",LEFT(REPLACE('Cause-Result'!H37,1,1,"T"),LEN('Cause-Result'!H37)-3))</f>
        <v>T31</v>
      </c>
      <c r="I37" s="13" t="str">
        <f>IF('Cause-Result'!I37="","",LEFT(REPLACE('Cause-Result'!I37,1,1,"T"),LEN('Cause-Result'!I37)-3))</f>
        <v>T27</v>
      </c>
      <c r="J37" s="13" t="str">
        <f>IF('Cause-Result'!J37="","",LEFT(REPLACE('Cause-Result'!J37,1,1,"T"),LEN('Cause-Result'!J37)-3))</f>
        <v>T26</v>
      </c>
      <c r="K37" s="13" t="str">
        <f>IF('Cause-Result'!K37="","",LEFT(REPLACE('Cause-Result'!K37,1,1,"T"),LEN('Cause-Result'!K37)-3))</f>
        <v>T25</v>
      </c>
      <c r="L37" s="13" t="str">
        <f>IF('Cause-Result'!L37="","",LEFT(REPLACE('Cause-Result'!L37,1,1,"T"),LEN('Cause-Result'!L37)-3))</f>
        <v/>
      </c>
      <c r="M37" s="13" t="str">
        <f>IF('Cause-Result'!M37="","",LEFT(REPLACE('Cause-Result'!M37,1,1,"T"),LEN('Cause-Result'!M37)-3))</f>
        <v/>
      </c>
      <c r="N37" s="13" t="str">
        <f>IF('Cause-Result'!N37="","",LEFT(REPLACE('Cause-Result'!N37,1,1,"T"),LEN('Cause-Result'!N37)-3))</f>
        <v/>
      </c>
      <c r="O37" s="13" t="str">
        <f>IF('Cause-Result'!O37="","",LEFT(REPLACE('Cause-Result'!O37,1,1,"T"),LEN('Cause-Result'!O37)-3))</f>
        <v/>
      </c>
      <c r="P37" s="13" t="str">
        <f>IF('Cause-Result'!P37="","",LEFT(REPLACE('Cause-Result'!P37,1,1,"T"),LEN('Cause-Result'!P37)-3))</f>
        <v/>
      </c>
      <c r="Q37" s="13" t="str">
        <f>IF('Cause-Result'!Q37="","",LEFT(REPLACE('Cause-Result'!Q37,1,1,"T"),LEN('Cause-Result'!Q37)-3))</f>
        <v/>
      </c>
      <c r="R37" s="13" t="str">
        <f>IF('Cause-Result'!R37="","",LEFT(REPLACE('Cause-Result'!R37,1,1,"T"),LEN('Cause-Result'!R37)-3))</f>
        <v/>
      </c>
      <c r="S37" s="13" t="str">
        <f>IF('Cause-Result'!S37="","",LEFT(REPLACE('Cause-Result'!S37,1,1,"T"),LEN('Cause-Result'!S37)-3))</f>
        <v/>
      </c>
      <c r="T37" s="13" t="str">
        <f>IF('Cause-Result'!T37="","",LEFT(REPLACE('Cause-Result'!T37,1,1,"T"),LEN('Cause-Result'!T37)-3))</f>
        <v/>
      </c>
      <c r="U37" s="13" t="str">
        <f>IF('Cause-Result'!U37="","",LEFT(REPLACE('Cause-Result'!U37,1,1,"T"),LEN('Cause-Result'!U37)-3))</f>
        <v/>
      </c>
      <c r="V37" s="13" t="str">
        <f>IF('Cause-Result'!V37="","",LEFT(REPLACE('Cause-Result'!V37,1,1,"T"),LEN('Cause-Result'!V37)-3))</f>
        <v/>
      </c>
      <c r="W37" s="13" t="str">
        <f>IF('Cause-Result'!W37="","",LEFT(REPLACE('Cause-Result'!W37,1,1,"T"),LEN('Cause-Result'!W37)-3))</f>
        <v/>
      </c>
      <c r="X37" s="13" t="str">
        <f>IF('Cause-Result'!X37="","",LEFT(REPLACE('Cause-Result'!X37,1,1,"T"),LEN('Cause-Result'!X37)-3))</f>
        <v/>
      </c>
      <c r="Y37" s="13" t="str">
        <f>IF('Cause-Result'!Y37="","",LEFT(REPLACE('Cause-Result'!Y37,1,1,"T"),LEN('Cause-Result'!Y37)-3))</f>
        <v/>
      </c>
      <c r="Z37" s="13" t="str">
        <f>IF('Cause-Result'!Z37="","",LEFT(REPLACE('Cause-Result'!Z37,1,1,"T"),LEN('Cause-Result'!Z37)-3))</f>
        <v/>
      </c>
      <c r="AA37" s="13" t="str">
        <f>IF('Cause-Result'!AA37="","",LEFT(REPLACE('Cause-Result'!AA37,1,1,"T"),LEN('Cause-Result'!AA37)-3))</f>
        <v/>
      </c>
      <c r="AB37" s="13" t="str">
        <f>IF('Cause-Result'!AB37="","",LEFT(REPLACE('Cause-Result'!AB37,1,1,"T"),LEN('Cause-Result'!AB37)-3))</f>
        <v/>
      </c>
    </row>
    <row r="38">
      <c r="A38" s="7">
        <v>39.0</v>
      </c>
      <c r="B38" s="8" t="s">
        <v>76</v>
      </c>
      <c r="C38" s="9" t="s">
        <v>77</v>
      </c>
      <c r="D38" s="10" t="s">
        <v>76</v>
      </c>
      <c r="E38" s="13" t="str">
        <f>IF('Cause-Result'!E38="","",LEFT(REPLACE('Cause-Result'!E38,1,1,"T"),LEN('Cause-Result'!E38)-3))</f>
        <v>T15</v>
      </c>
      <c r="F38" s="13" t="str">
        <f>IF('Cause-Result'!F38="","",LEFT(REPLACE('Cause-Result'!F38,1,1,"T"),LEN('Cause-Result'!F38)-3))</f>
        <v>T15</v>
      </c>
      <c r="G38" s="13" t="str">
        <f>IF('Cause-Result'!G38="","",LEFT(REPLACE('Cause-Result'!G38,1,1,"T"),LEN('Cause-Result'!G38)-3))</f>
        <v>T14</v>
      </c>
      <c r="H38" s="13" t="str">
        <f>IF('Cause-Result'!H38="","",LEFT(REPLACE('Cause-Result'!H38,1,1,"T"),LEN('Cause-Result'!H38)-3))</f>
        <v>T14</v>
      </c>
      <c r="I38" s="13" t="str">
        <f>IF('Cause-Result'!I38="","",LEFT(REPLACE('Cause-Result'!I38,1,1,"T"),LEN('Cause-Result'!I38)-3))</f>
        <v>T12</v>
      </c>
      <c r="J38" s="13" t="str">
        <f>IF('Cause-Result'!J38="","",LEFT(REPLACE('Cause-Result'!J38,1,1,"T"),LEN('Cause-Result'!J38)-3))</f>
        <v>T12</v>
      </c>
      <c r="K38" s="13" t="str">
        <f>IF('Cause-Result'!K38="","",LEFT(REPLACE('Cause-Result'!K38,1,1,"T"),LEN('Cause-Result'!K38)-3))</f>
        <v>T31</v>
      </c>
      <c r="L38" s="13" t="str">
        <f>IF('Cause-Result'!L38="","",LEFT(REPLACE('Cause-Result'!L38,1,1,"T"),LEN('Cause-Result'!L38)-3))</f>
        <v>T22</v>
      </c>
      <c r="M38" s="13" t="str">
        <f>IF('Cause-Result'!M38="","",LEFT(REPLACE('Cause-Result'!M38,1,1,"T"),LEN('Cause-Result'!M38)-3))</f>
        <v>T13</v>
      </c>
      <c r="N38" s="13" t="str">
        <f>IF('Cause-Result'!N38="","",LEFT(REPLACE('Cause-Result'!N38,1,1,"T"),LEN('Cause-Result'!N38)-3))</f>
        <v>T13</v>
      </c>
      <c r="O38" s="13" t="str">
        <f>IF('Cause-Result'!O38="","",LEFT(REPLACE('Cause-Result'!O38,1,1,"T"),LEN('Cause-Result'!O38)-3))</f>
        <v>T29</v>
      </c>
      <c r="P38" s="13" t="str">
        <f>IF('Cause-Result'!P38="","",LEFT(REPLACE('Cause-Result'!P38,1,1,"T"),LEN('Cause-Result'!P38)-3))</f>
        <v/>
      </c>
      <c r="Q38" s="13" t="str">
        <f>IF('Cause-Result'!Q38="","",LEFT(REPLACE('Cause-Result'!Q38,1,1,"T"),LEN('Cause-Result'!Q38)-3))</f>
        <v/>
      </c>
      <c r="R38" s="13" t="str">
        <f>IF('Cause-Result'!R38="","",LEFT(REPLACE('Cause-Result'!R38,1,1,"T"),LEN('Cause-Result'!R38)-3))</f>
        <v/>
      </c>
      <c r="S38" s="13" t="str">
        <f>IF('Cause-Result'!S38="","",LEFT(REPLACE('Cause-Result'!S38,1,1,"T"),LEN('Cause-Result'!S38)-3))</f>
        <v/>
      </c>
      <c r="T38" s="13" t="str">
        <f>IF('Cause-Result'!T38="","",LEFT(REPLACE('Cause-Result'!T38,1,1,"T"),LEN('Cause-Result'!T38)-3))</f>
        <v/>
      </c>
      <c r="U38" s="13" t="str">
        <f>IF('Cause-Result'!U38="","",LEFT(REPLACE('Cause-Result'!U38,1,1,"T"),LEN('Cause-Result'!U38)-3))</f>
        <v/>
      </c>
      <c r="V38" s="13" t="str">
        <f>IF('Cause-Result'!V38="","",LEFT(REPLACE('Cause-Result'!V38,1,1,"T"),LEN('Cause-Result'!V38)-3))</f>
        <v/>
      </c>
      <c r="W38" s="13" t="str">
        <f>IF('Cause-Result'!W38="","",LEFT(REPLACE('Cause-Result'!W38,1,1,"T"),LEN('Cause-Result'!W38)-3))</f>
        <v/>
      </c>
      <c r="X38" s="13" t="str">
        <f>IF('Cause-Result'!X38="","",LEFT(REPLACE('Cause-Result'!X38,1,1,"T"),LEN('Cause-Result'!X38)-3))</f>
        <v/>
      </c>
      <c r="Y38" s="13" t="str">
        <f>IF('Cause-Result'!Y38="","",LEFT(REPLACE('Cause-Result'!Y38,1,1,"T"),LEN('Cause-Result'!Y38)-3))</f>
        <v/>
      </c>
      <c r="Z38" s="13" t="str">
        <f>IF('Cause-Result'!Z38="","",LEFT(REPLACE('Cause-Result'!Z38,1,1,"T"),LEN('Cause-Result'!Z38)-3))</f>
        <v/>
      </c>
      <c r="AA38" s="13" t="str">
        <f>IF('Cause-Result'!AA38="","",LEFT(REPLACE('Cause-Result'!AA38,1,1,"T"),LEN('Cause-Result'!AA38)-3))</f>
        <v/>
      </c>
      <c r="AB38" s="13" t="str">
        <f>IF('Cause-Result'!AB38="","",LEFT(REPLACE('Cause-Result'!AB38,1,1,"T"),LEN('Cause-Result'!AB38)-3))</f>
        <v/>
      </c>
    </row>
    <row r="39">
      <c r="A39" s="7">
        <v>40.0</v>
      </c>
      <c r="B39" s="8" t="s">
        <v>78</v>
      </c>
      <c r="C39" s="9" t="s">
        <v>79</v>
      </c>
      <c r="D39" s="10" t="s">
        <v>78</v>
      </c>
      <c r="E39" s="13" t="str">
        <f>IF('Cause-Result'!E39="","",LEFT(REPLACE('Cause-Result'!E39,1,1,"T"),LEN('Cause-Result'!E39)-3))</f>
        <v>T9</v>
      </c>
      <c r="F39" s="13" t="str">
        <f>IF('Cause-Result'!F39="","",LEFT(REPLACE('Cause-Result'!F39,1,1,"T"),LEN('Cause-Result'!F39)-3))</f>
        <v>T7</v>
      </c>
      <c r="G39" s="13" t="str">
        <f>IF('Cause-Result'!G39="","",LEFT(REPLACE('Cause-Result'!G39,1,1,"T"),LEN('Cause-Result'!G39)-3))</f>
        <v>T10</v>
      </c>
      <c r="H39" s="13" t="str">
        <f>IF('Cause-Result'!H39="","",LEFT(REPLACE('Cause-Result'!H39,1,1,"T"),LEN('Cause-Result'!H39)-3))</f>
        <v>T11</v>
      </c>
      <c r="I39" s="13" t="str">
        <f>IF('Cause-Result'!I39="","",LEFT(REPLACE('Cause-Result'!I39,1,1,"T"),LEN('Cause-Result'!I39)-3))</f>
        <v>T27</v>
      </c>
      <c r="J39" s="13" t="str">
        <f>IF('Cause-Result'!J39="","",LEFT(REPLACE('Cause-Result'!J39,1,1,"T"),LEN('Cause-Result'!J39)-3))</f>
        <v>T32</v>
      </c>
      <c r="K39" s="13" t="str">
        <f>IF('Cause-Result'!K39="","",LEFT(REPLACE('Cause-Result'!K39,1,1,"T"),LEN('Cause-Result'!K39)-3))</f>
        <v>T22</v>
      </c>
      <c r="L39" s="13" t="str">
        <f>IF('Cause-Result'!L39="","",LEFT(REPLACE('Cause-Result'!L39,1,1,"T"),LEN('Cause-Result'!L39)-3))</f>
        <v>T30</v>
      </c>
      <c r="M39" s="13" t="str">
        <f>IF('Cause-Result'!M39="","",LEFT(REPLACE('Cause-Result'!M39,1,1,"T"),LEN('Cause-Result'!M39)-3))</f>
        <v>T29</v>
      </c>
      <c r="N39" s="13" t="str">
        <f>IF('Cause-Result'!N39="","",LEFT(REPLACE('Cause-Result'!N39,1,1,"T"),LEN('Cause-Result'!N39)-3))</f>
        <v>T31</v>
      </c>
      <c r="O39" s="13" t="str">
        <f>IF('Cause-Result'!O39="","",LEFT(REPLACE('Cause-Result'!O39,1,1,"T"),LEN('Cause-Result'!O39)-3))</f>
        <v>T23</v>
      </c>
      <c r="P39" s="13" t="str">
        <f>IF('Cause-Result'!P39="","",LEFT(REPLACE('Cause-Result'!P39,1,1,"T"),LEN('Cause-Result'!P39)-3))</f>
        <v>T24</v>
      </c>
      <c r="Q39" s="13" t="str">
        <f>IF('Cause-Result'!Q39="","",LEFT(REPLACE('Cause-Result'!Q39,1,1,"T"),LEN('Cause-Result'!Q39)-3))</f>
        <v>T23</v>
      </c>
      <c r="R39" s="13" t="str">
        <f>IF('Cause-Result'!R39="","",LEFT(REPLACE('Cause-Result'!R39,1,1,"T"),LEN('Cause-Result'!R39)-3))</f>
        <v>T24</v>
      </c>
      <c r="S39" s="13" t="str">
        <f>IF('Cause-Result'!S39="","",LEFT(REPLACE('Cause-Result'!S39,1,1,"T"),LEN('Cause-Result'!S39)-3))</f>
        <v/>
      </c>
      <c r="T39" s="13" t="str">
        <f>IF('Cause-Result'!T39="","",LEFT(REPLACE('Cause-Result'!T39,1,1,"T"),LEN('Cause-Result'!T39)-3))</f>
        <v/>
      </c>
      <c r="U39" s="13" t="str">
        <f>IF('Cause-Result'!U39="","",LEFT(REPLACE('Cause-Result'!U39,1,1,"T"),LEN('Cause-Result'!U39)-3))</f>
        <v/>
      </c>
      <c r="V39" s="13" t="str">
        <f>IF('Cause-Result'!V39="","",LEFT(REPLACE('Cause-Result'!V39,1,1,"T"),LEN('Cause-Result'!V39)-3))</f>
        <v/>
      </c>
      <c r="W39" s="13" t="str">
        <f>IF('Cause-Result'!W39="","",LEFT(REPLACE('Cause-Result'!W39,1,1,"T"),LEN('Cause-Result'!W39)-3))</f>
        <v/>
      </c>
      <c r="X39" s="13" t="str">
        <f>IF('Cause-Result'!X39="","",LEFT(REPLACE('Cause-Result'!X39,1,1,"T"),LEN('Cause-Result'!X39)-3))</f>
        <v/>
      </c>
      <c r="Y39" s="13" t="str">
        <f>IF('Cause-Result'!Y39="","",LEFT(REPLACE('Cause-Result'!Y39,1,1,"T"),LEN('Cause-Result'!Y39)-3))</f>
        <v/>
      </c>
      <c r="Z39" s="13" t="str">
        <f>IF('Cause-Result'!Z39="","",LEFT(REPLACE('Cause-Result'!Z39,1,1,"T"),LEN('Cause-Result'!Z39)-3))</f>
        <v/>
      </c>
      <c r="AA39" s="13" t="str">
        <f>IF('Cause-Result'!AA39="","",LEFT(REPLACE('Cause-Result'!AA39,1,1,"T"),LEN('Cause-Result'!AA39)-3))</f>
        <v/>
      </c>
      <c r="AB39" s="13" t="str">
        <f>IF('Cause-Result'!AB39="","",LEFT(REPLACE('Cause-Result'!AB39,1,1,"T"),LEN('Cause-Result'!AB39)-3))</f>
        <v/>
      </c>
    </row>
    <row r="40">
      <c r="A40" s="7">
        <v>41.0</v>
      </c>
      <c r="B40" s="8" t="s">
        <v>80</v>
      </c>
      <c r="C40" s="9" t="s">
        <v>81</v>
      </c>
      <c r="D40" s="10" t="s">
        <v>80</v>
      </c>
      <c r="E40" s="13" t="str">
        <f>IF('Cause-Result'!E40="","",LEFT(REPLACE('Cause-Result'!E40,1,1,"T"),LEN('Cause-Result'!E40)-3))</f>
        <v>T18</v>
      </c>
      <c r="F40" s="13" t="str">
        <f>IF('Cause-Result'!F40="","",LEFT(REPLACE('Cause-Result'!F40,1,1,"T"),LEN('Cause-Result'!F40)-3))</f>
        <v>T18</v>
      </c>
      <c r="G40" s="13" t="str">
        <f>IF('Cause-Result'!G40="","",LEFT(REPLACE('Cause-Result'!G40,1,1,"T"),LEN('Cause-Result'!G40)-3))</f>
        <v/>
      </c>
      <c r="H40" s="13" t="str">
        <f>IF('Cause-Result'!H40="","",LEFT(REPLACE('Cause-Result'!H40,1,1,"T"),LEN('Cause-Result'!H40)-3))</f>
        <v/>
      </c>
      <c r="I40" s="13" t="str">
        <f>IF('Cause-Result'!I40="","",LEFT(REPLACE('Cause-Result'!I40,1,1,"T"),LEN('Cause-Result'!I40)-3))</f>
        <v/>
      </c>
      <c r="J40" s="13" t="str">
        <f>IF('Cause-Result'!J40="","",LEFT(REPLACE('Cause-Result'!J40,1,1,"T"),LEN('Cause-Result'!J40)-3))</f>
        <v/>
      </c>
      <c r="K40" s="13" t="str">
        <f>IF('Cause-Result'!K40="","",LEFT(REPLACE('Cause-Result'!K40,1,1,"T"),LEN('Cause-Result'!K40)-3))</f>
        <v/>
      </c>
      <c r="L40" s="13" t="str">
        <f>IF('Cause-Result'!L40="","",LEFT(REPLACE('Cause-Result'!L40,1,1,"T"),LEN('Cause-Result'!L40)-3))</f>
        <v/>
      </c>
      <c r="M40" s="13" t="str">
        <f>IF('Cause-Result'!M40="","",LEFT(REPLACE('Cause-Result'!M40,1,1,"T"),LEN('Cause-Result'!M40)-3))</f>
        <v/>
      </c>
      <c r="N40" s="13" t="str">
        <f>IF('Cause-Result'!N40="","",LEFT(REPLACE('Cause-Result'!N40,1,1,"T"),LEN('Cause-Result'!N40)-3))</f>
        <v/>
      </c>
      <c r="O40" s="13" t="str">
        <f>IF('Cause-Result'!O40="","",LEFT(REPLACE('Cause-Result'!O40,1,1,"T"),LEN('Cause-Result'!O40)-3))</f>
        <v/>
      </c>
      <c r="P40" s="13" t="str">
        <f>IF('Cause-Result'!P40="","",LEFT(REPLACE('Cause-Result'!P40,1,1,"T"),LEN('Cause-Result'!P40)-3))</f>
        <v/>
      </c>
      <c r="Q40" s="13" t="str">
        <f>IF('Cause-Result'!Q40="","",LEFT(REPLACE('Cause-Result'!Q40,1,1,"T"),LEN('Cause-Result'!Q40)-3))</f>
        <v/>
      </c>
      <c r="R40" s="13" t="str">
        <f>IF('Cause-Result'!R40="","",LEFT(REPLACE('Cause-Result'!R40,1,1,"T"),LEN('Cause-Result'!R40)-3))</f>
        <v/>
      </c>
      <c r="S40" s="13" t="str">
        <f>IF('Cause-Result'!S40="","",LEFT(REPLACE('Cause-Result'!S40,1,1,"T"),LEN('Cause-Result'!S40)-3))</f>
        <v/>
      </c>
      <c r="T40" s="13" t="str">
        <f>IF('Cause-Result'!T40="","",LEFT(REPLACE('Cause-Result'!T40,1,1,"T"),LEN('Cause-Result'!T40)-3))</f>
        <v/>
      </c>
      <c r="U40" s="13" t="str">
        <f>IF('Cause-Result'!U40="","",LEFT(REPLACE('Cause-Result'!U40,1,1,"T"),LEN('Cause-Result'!U40)-3))</f>
        <v/>
      </c>
      <c r="V40" s="13" t="str">
        <f>IF('Cause-Result'!V40="","",LEFT(REPLACE('Cause-Result'!V40,1,1,"T"),LEN('Cause-Result'!V40)-3))</f>
        <v/>
      </c>
      <c r="W40" s="13" t="str">
        <f>IF('Cause-Result'!W40="","",LEFT(REPLACE('Cause-Result'!W40,1,1,"T"),LEN('Cause-Result'!W40)-3))</f>
        <v/>
      </c>
      <c r="X40" s="13" t="str">
        <f>IF('Cause-Result'!X40="","",LEFT(REPLACE('Cause-Result'!X40,1,1,"T"),LEN('Cause-Result'!X40)-3))</f>
        <v/>
      </c>
      <c r="Y40" s="13" t="str">
        <f>IF('Cause-Result'!Y40="","",LEFT(REPLACE('Cause-Result'!Y40,1,1,"T"),LEN('Cause-Result'!Y40)-3))</f>
        <v/>
      </c>
      <c r="Z40" s="13" t="str">
        <f>IF('Cause-Result'!Z40="","",LEFT(REPLACE('Cause-Result'!Z40,1,1,"T"),LEN('Cause-Result'!Z40)-3))</f>
        <v/>
      </c>
      <c r="AA40" s="13" t="str">
        <f>IF('Cause-Result'!AA40="","",LEFT(REPLACE('Cause-Result'!AA40,1,1,"T"),LEN('Cause-Result'!AA40)-3))</f>
        <v/>
      </c>
      <c r="AB40" s="13" t="str">
        <f>IF('Cause-Result'!AB40="","",LEFT(REPLACE('Cause-Result'!AB40,1,1,"T"),LEN('Cause-Result'!AB40)-3))</f>
        <v/>
      </c>
    </row>
    <row r="41">
      <c r="A41" s="7">
        <v>42.0</v>
      </c>
      <c r="B41" s="8" t="s">
        <v>82</v>
      </c>
      <c r="C41" s="9" t="s">
        <v>83</v>
      </c>
      <c r="D41" s="10" t="s">
        <v>82</v>
      </c>
      <c r="E41" s="13" t="str">
        <f>IF('Cause-Result'!E41="","",LEFT(REPLACE('Cause-Result'!E41,1,1,"T"),LEN('Cause-Result'!E41)-3))</f>
        <v>T18</v>
      </c>
      <c r="F41" s="13" t="str">
        <f>IF('Cause-Result'!F41="","",LEFT(REPLACE('Cause-Result'!F41,1,1,"T"),LEN('Cause-Result'!F41)-3))</f>
        <v>T18</v>
      </c>
      <c r="G41" s="13" t="str">
        <f>IF('Cause-Result'!G41="","",LEFT(REPLACE('Cause-Result'!G41,1,1,"T"),LEN('Cause-Result'!G41)-3))</f>
        <v/>
      </c>
      <c r="H41" s="13" t="str">
        <f>IF('Cause-Result'!H41="","",LEFT(REPLACE('Cause-Result'!H41,1,1,"T"),LEN('Cause-Result'!H41)-3))</f>
        <v/>
      </c>
      <c r="I41" s="13" t="str">
        <f>IF('Cause-Result'!I41="","",LEFT(REPLACE('Cause-Result'!I41,1,1,"T"),LEN('Cause-Result'!I41)-3))</f>
        <v/>
      </c>
      <c r="J41" s="13" t="str">
        <f>IF('Cause-Result'!J41="","",LEFT(REPLACE('Cause-Result'!J41,1,1,"T"),LEN('Cause-Result'!J41)-3))</f>
        <v/>
      </c>
      <c r="K41" s="13" t="str">
        <f>IF('Cause-Result'!K41="","",LEFT(REPLACE('Cause-Result'!K41,1,1,"T"),LEN('Cause-Result'!K41)-3))</f>
        <v/>
      </c>
      <c r="L41" s="13" t="str">
        <f>IF('Cause-Result'!L41="","",LEFT(REPLACE('Cause-Result'!L41,1,1,"T"),LEN('Cause-Result'!L41)-3))</f>
        <v/>
      </c>
      <c r="M41" s="13" t="str">
        <f>IF('Cause-Result'!M41="","",LEFT(REPLACE('Cause-Result'!M41,1,1,"T"),LEN('Cause-Result'!M41)-3))</f>
        <v/>
      </c>
      <c r="N41" s="13" t="str">
        <f>IF('Cause-Result'!N41="","",LEFT(REPLACE('Cause-Result'!N41,1,1,"T"),LEN('Cause-Result'!N41)-3))</f>
        <v/>
      </c>
      <c r="O41" s="13" t="str">
        <f>IF('Cause-Result'!O41="","",LEFT(REPLACE('Cause-Result'!O41,1,1,"T"),LEN('Cause-Result'!O41)-3))</f>
        <v/>
      </c>
      <c r="P41" s="13" t="str">
        <f>IF('Cause-Result'!P41="","",LEFT(REPLACE('Cause-Result'!P41,1,1,"T"),LEN('Cause-Result'!P41)-3))</f>
        <v/>
      </c>
      <c r="Q41" s="13" t="str">
        <f>IF('Cause-Result'!Q41="","",LEFT(REPLACE('Cause-Result'!Q41,1,1,"T"),LEN('Cause-Result'!Q41)-3))</f>
        <v/>
      </c>
      <c r="R41" s="13" t="str">
        <f>IF('Cause-Result'!R41="","",LEFT(REPLACE('Cause-Result'!R41,1,1,"T"),LEN('Cause-Result'!R41)-3))</f>
        <v/>
      </c>
      <c r="S41" s="13" t="str">
        <f>IF('Cause-Result'!S41="","",LEFT(REPLACE('Cause-Result'!S41,1,1,"T"),LEN('Cause-Result'!S41)-3))</f>
        <v/>
      </c>
      <c r="T41" s="13" t="str">
        <f>IF('Cause-Result'!T41="","",LEFT(REPLACE('Cause-Result'!T41,1,1,"T"),LEN('Cause-Result'!T41)-3))</f>
        <v/>
      </c>
      <c r="U41" s="13" t="str">
        <f>IF('Cause-Result'!U41="","",LEFT(REPLACE('Cause-Result'!U41,1,1,"T"),LEN('Cause-Result'!U41)-3))</f>
        <v/>
      </c>
      <c r="V41" s="13" t="str">
        <f>IF('Cause-Result'!V41="","",LEFT(REPLACE('Cause-Result'!V41,1,1,"T"),LEN('Cause-Result'!V41)-3))</f>
        <v/>
      </c>
      <c r="W41" s="13" t="str">
        <f>IF('Cause-Result'!W41="","",LEFT(REPLACE('Cause-Result'!W41,1,1,"T"),LEN('Cause-Result'!W41)-3))</f>
        <v/>
      </c>
      <c r="X41" s="13" t="str">
        <f>IF('Cause-Result'!X41="","",LEFT(REPLACE('Cause-Result'!X41,1,1,"T"),LEN('Cause-Result'!X41)-3))</f>
        <v/>
      </c>
      <c r="Y41" s="13" t="str">
        <f>IF('Cause-Result'!Y41="","",LEFT(REPLACE('Cause-Result'!Y41,1,1,"T"),LEN('Cause-Result'!Y41)-3))</f>
        <v/>
      </c>
      <c r="Z41" s="13" t="str">
        <f>IF('Cause-Result'!Z41="","",LEFT(REPLACE('Cause-Result'!Z41,1,1,"T"),LEN('Cause-Result'!Z41)-3))</f>
        <v/>
      </c>
      <c r="AA41" s="13" t="str">
        <f>IF('Cause-Result'!AA41="","",LEFT(REPLACE('Cause-Result'!AA41,1,1,"T"),LEN('Cause-Result'!AA41)-3))</f>
        <v/>
      </c>
      <c r="AB41" s="13" t="str">
        <f>IF('Cause-Result'!AB41="","",LEFT(REPLACE('Cause-Result'!AB41,1,1,"T"),LEN('Cause-Result'!AB41)-3))</f>
        <v/>
      </c>
    </row>
    <row r="42">
      <c r="A42" s="7">
        <v>43.0</v>
      </c>
      <c r="B42" s="8" t="s">
        <v>84</v>
      </c>
      <c r="C42" s="9" t="s">
        <v>85</v>
      </c>
      <c r="D42" s="10" t="s">
        <v>84</v>
      </c>
      <c r="E42" s="13" t="str">
        <f>IF('Cause-Result'!E42="","",LEFT(REPLACE('Cause-Result'!E42,1,1,"T"),LEN('Cause-Result'!E42)-3))</f>
        <v>T15</v>
      </c>
      <c r="F42" s="13" t="str">
        <f>IF('Cause-Result'!F42="","",LEFT(REPLACE('Cause-Result'!F42,1,1,"T"),LEN('Cause-Result'!F42)-3))</f>
        <v>T14</v>
      </c>
      <c r="G42" s="13" t="str">
        <f>IF('Cause-Result'!G42="","",LEFT(REPLACE('Cause-Result'!G42,1,1,"T"),LEN('Cause-Result'!G42)-3))</f>
        <v>T27</v>
      </c>
      <c r="H42" s="13" t="str">
        <f>IF('Cause-Result'!H42="","",LEFT(REPLACE('Cause-Result'!H42,1,1,"T"),LEN('Cause-Result'!H42)-3))</f>
        <v>T26</v>
      </c>
      <c r="I42" s="13" t="str">
        <f>IF('Cause-Result'!I42="","",LEFT(REPLACE('Cause-Result'!I42,1,1,"T"),LEN('Cause-Result'!I42)-3))</f>
        <v>T25</v>
      </c>
      <c r="J42" s="13" t="str">
        <f>IF('Cause-Result'!J42="","",LEFT(REPLACE('Cause-Result'!J42,1,1,"T"),LEN('Cause-Result'!J42)-3))</f>
        <v>T26</v>
      </c>
      <c r="K42" s="13" t="str">
        <f>IF('Cause-Result'!K42="","",LEFT(REPLACE('Cause-Result'!K42,1,1,"T"),LEN('Cause-Result'!K42)-3))</f>
        <v>T25</v>
      </c>
      <c r="L42" s="13" t="str">
        <f>IF('Cause-Result'!L42="","",LEFT(REPLACE('Cause-Result'!L42,1,1,"T"),LEN('Cause-Result'!L42)-3))</f>
        <v>T30</v>
      </c>
      <c r="M42" s="13" t="str">
        <f>IF('Cause-Result'!M42="","",LEFT(REPLACE('Cause-Result'!M42,1,1,"T"),LEN('Cause-Result'!M42)-3))</f>
        <v>T30</v>
      </c>
      <c r="N42" s="13" t="str">
        <f>IF('Cause-Result'!N42="","",LEFT(REPLACE('Cause-Result'!N42,1,1,"T"),LEN('Cause-Result'!N42)-3))</f>
        <v>T30</v>
      </c>
      <c r="O42" s="13" t="str">
        <f>IF('Cause-Result'!O42="","",LEFT(REPLACE('Cause-Result'!O42,1,1,"T"),LEN('Cause-Result'!O42)-3))</f>
        <v>T29</v>
      </c>
      <c r="P42" s="13" t="str">
        <f>IF('Cause-Result'!P42="","",LEFT(REPLACE('Cause-Result'!P42,1,1,"T"),LEN('Cause-Result'!P42)-3))</f>
        <v>T31</v>
      </c>
      <c r="Q42" s="13" t="str">
        <f>IF('Cause-Result'!Q42="","",LEFT(REPLACE('Cause-Result'!Q42,1,1,"T"),LEN('Cause-Result'!Q42)-3))</f>
        <v>T13</v>
      </c>
      <c r="R42" s="13" t="str">
        <f>IF('Cause-Result'!R42="","",LEFT(REPLACE('Cause-Result'!R42,1,1,"T"),LEN('Cause-Result'!R42)-3))</f>
        <v/>
      </c>
      <c r="S42" s="13" t="str">
        <f>IF('Cause-Result'!S42="","",LEFT(REPLACE('Cause-Result'!S42,1,1,"T"),LEN('Cause-Result'!S42)-3))</f>
        <v/>
      </c>
      <c r="T42" s="13" t="str">
        <f>IF('Cause-Result'!T42="","",LEFT(REPLACE('Cause-Result'!T42,1,1,"T"),LEN('Cause-Result'!T42)-3))</f>
        <v/>
      </c>
      <c r="U42" s="13" t="str">
        <f>IF('Cause-Result'!U42="","",LEFT(REPLACE('Cause-Result'!U42,1,1,"T"),LEN('Cause-Result'!U42)-3))</f>
        <v/>
      </c>
      <c r="V42" s="13" t="str">
        <f>IF('Cause-Result'!V42="","",LEFT(REPLACE('Cause-Result'!V42,1,1,"T"),LEN('Cause-Result'!V42)-3))</f>
        <v/>
      </c>
      <c r="W42" s="13" t="str">
        <f>IF('Cause-Result'!W42="","",LEFT(REPLACE('Cause-Result'!W42,1,1,"T"),LEN('Cause-Result'!W42)-3))</f>
        <v/>
      </c>
      <c r="X42" s="13" t="str">
        <f>IF('Cause-Result'!X42="","",LEFT(REPLACE('Cause-Result'!X42,1,1,"T"),LEN('Cause-Result'!X42)-3))</f>
        <v/>
      </c>
      <c r="Y42" s="13" t="str">
        <f>IF('Cause-Result'!Y42="","",LEFT(REPLACE('Cause-Result'!Y42,1,1,"T"),LEN('Cause-Result'!Y42)-3))</f>
        <v/>
      </c>
      <c r="Z42" s="13" t="str">
        <f>IF('Cause-Result'!Z42="","",LEFT(REPLACE('Cause-Result'!Z42,1,1,"T"),LEN('Cause-Result'!Z42)-3))</f>
        <v/>
      </c>
      <c r="AA42" s="13" t="str">
        <f>IF('Cause-Result'!AA42="","",LEFT(REPLACE('Cause-Result'!AA42,1,1,"T"),LEN('Cause-Result'!AA42)-3))</f>
        <v/>
      </c>
      <c r="AB42" s="13" t="str">
        <f>IF('Cause-Result'!AB42="","",LEFT(REPLACE('Cause-Result'!AB42,1,1,"T"),LEN('Cause-Result'!AB42)-3))</f>
        <v/>
      </c>
    </row>
  </sheetData>
  <mergeCells count="1">
    <mergeCell ref="E1:AB1"/>
  </mergeCells>
  <conditionalFormatting sqref="E1:AB42">
    <cfRule type="cellIs" dxfId="0" priority="1" operator="equal">
      <formula>"ERR"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3.88"/>
    <col customWidth="1" min="2" max="2" width="5.88"/>
    <col customWidth="1" min="3" max="3" width="20.0"/>
    <col customWidth="1" min="4" max="4" width="5.88"/>
    <col customWidth="1" min="5" max="5" width="14.5"/>
    <col customWidth="1" min="6" max="6" width="17.63"/>
    <col customWidth="1" min="7" max="7" width="16.63"/>
  </cols>
  <sheetData>
    <row r="1">
      <c r="A1" s="1" t="s">
        <v>0</v>
      </c>
      <c r="B1" s="2" t="s">
        <v>1</v>
      </c>
      <c r="C1" s="3" t="s">
        <v>2</v>
      </c>
      <c r="D1" s="4" t="s">
        <v>1</v>
      </c>
      <c r="E1" s="2" t="s">
        <v>1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7">
        <v>1.0</v>
      </c>
      <c r="B2" s="8" t="s">
        <v>4</v>
      </c>
      <c r="C2" s="9" t="s">
        <v>5</v>
      </c>
      <c r="D2" s="10" t="s">
        <v>4</v>
      </c>
      <c r="E2" s="14" t="s">
        <v>88</v>
      </c>
      <c r="F2" s="14" t="s">
        <v>89</v>
      </c>
      <c r="G2" s="14" t="s">
        <v>90</v>
      </c>
      <c r="H2" s="14" t="s">
        <v>91</v>
      </c>
      <c r="I2" s="14" t="s">
        <v>92</v>
      </c>
      <c r="J2" s="14" t="s">
        <v>93</v>
      </c>
      <c r="K2" s="14" t="s">
        <v>94</v>
      </c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>
      <c r="A3" s="7">
        <v>2.0</v>
      </c>
      <c r="B3" s="8" t="s">
        <v>6</v>
      </c>
      <c r="C3" s="9" t="s">
        <v>7</v>
      </c>
      <c r="D3" s="10" t="s">
        <v>6</v>
      </c>
      <c r="E3" s="14" t="s">
        <v>95</v>
      </c>
      <c r="F3" s="14" t="s">
        <v>96</v>
      </c>
      <c r="G3" s="14" t="s">
        <v>97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>
      <c r="A4" s="7">
        <v>3.0</v>
      </c>
      <c r="B4" s="8" t="s">
        <v>8</v>
      </c>
      <c r="C4" s="9" t="s">
        <v>9</v>
      </c>
      <c r="D4" s="10" t="s">
        <v>8</v>
      </c>
      <c r="E4" s="14" t="s">
        <v>89</v>
      </c>
      <c r="F4" s="14" t="s">
        <v>98</v>
      </c>
      <c r="G4" s="14" t="s">
        <v>99</v>
      </c>
      <c r="H4" s="14" t="s">
        <v>100</v>
      </c>
      <c r="I4" s="14" t="s">
        <v>96</v>
      </c>
      <c r="J4" s="14" t="s">
        <v>97</v>
      </c>
      <c r="K4" s="14" t="s">
        <v>101</v>
      </c>
      <c r="L4" s="14" t="s">
        <v>102</v>
      </c>
      <c r="M4" s="14" t="s">
        <v>103</v>
      </c>
      <c r="N4" s="14" t="s">
        <v>92</v>
      </c>
      <c r="O4" s="14" t="s">
        <v>93</v>
      </c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>
      <c r="A5" s="7">
        <v>4.0</v>
      </c>
      <c r="B5" s="8" t="s">
        <v>10</v>
      </c>
      <c r="C5" s="9" t="s">
        <v>11</v>
      </c>
      <c r="D5" s="10" t="s">
        <v>10</v>
      </c>
      <c r="E5" s="14" t="s">
        <v>88</v>
      </c>
      <c r="F5" s="14" t="s">
        <v>89</v>
      </c>
      <c r="G5" s="14" t="s">
        <v>90</v>
      </c>
      <c r="H5" s="14" t="s">
        <v>91</v>
      </c>
      <c r="I5" s="14" t="s">
        <v>92</v>
      </c>
      <c r="J5" s="14" t="s">
        <v>93</v>
      </c>
      <c r="K5" s="14" t="s">
        <v>104</v>
      </c>
      <c r="L5" s="14" t="s">
        <v>105</v>
      </c>
      <c r="M5" s="14" t="s">
        <v>106</v>
      </c>
      <c r="N5" s="14" t="s">
        <v>107</v>
      </c>
      <c r="O5" s="16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>
      <c r="A6" s="7">
        <v>5.0</v>
      </c>
      <c r="B6" s="8" t="s">
        <v>12</v>
      </c>
      <c r="C6" s="9" t="s">
        <v>13</v>
      </c>
      <c r="D6" s="10" t="s">
        <v>12</v>
      </c>
      <c r="E6" s="14" t="s">
        <v>108</v>
      </c>
      <c r="F6" s="14" t="s">
        <v>109</v>
      </c>
      <c r="G6" s="14" t="s">
        <v>110</v>
      </c>
      <c r="H6" s="14" t="s">
        <v>111</v>
      </c>
      <c r="I6" s="14" t="s">
        <v>112</v>
      </c>
      <c r="J6" s="14" t="s">
        <v>113</v>
      </c>
      <c r="K6" s="14" t="s">
        <v>114</v>
      </c>
      <c r="L6" s="14" t="s">
        <v>115</v>
      </c>
      <c r="M6" s="14" t="s">
        <v>96</v>
      </c>
      <c r="N6" s="14" t="s">
        <v>97</v>
      </c>
      <c r="O6" s="15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>
      <c r="A7" s="7">
        <v>6.0</v>
      </c>
      <c r="B7" s="8" t="s">
        <v>14</v>
      </c>
      <c r="C7" s="9" t="s">
        <v>15</v>
      </c>
      <c r="D7" s="10" t="s">
        <v>14</v>
      </c>
      <c r="E7" s="14" t="s">
        <v>116</v>
      </c>
      <c r="F7" s="14" t="s">
        <v>117</v>
      </c>
      <c r="G7" s="14" t="s">
        <v>118</v>
      </c>
      <c r="H7" s="14" t="s">
        <v>119</v>
      </c>
      <c r="I7" s="14" t="s">
        <v>120</v>
      </c>
      <c r="J7" s="14" t="s">
        <v>121</v>
      </c>
      <c r="K7" s="14" t="s">
        <v>122</v>
      </c>
      <c r="L7" s="14" t="s">
        <v>123</v>
      </c>
      <c r="M7" s="14" t="s">
        <v>124</v>
      </c>
      <c r="N7" s="16"/>
      <c r="O7" s="16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>
      <c r="A8" s="7">
        <v>7.0</v>
      </c>
      <c r="B8" s="8" t="s">
        <v>16</v>
      </c>
      <c r="C8" s="9" t="s">
        <v>17</v>
      </c>
      <c r="D8" s="10" t="s">
        <v>16</v>
      </c>
      <c r="E8" s="14" t="s">
        <v>125</v>
      </c>
      <c r="F8" s="18" t="s">
        <v>126</v>
      </c>
      <c r="G8" s="14" t="s">
        <v>127</v>
      </c>
      <c r="H8" s="14" t="s">
        <v>128</v>
      </c>
      <c r="I8" s="14" t="s">
        <v>129</v>
      </c>
      <c r="J8" s="14" t="s">
        <v>130</v>
      </c>
      <c r="K8" s="14" t="s">
        <v>131</v>
      </c>
      <c r="L8" s="14" t="s">
        <v>132</v>
      </c>
      <c r="M8" s="14" t="s">
        <v>92</v>
      </c>
      <c r="N8" s="14" t="s">
        <v>93</v>
      </c>
      <c r="O8" s="14" t="s">
        <v>121</v>
      </c>
      <c r="P8" s="14" t="s">
        <v>120</v>
      </c>
      <c r="Q8" s="14" t="s">
        <v>123</v>
      </c>
      <c r="R8" s="14" t="s">
        <v>122</v>
      </c>
      <c r="S8" s="13"/>
      <c r="T8" s="13"/>
      <c r="U8" s="13"/>
      <c r="V8" s="13"/>
      <c r="W8" s="13"/>
      <c r="X8" s="13"/>
      <c r="Y8" s="13"/>
      <c r="Z8" s="13"/>
      <c r="AA8" s="13"/>
      <c r="AB8" s="13"/>
    </row>
    <row r="9">
      <c r="A9" s="7">
        <v>8.0</v>
      </c>
      <c r="B9" s="8" t="s">
        <v>18</v>
      </c>
      <c r="C9" s="9" t="s">
        <v>19</v>
      </c>
      <c r="D9" s="10" t="s">
        <v>18</v>
      </c>
      <c r="E9" s="14" t="s">
        <v>133</v>
      </c>
      <c r="F9" s="18" t="s">
        <v>134</v>
      </c>
      <c r="G9" s="14" t="s">
        <v>135</v>
      </c>
      <c r="H9" s="14" t="s">
        <v>136</v>
      </c>
      <c r="I9" s="14" t="s">
        <v>129</v>
      </c>
      <c r="J9" s="14" t="s">
        <v>130</v>
      </c>
      <c r="K9" s="14" t="s">
        <v>131</v>
      </c>
      <c r="L9" s="14" t="s">
        <v>132</v>
      </c>
      <c r="M9" s="14" t="s">
        <v>92</v>
      </c>
      <c r="N9" s="14" t="s">
        <v>93</v>
      </c>
      <c r="O9" s="14" t="s">
        <v>121</v>
      </c>
      <c r="P9" s="14" t="s">
        <v>120</v>
      </c>
      <c r="Q9" s="14" t="s">
        <v>123</v>
      </c>
      <c r="R9" s="14" t="s">
        <v>122</v>
      </c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>
      <c r="A10" s="7">
        <v>9.0</v>
      </c>
      <c r="B10" s="8" t="s">
        <v>20</v>
      </c>
      <c r="C10" s="9" t="s">
        <v>21</v>
      </c>
      <c r="D10" s="10" t="s">
        <v>20</v>
      </c>
      <c r="E10" s="14" t="s">
        <v>137</v>
      </c>
      <c r="F10" s="18" t="s">
        <v>138</v>
      </c>
      <c r="G10" s="14" t="s">
        <v>139</v>
      </c>
      <c r="H10" s="14" t="s">
        <v>140</v>
      </c>
      <c r="I10" s="14" t="s">
        <v>141</v>
      </c>
      <c r="J10" s="14" t="s">
        <v>142</v>
      </c>
      <c r="K10" s="14" t="s">
        <v>143</v>
      </c>
      <c r="L10" s="14" t="s">
        <v>115</v>
      </c>
      <c r="M10" s="14" t="s">
        <v>121</v>
      </c>
      <c r="N10" s="14" t="s">
        <v>120</v>
      </c>
      <c r="O10" s="14" t="s">
        <v>123</v>
      </c>
      <c r="P10" s="14" t="s">
        <v>122</v>
      </c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7">
        <v>10.0</v>
      </c>
      <c r="B11" s="8" t="s">
        <v>22</v>
      </c>
      <c r="C11" s="9" t="s">
        <v>23</v>
      </c>
      <c r="D11" s="10" t="s">
        <v>22</v>
      </c>
      <c r="E11" s="14" t="s">
        <v>144</v>
      </c>
      <c r="F11" s="18" t="s">
        <v>145</v>
      </c>
      <c r="G11" s="14" t="s">
        <v>146</v>
      </c>
      <c r="H11" s="14" t="s">
        <v>147</v>
      </c>
      <c r="I11" s="14" t="s">
        <v>148</v>
      </c>
      <c r="J11" s="14" t="s">
        <v>141</v>
      </c>
      <c r="K11" s="14" t="s">
        <v>149</v>
      </c>
      <c r="L11" s="14" t="s">
        <v>142</v>
      </c>
      <c r="M11" s="14" t="s">
        <v>115</v>
      </c>
      <c r="N11" s="14" t="s">
        <v>121</v>
      </c>
      <c r="O11" s="14" t="s">
        <v>120</v>
      </c>
      <c r="P11" s="14" t="s">
        <v>123</v>
      </c>
      <c r="Q11" s="14" t="s">
        <v>122</v>
      </c>
      <c r="R11" s="14" t="s">
        <v>150</v>
      </c>
      <c r="S11" s="14" t="s">
        <v>151</v>
      </c>
      <c r="T11" s="14" t="s">
        <v>152</v>
      </c>
      <c r="U11" s="14" t="s">
        <v>153</v>
      </c>
      <c r="V11" s="15"/>
      <c r="W11" s="15"/>
      <c r="X11" s="15"/>
      <c r="Y11" s="15"/>
      <c r="Z11" s="15"/>
      <c r="AA11" s="15"/>
      <c r="AB11" s="15"/>
    </row>
    <row r="12">
      <c r="A12" s="7">
        <v>11.0</v>
      </c>
      <c r="B12" s="8" t="s">
        <v>24</v>
      </c>
      <c r="C12" s="9" t="s">
        <v>25</v>
      </c>
      <c r="D12" s="10" t="s">
        <v>24</v>
      </c>
      <c r="E12" s="14" t="s">
        <v>154</v>
      </c>
      <c r="F12" s="14" t="s">
        <v>155</v>
      </c>
      <c r="H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>
      <c r="A13" s="7">
        <v>12.0</v>
      </c>
      <c r="B13" s="8" t="s">
        <v>26</v>
      </c>
      <c r="C13" s="9" t="s">
        <v>27</v>
      </c>
      <c r="D13" s="10" t="s">
        <v>26</v>
      </c>
      <c r="E13" s="14" t="s">
        <v>156</v>
      </c>
      <c r="F13" s="14" t="s">
        <v>130</v>
      </c>
      <c r="G13" s="14" t="s">
        <v>157</v>
      </c>
      <c r="H13" s="13"/>
      <c r="I13" s="13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>
      <c r="A14" s="7">
        <v>13.0</v>
      </c>
      <c r="B14" s="8" t="s">
        <v>28</v>
      </c>
      <c r="C14" s="9" t="s">
        <v>29</v>
      </c>
      <c r="D14" s="10" t="s">
        <v>28</v>
      </c>
      <c r="E14" s="14" t="s">
        <v>158</v>
      </c>
      <c r="F14" s="14" t="s">
        <v>159</v>
      </c>
      <c r="G14" s="14" t="s">
        <v>160</v>
      </c>
      <c r="H14" s="14" t="s">
        <v>161</v>
      </c>
      <c r="I14" s="14" t="s">
        <v>162</v>
      </c>
      <c r="J14" s="14" t="s">
        <v>163</v>
      </c>
      <c r="K14" s="14" t="s">
        <v>164</v>
      </c>
      <c r="L14" s="14" t="s">
        <v>165</v>
      </c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>
      <c r="A15" s="7">
        <v>14.0</v>
      </c>
      <c r="B15" s="8" t="s">
        <v>30</v>
      </c>
      <c r="C15" s="9" t="s">
        <v>31</v>
      </c>
      <c r="D15" s="10" t="s">
        <v>30</v>
      </c>
      <c r="E15" s="14" t="s">
        <v>166</v>
      </c>
      <c r="F15" s="14" t="s">
        <v>167</v>
      </c>
      <c r="G15" s="14" t="s">
        <v>168</v>
      </c>
      <c r="H15" s="14" t="s">
        <v>169</v>
      </c>
      <c r="I15" s="14" t="s">
        <v>170</v>
      </c>
      <c r="J15" s="14" t="s">
        <v>171</v>
      </c>
      <c r="K15" s="14" t="s">
        <v>172</v>
      </c>
      <c r="L15" s="14" t="s">
        <v>173</v>
      </c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>
      <c r="A16" s="7">
        <v>15.0</v>
      </c>
      <c r="B16" s="8" t="s">
        <v>32</v>
      </c>
      <c r="C16" s="9" t="s">
        <v>33</v>
      </c>
      <c r="D16" s="10" t="s">
        <v>32</v>
      </c>
      <c r="E16" s="14" t="s">
        <v>125</v>
      </c>
      <c r="F16" s="18" t="s">
        <v>126</v>
      </c>
      <c r="G16" s="14" t="s">
        <v>127</v>
      </c>
      <c r="H16" s="14" t="s">
        <v>128</v>
      </c>
      <c r="I16" s="14" t="s">
        <v>133</v>
      </c>
      <c r="J16" s="18" t="s">
        <v>134</v>
      </c>
      <c r="K16" s="14" t="s">
        <v>135</v>
      </c>
      <c r="L16" s="14" t="s">
        <v>136</v>
      </c>
      <c r="M16" s="14" t="s">
        <v>129</v>
      </c>
      <c r="N16" s="14" t="s">
        <v>130</v>
      </c>
      <c r="O16" s="14" t="s">
        <v>131</v>
      </c>
      <c r="P16" s="14" t="s">
        <v>132</v>
      </c>
      <c r="Q16" s="14" t="s">
        <v>92</v>
      </c>
      <c r="R16" s="14" t="s">
        <v>93</v>
      </c>
      <c r="S16" s="14" t="s">
        <v>121</v>
      </c>
      <c r="T16" s="14" t="s">
        <v>120</v>
      </c>
      <c r="U16" s="14" t="s">
        <v>123</v>
      </c>
      <c r="V16" s="14" t="s">
        <v>122</v>
      </c>
      <c r="W16" s="14" t="s">
        <v>164</v>
      </c>
      <c r="X16" s="14" t="s">
        <v>165</v>
      </c>
      <c r="Y16" s="13"/>
      <c r="Z16" s="13"/>
      <c r="AA16" s="13"/>
      <c r="AB16" s="13"/>
    </row>
    <row r="17">
      <c r="A17" s="7">
        <v>16.0</v>
      </c>
      <c r="B17" s="8" t="s">
        <v>34</v>
      </c>
      <c r="C17" s="9" t="s">
        <v>35</v>
      </c>
      <c r="D17" s="10" t="s">
        <v>34</v>
      </c>
      <c r="E17" s="14" t="s">
        <v>144</v>
      </c>
      <c r="F17" s="18" t="s">
        <v>145</v>
      </c>
      <c r="G17" s="14" t="s">
        <v>146</v>
      </c>
      <c r="H17" s="14" t="s">
        <v>147</v>
      </c>
      <c r="I17" s="14" t="s">
        <v>144</v>
      </c>
      <c r="J17" s="18" t="s">
        <v>145</v>
      </c>
      <c r="K17" s="14" t="s">
        <v>146</v>
      </c>
      <c r="L17" s="14" t="s">
        <v>147</v>
      </c>
      <c r="M17" s="14" t="s">
        <v>148</v>
      </c>
      <c r="N17" s="14" t="s">
        <v>143</v>
      </c>
      <c r="O17" s="14" t="s">
        <v>141</v>
      </c>
      <c r="P17" s="14" t="s">
        <v>149</v>
      </c>
      <c r="Q17" s="14" t="s">
        <v>142</v>
      </c>
      <c r="R17" s="14" t="s">
        <v>115</v>
      </c>
      <c r="S17" s="14" t="s">
        <v>121</v>
      </c>
      <c r="T17" s="14" t="s">
        <v>120</v>
      </c>
      <c r="U17" s="14" t="s">
        <v>123</v>
      </c>
      <c r="V17" s="14" t="s">
        <v>122</v>
      </c>
      <c r="W17" s="14" t="s">
        <v>150</v>
      </c>
      <c r="X17" s="14" t="s">
        <v>151</v>
      </c>
      <c r="Y17" s="14" t="s">
        <v>152</v>
      </c>
      <c r="Z17" s="14" t="s">
        <v>153</v>
      </c>
      <c r="AA17" s="14" t="s">
        <v>172</v>
      </c>
      <c r="AB17" s="14" t="s">
        <v>173</v>
      </c>
    </row>
    <row r="18">
      <c r="A18" s="7">
        <v>19.0</v>
      </c>
      <c r="B18" s="8" t="s">
        <v>36</v>
      </c>
      <c r="C18" s="9" t="s">
        <v>37</v>
      </c>
      <c r="D18" s="10" t="s">
        <v>36</v>
      </c>
      <c r="E18" s="14" t="s">
        <v>157</v>
      </c>
      <c r="G18" s="15"/>
      <c r="H18" s="15"/>
      <c r="I18" s="15"/>
      <c r="J18" s="15"/>
      <c r="K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>
      <c r="A19" s="7">
        <v>20.0</v>
      </c>
      <c r="B19" s="8" t="s">
        <v>38</v>
      </c>
      <c r="C19" s="9" t="s">
        <v>39</v>
      </c>
      <c r="D19" s="10" t="s">
        <v>38</v>
      </c>
      <c r="E19" s="14" t="s">
        <v>174</v>
      </c>
      <c r="F19" s="14" t="s">
        <v>175</v>
      </c>
      <c r="G19" s="14" t="s">
        <v>157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>
      <c r="A20" s="7">
        <v>21.0</v>
      </c>
      <c r="B20" s="8" t="s">
        <v>40</v>
      </c>
      <c r="C20" s="9" t="s">
        <v>41</v>
      </c>
      <c r="D20" s="10" t="s">
        <v>40</v>
      </c>
      <c r="E20" s="14" t="s">
        <v>176</v>
      </c>
      <c r="F20" s="14" t="s">
        <v>175</v>
      </c>
      <c r="G20" s="14" t="s">
        <v>157</v>
      </c>
      <c r="H20" s="16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>
      <c r="A21" s="7">
        <v>22.0</v>
      </c>
      <c r="B21" s="8" t="s">
        <v>42</v>
      </c>
      <c r="C21" s="9" t="s">
        <v>43</v>
      </c>
      <c r="D21" s="10" t="s">
        <v>42</v>
      </c>
      <c r="E21" s="14" t="s">
        <v>177</v>
      </c>
      <c r="F21" s="18" t="s">
        <v>178</v>
      </c>
      <c r="G21" s="14" t="s">
        <v>109</v>
      </c>
      <c r="H21" s="18" t="s">
        <v>110</v>
      </c>
      <c r="I21" s="14" t="s">
        <v>179</v>
      </c>
      <c r="J21" s="18" t="s">
        <v>180</v>
      </c>
      <c r="K21" s="14" t="s">
        <v>108</v>
      </c>
      <c r="L21" s="18" t="s">
        <v>181</v>
      </c>
      <c r="M21" s="18" t="s">
        <v>111</v>
      </c>
      <c r="N21" s="18" t="s">
        <v>182</v>
      </c>
      <c r="O21" s="14" t="s">
        <v>183</v>
      </c>
      <c r="P21" s="14" t="s">
        <v>184</v>
      </c>
      <c r="Q21" s="18" t="s">
        <v>167</v>
      </c>
      <c r="R21" s="18" t="s">
        <v>172</v>
      </c>
      <c r="S21" s="18" t="s">
        <v>170</v>
      </c>
      <c r="T21" s="18" t="s">
        <v>173</v>
      </c>
      <c r="U21" s="14" t="s">
        <v>149</v>
      </c>
      <c r="V21" s="14" t="s">
        <v>142</v>
      </c>
      <c r="W21" s="14" t="s">
        <v>115</v>
      </c>
      <c r="X21" s="14" t="s">
        <v>185</v>
      </c>
      <c r="Y21" s="18" t="s">
        <v>186</v>
      </c>
      <c r="Z21" s="14" t="s">
        <v>187</v>
      </c>
      <c r="AA21" s="18" t="s">
        <v>124</v>
      </c>
      <c r="AB21" s="15"/>
    </row>
    <row r="22">
      <c r="A22" s="7">
        <v>23.0</v>
      </c>
      <c r="B22" s="8" t="s">
        <v>44</v>
      </c>
      <c r="C22" s="9" t="s">
        <v>45</v>
      </c>
      <c r="D22" s="10" t="s">
        <v>44</v>
      </c>
      <c r="E22" s="15"/>
      <c r="F22" s="15"/>
      <c r="G22" s="15"/>
      <c r="H22" s="15"/>
      <c r="I22" s="15"/>
      <c r="J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>
      <c r="A23" s="7">
        <v>24.0</v>
      </c>
      <c r="B23" s="8" t="s">
        <v>46</v>
      </c>
      <c r="C23" s="9" t="s">
        <v>47</v>
      </c>
      <c r="D23" s="10" t="s">
        <v>46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>
      <c r="A24" s="7">
        <v>25.0</v>
      </c>
      <c r="B24" s="8" t="s">
        <v>48</v>
      </c>
      <c r="C24" s="9" t="s">
        <v>49</v>
      </c>
      <c r="D24" s="10" t="s">
        <v>48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>
      <c r="A25" s="7">
        <v>26.0</v>
      </c>
      <c r="B25" s="8" t="s">
        <v>50</v>
      </c>
      <c r="C25" s="9" t="s">
        <v>51</v>
      </c>
      <c r="D25" s="10" t="s">
        <v>50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>
      <c r="A26" s="7">
        <v>27.0</v>
      </c>
      <c r="B26" s="8" t="s">
        <v>52</v>
      </c>
      <c r="C26" s="9" t="s">
        <v>53</v>
      </c>
      <c r="D26" s="10" t="s">
        <v>52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>
      <c r="A27" s="7">
        <v>28.0</v>
      </c>
      <c r="B27" s="8" t="s">
        <v>54</v>
      </c>
      <c r="C27" s="9" t="s">
        <v>55</v>
      </c>
      <c r="D27" s="10" t="s">
        <v>54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>
      <c r="A28" s="7">
        <v>29.0</v>
      </c>
      <c r="B28" s="8" t="s">
        <v>56</v>
      </c>
      <c r="C28" s="9" t="s">
        <v>57</v>
      </c>
      <c r="D28" s="10" t="s">
        <v>56</v>
      </c>
      <c r="E28" s="14" t="s">
        <v>185</v>
      </c>
      <c r="F28" s="18" t="s">
        <v>186</v>
      </c>
      <c r="G28" s="18" t="s">
        <v>188</v>
      </c>
      <c r="H28" s="14" t="s">
        <v>99</v>
      </c>
      <c r="I28" s="14" t="s">
        <v>100</v>
      </c>
      <c r="J28" s="14" t="s">
        <v>96</v>
      </c>
      <c r="K28" s="14" t="s">
        <v>97</v>
      </c>
      <c r="L28" s="14" t="s">
        <v>101</v>
      </c>
      <c r="M28" s="14" t="s">
        <v>102</v>
      </c>
      <c r="N28" s="14" t="s">
        <v>103</v>
      </c>
      <c r="O28" s="14" t="s">
        <v>92</v>
      </c>
      <c r="P28" s="14" t="s">
        <v>93</v>
      </c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>
      <c r="A29" s="7">
        <v>30.0</v>
      </c>
      <c r="B29" s="8" t="s">
        <v>58</v>
      </c>
      <c r="C29" s="9" t="s">
        <v>59</v>
      </c>
      <c r="D29" s="10" t="s">
        <v>58</v>
      </c>
      <c r="E29" s="14" t="s">
        <v>189</v>
      </c>
      <c r="F29" s="18" t="s">
        <v>190</v>
      </c>
      <c r="G29" s="14" t="s">
        <v>191</v>
      </c>
      <c r="H29" s="18" t="s">
        <v>188</v>
      </c>
      <c r="I29" s="14" t="s">
        <v>99</v>
      </c>
      <c r="J29" s="14" t="s">
        <v>100</v>
      </c>
      <c r="K29" s="14" t="s">
        <v>96</v>
      </c>
      <c r="L29" s="14" t="s">
        <v>97</v>
      </c>
      <c r="M29" s="14" t="s">
        <v>101</v>
      </c>
      <c r="N29" s="14" t="s">
        <v>102</v>
      </c>
      <c r="O29" s="14" t="s">
        <v>103</v>
      </c>
      <c r="P29" s="14" t="s">
        <v>92</v>
      </c>
      <c r="Q29" s="14" t="s">
        <v>93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>
      <c r="A30" s="7">
        <v>31.0</v>
      </c>
      <c r="B30" s="8" t="s">
        <v>60</v>
      </c>
      <c r="C30" s="9" t="s">
        <v>61</v>
      </c>
      <c r="D30" s="10" t="s">
        <v>60</v>
      </c>
      <c r="E30" s="14" t="s">
        <v>172</v>
      </c>
      <c r="F30" s="14" t="s">
        <v>173</v>
      </c>
      <c r="G30" s="14" t="s">
        <v>192</v>
      </c>
      <c r="H30" s="15"/>
      <c r="I30" s="15"/>
      <c r="J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>
      <c r="A31" s="7">
        <v>32.0</v>
      </c>
      <c r="B31" s="8" t="s">
        <v>62</v>
      </c>
      <c r="C31" s="9" t="s">
        <v>63</v>
      </c>
      <c r="D31" s="10" t="s">
        <v>62</v>
      </c>
      <c r="E31" s="14" t="s">
        <v>164</v>
      </c>
      <c r="F31" s="14" t="s">
        <v>165</v>
      </c>
      <c r="G31" s="14" t="s">
        <v>193</v>
      </c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>
      <c r="A32" s="7">
        <v>33.0</v>
      </c>
      <c r="B32" s="8" t="s">
        <v>64</v>
      </c>
      <c r="C32" s="9" t="s">
        <v>65</v>
      </c>
      <c r="D32" s="10" t="s">
        <v>64</v>
      </c>
      <c r="E32" s="14" t="s">
        <v>146</v>
      </c>
      <c r="F32" s="14" t="s">
        <v>147</v>
      </c>
      <c r="G32" s="14" t="s">
        <v>144</v>
      </c>
      <c r="H32" s="18" t="s">
        <v>145</v>
      </c>
      <c r="I32" s="14" t="s">
        <v>148</v>
      </c>
      <c r="J32" s="14" t="s">
        <v>141</v>
      </c>
      <c r="K32" s="14" t="s">
        <v>149</v>
      </c>
      <c r="L32" s="14" t="s">
        <v>142</v>
      </c>
      <c r="M32" s="14" t="s">
        <v>115</v>
      </c>
      <c r="N32" s="14" t="s">
        <v>121</v>
      </c>
      <c r="O32" s="14" t="s">
        <v>120</v>
      </c>
      <c r="P32" s="14" t="s">
        <v>123</v>
      </c>
      <c r="Q32" s="14" t="s">
        <v>122</v>
      </c>
      <c r="R32" s="14" t="s">
        <v>150</v>
      </c>
      <c r="S32" s="14" t="s">
        <v>151</v>
      </c>
      <c r="T32" s="14" t="s">
        <v>152</v>
      </c>
      <c r="U32" s="14" t="s">
        <v>153</v>
      </c>
      <c r="V32" s="15"/>
      <c r="W32" s="15"/>
      <c r="X32" s="15"/>
      <c r="Y32" s="15"/>
      <c r="Z32" s="15"/>
      <c r="AA32" s="15"/>
      <c r="AB32" s="15"/>
    </row>
    <row r="33">
      <c r="A33" s="7">
        <v>34.0</v>
      </c>
      <c r="B33" s="8" t="s">
        <v>66</v>
      </c>
      <c r="C33" s="9" t="s">
        <v>67</v>
      </c>
      <c r="D33" s="10" t="s">
        <v>66</v>
      </c>
      <c r="E33" s="14" t="s">
        <v>139</v>
      </c>
      <c r="F33" s="14" t="s">
        <v>140</v>
      </c>
      <c r="G33" s="14" t="s">
        <v>137</v>
      </c>
      <c r="H33" s="18" t="s">
        <v>138</v>
      </c>
      <c r="I33" s="14" t="s">
        <v>141</v>
      </c>
      <c r="J33" s="14" t="s">
        <v>142</v>
      </c>
      <c r="K33" s="14" t="s">
        <v>143</v>
      </c>
      <c r="L33" s="14" t="s">
        <v>115</v>
      </c>
      <c r="M33" s="14" t="s">
        <v>121</v>
      </c>
      <c r="N33" s="14" t="s">
        <v>120</v>
      </c>
      <c r="O33" s="14" t="s">
        <v>123</v>
      </c>
      <c r="P33" s="14" t="s">
        <v>122</v>
      </c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>
      <c r="A34" s="7">
        <v>35.0</v>
      </c>
      <c r="B34" s="8" t="s">
        <v>68</v>
      </c>
      <c r="C34" s="9" t="s">
        <v>69</v>
      </c>
      <c r="D34" s="10" t="s">
        <v>68</v>
      </c>
      <c r="E34" s="14" t="s">
        <v>135</v>
      </c>
      <c r="F34" s="14" t="s">
        <v>136</v>
      </c>
      <c r="G34" s="14" t="s">
        <v>133</v>
      </c>
      <c r="H34" s="18" t="s">
        <v>134</v>
      </c>
      <c r="I34" s="14" t="s">
        <v>129</v>
      </c>
      <c r="J34" s="14" t="s">
        <v>130</v>
      </c>
      <c r="K34" s="14" t="s">
        <v>131</v>
      </c>
      <c r="L34" s="14" t="s">
        <v>132</v>
      </c>
      <c r="M34" s="14" t="s">
        <v>92</v>
      </c>
      <c r="N34" s="14" t="s">
        <v>93</v>
      </c>
      <c r="O34" s="14" t="s">
        <v>121</v>
      </c>
      <c r="P34" s="14" t="s">
        <v>120</v>
      </c>
      <c r="Q34" s="14" t="s">
        <v>123</v>
      </c>
      <c r="R34" s="14" t="s">
        <v>122</v>
      </c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>
      <c r="A35" s="7">
        <v>36.0</v>
      </c>
      <c r="B35" s="8" t="s">
        <v>70</v>
      </c>
      <c r="C35" s="9" t="s">
        <v>71</v>
      </c>
      <c r="D35" s="10" t="s">
        <v>70</v>
      </c>
      <c r="E35" s="14" t="s">
        <v>127</v>
      </c>
      <c r="F35" s="14" t="s">
        <v>128</v>
      </c>
      <c r="G35" s="14" t="s">
        <v>125</v>
      </c>
      <c r="H35" s="18" t="s">
        <v>126</v>
      </c>
      <c r="I35" s="14" t="s">
        <v>129</v>
      </c>
      <c r="J35" s="14" t="s">
        <v>130</v>
      </c>
      <c r="K35" s="14" t="s">
        <v>131</v>
      </c>
      <c r="L35" s="14" t="s">
        <v>132</v>
      </c>
      <c r="M35" s="14" t="s">
        <v>92</v>
      </c>
      <c r="N35" s="14" t="s">
        <v>93</v>
      </c>
      <c r="O35" s="14" t="s">
        <v>121</v>
      </c>
      <c r="P35" s="14" t="s">
        <v>120</v>
      </c>
      <c r="Q35" s="14" t="s">
        <v>123</v>
      </c>
      <c r="R35" s="14" t="s">
        <v>122</v>
      </c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>
      <c r="A36" s="7">
        <v>37.0</v>
      </c>
      <c r="B36" s="8" t="s">
        <v>72</v>
      </c>
      <c r="C36" s="9" t="s">
        <v>73</v>
      </c>
      <c r="D36" s="10" t="s">
        <v>72</v>
      </c>
      <c r="E36" s="14" t="s">
        <v>194</v>
      </c>
      <c r="F36" s="14" t="s">
        <v>195</v>
      </c>
      <c r="G36" s="14" t="s">
        <v>172</v>
      </c>
      <c r="H36" s="14" t="s">
        <v>196</v>
      </c>
      <c r="I36" s="14" t="s">
        <v>197</v>
      </c>
      <c r="J36" s="18" t="s">
        <v>173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>
      <c r="A37" s="7">
        <v>38.0</v>
      </c>
      <c r="B37" s="8" t="s">
        <v>74</v>
      </c>
      <c r="C37" s="9" t="s">
        <v>75</v>
      </c>
      <c r="D37" s="10" t="s">
        <v>74</v>
      </c>
      <c r="E37" s="14" t="s">
        <v>113</v>
      </c>
      <c r="F37" s="14" t="s">
        <v>184</v>
      </c>
      <c r="G37" s="14" t="s">
        <v>198</v>
      </c>
      <c r="H37" s="14" t="s">
        <v>191</v>
      </c>
      <c r="I37" s="14" t="s">
        <v>95</v>
      </c>
      <c r="J37" s="14" t="s">
        <v>96</v>
      </c>
      <c r="K37" s="14" t="s">
        <v>97</v>
      </c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>
      <c r="A38" s="7">
        <v>39.0</v>
      </c>
      <c r="B38" s="8" t="s">
        <v>76</v>
      </c>
      <c r="C38" s="9" t="s">
        <v>77</v>
      </c>
      <c r="D38" s="10" t="s">
        <v>76</v>
      </c>
      <c r="E38" s="18" t="s">
        <v>178</v>
      </c>
      <c r="F38" s="14" t="s">
        <v>181</v>
      </c>
      <c r="G38" s="18" t="s">
        <v>110</v>
      </c>
      <c r="H38" s="14" t="s">
        <v>111</v>
      </c>
      <c r="I38" s="14" t="s">
        <v>108</v>
      </c>
      <c r="J38" s="14" t="s">
        <v>183</v>
      </c>
      <c r="K38" s="14" t="s">
        <v>198</v>
      </c>
      <c r="L38" s="14" t="s">
        <v>199</v>
      </c>
      <c r="M38" s="18" t="s">
        <v>180</v>
      </c>
      <c r="N38" s="14" t="s">
        <v>182</v>
      </c>
      <c r="O38" s="14" t="s">
        <v>115</v>
      </c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>
      <c r="A39" s="7">
        <v>40.0</v>
      </c>
      <c r="B39" s="8" t="s">
        <v>78</v>
      </c>
      <c r="C39" s="9" t="s">
        <v>79</v>
      </c>
      <c r="D39" s="10" t="s">
        <v>78</v>
      </c>
      <c r="E39" s="14" t="s">
        <v>125</v>
      </c>
      <c r="F39" s="18" t="s">
        <v>126</v>
      </c>
      <c r="G39" s="14" t="s">
        <v>127</v>
      </c>
      <c r="H39" s="14" t="s">
        <v>128</v>
      </c>
      <c r="I39" s="14" t="s">
        <v>129</v>
      </c>
      <c r="J39" s="14" t="s">
        <v>130</v>
      </c>
      <c r="K39" s="14" t="s">
        <v>131</v>
      </c>
      <c r="L39" s="14" t="s">
        <v>132</v>
      </c>
      <c r="M39" s="14" t="s">
        <v>92</v>
      </c>
      <c r="N39" s="14" t="s">
        <v>93</v>
      </c>
      <c r="O39" s="14" t="s">
        <v>121</v>
      </c>
      <c r="P39" s="14" t="s">
        <v>120</v>
      </c>
      <c r="Q39" s="14" t="s">
        <v>123</v>
      </c>
      <c r="R39" s="14" t="s">
        <v>122</v>
      </c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>
      <c r="A40" s="7">
        <v>41.0</v>
      </c>
      <c r="B40" s="8" t="s">
        <v>80</v>
      </c>
      <c r="C40" s="9" t="s">
        <v>81</v>
      </c>
      <c r="D40" s="10" t="s">
        <v>80</v>
      </c>
      <c r="E40" s="14" t="s">
        <v>200</v>
      </c>
      <c r="F40" s="14" t="s">
        <v>201</v>
      </c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>
      <c r="A41" s="7">
        <v>42.0</v>
      </c>
      <c r="B41" s="8" t="s">
        <v>82</v>
      </c>
      <c r="C41" s="9" t="s">
        <v>83</v>
      </c>
      <c r="D41" s="10" t="s">
        <v>82</v>
      </c>
      <c r="E41" s="14" t="s">
        <v>202</v>
      </c>
      <c r="F41" s="14" t="s">
        <v>203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>
      <c r="A42" s="7">
        <v>43.0</v>
      </c>
      <c r="B42" s="8" t="s">
        <v>84</v>
      </c>
      <c r="C42" s="9" t="s">
        <v>85</v>
      </c>
      <c r="D42" s="10" t="s">
        <v>84</v>
      </c>
      <c r="E42" s="14" t="s">
        <v>204</v>
      </c>
      <c r="F42" s="14" t="s">
        <v>89</v>
      </c>
      <c r="G42" s="14" t="s">
        <v>98</v>
      </c>
      <c r="H42" s="14" t="s">
        <v>99</v>
      </c>
      <c r="I42" s="14" t="s">
        <v>100</v>
      </c>
      <c r="J42" s="14" t="s">
        <v>96</v>
      </c>
      <c r="K42" s="14" t="s">
        <v>97</v>
      </c>
      <c r="L42" s="14" t="s">
        <v>101</v>
      </c>
      <c r="M42" s="14" t="s">
        <v>102</v>
      </c>
      <c r="N42" s="14" t="s">
        <v>103</v>
      </c>
      <c r="O42" s="14" t="s">
        <v>92</v>
      </c>
      <c r="P42" s="14" t="s">
        <v>93</v>
      </c>
      <c r="Q42" s="14" t="s">
        <v>205</v>
      </c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</sheetData>
  <mergeCells count="1">
    <mergeCell ref="E1:AB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32.75"/>
    <col customWidth="1" min="3" max="3" width="4.38"/>
    <col customWidth="1" min="4" max="13" width="6.38"/>
  </cols>
  <sheetData>
    <row r="1">
      <c r="A1" s="19" t="s">
        <v>206</v>
      </c>
      <c r="B1" s="20" t="s">
        <v>207</v>
      </c>
      <c r="C1" s="21" t="s">
        <v>208</v>
      </c>
      <c r="D1" s="22" t="s">
        <v>209</v>
      </c>
    </row>
    <row r="2">
      <c r="A2" s="23" t="s">
        <v>210</v>
      </c>
      <c r="B2" s="24" t="s">
        <v>211</v>
      </c>
      <c r="C2" s="25" t="s">
        <v>212</v>
      </c>
      <c r="D2" s="26">
        <v>1.0</v>
      </c>
      <c r="E2" s="23">
        <v>2.0</v>
      </c>
      <c r="F2" s="23">
        <v>3.0</v>
      </c>
      <c r="G2" s="23">
        <v>4.0</v>
      </c>
      <c r="H2" s="23">
        <v>5.0</v>
      </c>
      <c r="I2" s="23"/>
      <c r="J2" s="23"/>
      <c r="K2" s="23"/>
      <c r="L2" s="23"/>
      <c r="M2" s="23"/>
    </row>
    <row r="3">
      <c r="A3" s="23" t="s">
        <v>213</v>
      </c>
      <c r="B3" s="24" t="s">
        <v>214</v>
      </c>
      <c r="C3" s="25" t="s">
        <v>215</v>
      </c>
      <c r="D3" s="26">
        <v>1.0</v>
      </c>
      <c r="E3" s="23">
        <v>2.0</v>
      </c>
      <c r="F3" s="23">
        <v>3.0</v>
      </c>
      <c r="G3" s="23">
        <v>4.0</v>
      </c>
      <c r="H3" s="23">
        <v>5.0</v>
      </c>
      <c r="I3" s="23"/>
      <c r="J3" s="23"/>
      <c r="K3" s="23"/>
      <c r="L3" s="23"/>
      <c r="M3" s="23"/>
    </row>
    <row r="4">
      <c r="A4" s="23" t="s">
        <v>216</v>
      </c>
      <c r="B4" s="24" t="s">
        <v>217</v>
      </c>
      <c r="C4" s="25" t="s">
        <v>218</v>
      </c>
      <c r="D4" s="26">
        <v>1.0</v>
      </c>
      <c r="E4" s="23">
        <v>2.0</v>
      </c>
      <c r="F4" s="23">
        <v>3.0</v>
      </c>
      <c r="G4" s="23">
        <v>4.0</v>
      </c>
      <c r="H4" s="23">
        <v>5.0</v>
      </c>
      <c r="I4" s="23"/>
      <c r="J4" s="23"/>
      <c r="K4" s="23"/>
      <c r="L4" s="23"/>
      <c r="M4" s="23"/>
    </row>
    <row r="5">
      <c r="A5" s="23" t="s">
        <v>219</v>
      </c>
      <c r="B5" s="24" t="s">
        <v>220</v>
      </c>
      <c r="C5" s="25" t="s">
        <v>221</v>
      </c>
      <c r="D5" s="26">
        <v>1.0</v>
      </c>
      <c r="E5" s="23">
        <v>2.0</v>
      </c>
      <c r="F5" s="23">
        <v>3.0</v>
      </c>
      <c r="G5" s="23">
        <v>4.0</v>
      </c>
      <c r="H5" s="23">
        <v>5.0</v>
      </c>
      <c r="I5" s="23"/>
      <c r="J5" s="23"/>
      <c r="K5" s="23"/>
      <c r="L5" s="23"/>
      <c r="M5" s="23"/>
    </row>
    <row r="6">
      <c r="A6" s="23" t="s">
        <v>222</v>
      </c>
      <c r="B6" s="24" t="s">
        <v>223</v>
      </c>
      <c r="C6" s="25" t="s">
        <v>221</v>
      </c>
      <c r="D6" s="26">
        <v>1.0</v>
      </c>
      <c r="E6" s="23">
        <v>2.0</v>
      </c>
      <c r="F6" s="23">
        <v>3.0</v>
      </c>
      <c r="G6" s="23">
        <v>4.0</v>
      </c>
      <c r="H6" s="23">
        <v>5.0</v>
      </c>
      <c r="I6" s="23"/>
      <c r="J6" s="23"/>
      <c r="K6" s="23"/>
      <c r="L6" s="23"/>
      <c r="M6" s="23"/>
    </row>
    <row r="7">
      <c r="A7" s="23" t="s">
        <v>224</v>
      </c>
      <c r="B7" s="24" t="s">
        <v>225</v>
      </c>
      <c r="C7" s="25" t="s">
        <v>221</v>
      </c>
      <c r="D7" s="26">
        <v>1.0</v>
      </c>
      <c r="E7" s="23">
        <v>2.0</v>
      </c>
      <c r="F7" s="23">
        <v>3.0</v>
      </c>
      <c r="G7" s="23">
        <v>4.0</v>
      </c>
      <c r="H7" s="23">
        <v>5.0</v>
      </c>
      <c r="I7" s="23"/>
      <c r="J7" s="23"/>
      <c r="K7" s="23"/>
      <c r="L7" s="23"/>
      <c r="M7" s="23"/>
    </row>
    <row r="8">
      <c r="A8" s="23" t="s">
        <v>226</v>
      </c>
      <c r="B8" s="24" t="s">
        <v>227</v>
      </c>
      <c r="C8" s="25" t="s">
        <v>218</v>
      </c>
      <c r="D8" s="26">
        <v>1.0</v>
      </c>
      <c r="E8" s="23">
        <v>2.0</v>
      </c>
      <c r="F8" s="23">
        <v>3.0</v>
      </c>
      <c r="G8" s="23">
        <v>4.0</v>
      </c>
      <c r="H8" s="23">
        <v>5.0</v>
      </c>
      <c r="I8" s="23"/>
      <c r="J8" s="23"/>
      <c r="K8" s="23"/>
      <c r="L8" s="23"/>
      <c r="M8" s="23"/>
    </row>
    <row r="9">
      <c r="A9" s="23" t="s">
        <v>228</v>
      </c>
      <c r="B9" s="24" t="s">
        <v>229</v>
      </c>
      <c r="C9" s="25" t="s">
        <v>221</v>
      </c>
      <c r="D9" s="26">
        <v>1.0</v>
      </c>
      <c r="E9" s="23">
        <v>2.0</v>
      </c>
      <c r="F9" s="23">
        <v>3.0</v>
      </c>
      <c r="G9" s="23">
        <v>4.0</v>
      </c>
      <c r="H9" s="23">
        <v>5.0</v>
      </c>
      <c r="I9" s="23"/>
      <c r="J9" s="23"/>
      <c r="K9" s="23"/>
      <c r="L9" s="23"/>
      <c r="M9" s="23"/>
    </row>
    <row r="10">
      <c r="A10" s="23" t="s">
        <v>230</v>
      </c>
      <c r="B10" s="24" t="s">
        <v>231</v>
      </c>
      <c r="C10" s="25" t="s">
        <v>218</v>
      </c>
      <c r="D10" s="26">
        <v>1.0</v>
      </c>
      <c r="E10" s="23">
        <v>2.0</v>
      </c>
      <c r="F10" s="23">
        <v>3.0</v>
      </c>
      <c r="G10" s="23">
        <v>4.0</v>
      </c>
      <c r="H10" s="23">
        <v>5.0</v>
      </c>
      <c r="I10" s="23"/>
      <c r="J10" s="23"/>
      <c r="K10" s="23"/>
      <c r="L10" s="23"/>
      <c r="M10" s="23"/>
    </row>
    <row r="11">
      <c r="A11" s="23" t="s">
        <v>232</v>
      </c>
      <c r="B11" s="24" t="s">
        <v>233</v>
      </c>
      <c r="C11" s="25" t="s">
        <v>234</v>
      </c>
      <c r="D11" s="26">
        <v>1.0</v>
      </c>
      <c r="E11" s="23">
        <v>2.0</v>
      </c>
      <c r="F11" s="23">
        <v>3.0</v>
      </c>
      <c r="G11" s="23">
        <v>4.0</v>
      </c>
      <c r="H11" s="23">
        <v>5.0</v>
      </c>
      <c r="I11" s="23"/>
      <c r="J11" s="23"/>
      <c r="K11" s="23"/>
      <c r="L11" s="23"/>
      <c r="M11" s="23"/>
    </row>
    <row r="12">
      <c r="A12" s="23" t="s">
        <v>235</v>
      </c>
      <c r="B12" s="24" t="s">
        <v>236</v>
      </c>
      <c r="C12" s="25" t="s">
        <v>234</v>
      </c>
      <c r="D12" s="26">
        <v>1.0</v>
      </c>
      <c r="E12" s="23">
        <v>2.0</v>
      </c>
      <c r="F12" s="23">
        <v>3.0</v>
      </c>
      <c r="G12" s="23">
        <v>4.0</v>
      </c>
      <c r="H12" s="23">
        <v>5.0</v>
      </c>
      <c r="I12" s="23"/>
      <c r="J12" s="23"/>
      <c r="K12" s="23"/>
      <c r="L12" s="23"/>
      <c r="M12" s="23"/>
    </row>
    <row r="13">
      <c r="A13" s="23" t="s">
        <v>237</v>
      </c>
      <c r="B13" s="24" t="s">
        <v>238</v>
      </c>
      <c r="C13" s="25" t="s">
        <v>234</v>
      </c>
      <c r="D13" s="26">
        <v>1.0</v>
      </c>
      <c r="E13" s="23">
        <v>2.0</v>
      </c>
      <c r="F13" s="23">
        <v>3.0</v>
      </c>
      <c r="G13" s="23">
        <v>4.0</v>
      </c>
      <c r="H13" s="23">
        <v>5.0</v>
      </c>
      <c r="I13" s="23"/>
      <c r="J13" s="23"/>
      <c r="K13" s="23"/>
      <c r="L13" s="23"/>
      <c r="M13" s="23"/>
    </row>
    <row r="14">
      <c r="A14" s="23" t="s">
        <v>239</v>
      </c>
      <c r="B14" s="24" t="s">
        <v>240</v>
      </c>
      <c r="C14" s="25" t="s">
        <v>215</v>
      </c>
      <c r="D14" s="26">
        <v>1.0</v>
      </c>
      <c r="E14" s="23">
        <v>2.0</v>
      </c>
      <c r="F14" s="23">
        <v>3.0</v>
      </c>
      <c r="G14" s="23">
        <v>4.0</v>
      </c>
      <c r="H14" s="23">
        <v>5.0</v>
      </c>
      <c r="I14" s="23">
        <v>6.0</v>
      </c>
      <c r="J14" s="23">
        <v>7.0</v>
      </c>
      <c r="K14" s="23">
        <v>8.0</v>
      </c>
      <c r="L14" s="23"/>
      <c r="M14" s="23"/>
    </row>
    <row r="15">
      <c r="A15" s="23" t="s">
        <v>241</v>
      </c>
      <c r="B15" s="24" t="s">
        <v>242</v>
      </c>
      <c r="C15" s="25" t="s">
        <v>234</v>
      </c>
      <c r="D15" s="26">
        <v>1.0</v>
      </c>
      <c r="E15" s="23">
        <v>2.0</v>
      </c>
      <c r="F15" s="23">
        <v>3.0</v>
      </c>
      <c r="G15" s="23">
        <v>4.0</v>
      </c>
      <c r="H15" s="23">
        <v>5.0</v>
      </c>
      <c r="I15" s="23">
        <v>6.0</v>
      </c>
      <c r="J15" s="23">
        <v>7.0</v>
      </c>
      <c r="K15" s="23">
        <v>8.0</v>
      </c>
      <c r="L15" s="23"/>
      <c r="M15" s="23"/>
    </row>
    <row r="16">
      <c r="A16" s="23" t="s">
        <v>243</v>
      </c>
      <c r="B16" s="24" t="s">
        <v>244</v>
      </c>
      <c r="C16" s="25" t="s">
        <v>221</v>
      </c>
      <c r="D16" s="26">
        <v>1.0</v>
      </c>
      <c r="E16" s="23">
        <v>2.0</v>
      </c>
      <c r="F16" s="23">
        <v>3.0</v>
      </c>
      <c r="G16" s="23">
        <v>4.0</v>
      </c>
      <c r="H16" s="23">
        <v>5.0</v>
      </c>
      <c r="I16" s="23">
        <v>6.0</v>
      </c>
      <c r="J16" s="23">
        <v>7.0</v>
      </c>
      <c r="K16" s="23">
        <v>8.0</v>
      </c>
      <c r="L16" s="23"/>
      <c r="M16" s="23"/>
    </row>
    <row r="17">
      <c r="A17" s="23" t="s">
        <v>245</v>
      </c>
      <c r="B17" s="24" t="s">
        <v>246</v>
      </c>
      <c r="C17" s="25" t="s">
        <v>218</v>
      </c>
      <c r="D17" s="26">
        <v>1.0</v>
      </c>
      <c r="E17" s="23">
        <v>2.0</v>
      </c>
      <c r="F17" s="23">
        <v>3.0</v>
      </c>
      <c r="G17" s="23">
        <v>4.0</v>
      </c>
      <c r="H17" s="23">
        <v>5.0</v>
      </c>
      <c r="I17" s="23"/>
      <c r="J17" s="23"/>
      <c r="K17" s="23"/>
      <c r="L17" s="23"/>
      <c r="M17" s="23"/>
    </row>
    <row r="18">
      <c r="A18" s="23" t="s">
        <v>247</v>
      </c>
      <c r="B18" s="24" t="s">
        <v>248</v>
      </c>
      <c r="C18" s="25" t="s">
        <v>221</v>
      </c>
      <c r="D18" s="26">
        <v>1.0</v>
      </c>
      <c r="E18" s="23">
        <v>2.0</v>
      </c>
      <c r="F18" s="23">
        <v>3.0</v>
      </c>
      <c r="G18" s="23">
        <v>4.0</v>
      </c>
      <c r="H18" s="23">
        <v>5.0</v>
      </c>
      <c r="I18" s="23"/>
      <c r="J18" s="23"/>
      <c r="K18" s="23"/>
      <c r="L18" s="23"/>
      <c r="M18" s="23"/>
    </row>
    <row r="19">
      <c r="A19" s="23" t="s">
        <v>249</v>
      </c>
      <c r="B19" s="24" t="s">
        <v>250</v>
      </c>
      <c r="C19" s="25" t="s">
        <v>218</v>
      </c>
      <c r="D19" s="26">
        <v>1.0</v>
      </c>
      <c r="E19" s="23">
        <v>2.0</v>
      </c>
      <c r="F19" s="23">
        <v>3.0</v>
      </c>
      <c r="G19" s="23">
        <v>4.0</v>
      </c>
      <c r="H19" s="23">
        <v>5.0</v>
      </c>
      <c r="I19" s="23"/>
      <c r="J19" s="23"/>
      <c r="K19" s="23"/>
      <c r="L19" s="23"/>
      <c r="M19" s="23"/>
    </row>
    <row r="20">
      <c r="A20" s="23" t="s">
        <v>251</v>
      </c>
      <c r="B20" s="24" t="s">
        <v>252</v>
      </c>
      <c r="C20" s="25" t="s">
        <v>218</v>
      </c>
      <c r="D20" s="26">
        <v>1.0</v>
      </c>
      <c r="E20" s="23">
        <v>2.0</v>
      </c>
      <c r="F20" s="23">
        <v>3.0</v>
      </c>
      <c r="G20" s="23">
        <v>4.0</v>
      </c>
      <c r="H20" s="23">
        <v>5.0</v>
      </c>
      <c r="I20" s="23"/>
      <c r="J20" s="23"/>
      <c r="K20" s="23"/>
      <c r="L20" s="23"/>
      <c r="M20" s="23"/>
    </row>
    <row r="21">
      <c r="A21" s="23" t="s">
        <v>253</v>
      </c>
      <c r="B21" s="24" t="s">
        <v>254</v>
      </c>
      <c r="C21" s="25" t="s">
        <v>234</v>
      </c>
      <c r="D21" s="26">
        <v>1.0</v>
      </c>
      <c r="E21" s="23">
        <v>2.0</v>
      </c>
      <c r="F21" s="23">
        <v>3.0</v>
      </c>
      <c r="G21" s="23"/>
      <c r="H21" s="23"/>
      <c r="I21" s="23"/>
      <c r="J21" s="23"/>
      <c r="K21" s="23"/>
      <c r="L21" s="23"/>
      <c r="M21" s="23"/>
    </row>
    <row r="22">
      <c r="A22" s="23" t="s">
        <v>255</v>
      </c>
      <c r="B22" s="24" t="s">
        <v>256</v>
      </c>
      <c r="C22" s="25" t="s">
        <v>234</v>
      </c>
      <c r="D22" s="26">
        <v>1.0</v>
      </c>
      <c r="E22" s="23">
        <v>2.0</v>
      </c>
      <c r="F22" s="23">
        <v>3.0</v>
      </c>
      <c r="G22" s="23"/>
      <c r="H22" s="23"/>
      <c r="I22" s="23"/>
      <c r="J22" s="23"/>
      <c r="K22" s="23"/>
      <c r="L22" s="23"/>
      <c r="M22" s="23"/>
    </row>
    <row r="23">
      <c r="A23" s="23" t="s">
        <v>257</v>
      </c>
      <c r="B23" s="24" t="s">
        <v>258</v>
      </c>
      <c r="C23" s="25" t="s">
        <v>234</v>
      </c>
      <c r="D23" s="26">
        <v>1.0</v>
      </c>
      <c r="E23" s="23">
        <v>2.0</v>
      </c>
      <c r="F23" s="23">
        <v>3.0</v>
      </c>
      <c r="G23" s="23">
        <v>4.0</v>
      </c>
      <c r="H23" s="23">
        <v>5.0</v>
      </c>
      <c r="I23" s="23">
        <v>6.0</v>
      </c>
      <c r="J23" s="23">
        <v>7.0</v>
      </c>
      <c r="K23" s="23"/>
      <c r="L23" s="23"/>
      <c r="M23" s="23"/>
    </row>
    <row r="24">
      <c r="A24" s="23" t="s">
        <v>259</v>
      </c>
      <c r="B24" s="24" t="s">
        <v>260</v>
      </c>
      <c r="C24" s="25" t="s">
        <v>234</v>
      </c>
      <c r="D24" s="26">
        <v>1.0</v>
      </c>
      <c r="E24" s="23">
        <v>2.0</v>
      </c>
      <c r="F24" s="23">
        <v>3.0</v>
      </c>
      <c r="G24" s="23">
        <v>4.0</v>
      </c>
      <c r="H24" s="23">
        <v>5.0</v>
      </c>
      <c r="I24" s="23"/>
      <c r="J24" s="23"/>
      <c r="K24" s="23"/>
      <c r="L24" s="23"/>
      <c r="M24" s="23"/>
    </row>
    <row r="25">
      <c r="A25" s="23" t="s">
        <v>261</v>
      </c>
      <c r="B25" s="24" t="s">
        <v>262</v>
      </c>
      <c r="C25" s="25" t="s">
        <v>234</v>
      </c>
      <c r="D25" s="26">
        <v>1.0</v>
      </c>
      <c r="E25" s="23">
        <v>2.0</v>
      </c>
      <c r="F25" s="23">
        <v>3.0</v>
      </c>
      <c r="G25" s="23">
        <v>4.0</v>
      </c>
      <c r="H25" s="23">
        <v>5.0</v>
      </c>
      <c r="I25" s="23"/>
      <c r="J25" s="23"/>
      <c r="K25" s="23"/>
      <c r="L25" s="23"/>
      <c r="M25" s="23"/>
    </row>
    <row r="26">
      <c r="A26" s="23" t="s">
        <v>263</v>
      </c>
      <c r="B26" s="24" t="s">
        <v>264</v>
      </c>
      <c r="C26" s="25" t="s">
        <v>234</v>
      </c>
      <c r="D26" s="26">
        <v>1.0</v>
      </c>
      <c r="E26" s="23">
        <v>2.0</v>
      </c>
      <c r="F26" s="23">
        <v>3.0</v>
      </c>
      <c r="G26" s="23">
        <v>4.0</v>
      </c>
      <c r="H26" s="23">
        <v>5.0</v>
      </c>
      <c r="I26" s="23"/>
      <c r="J26" s="23"/>
      <c r="K26" s="23"/>
      <c r="L26" s="23"/>
      <c r="M26" s="23"/>
    </row>
    <row r="27">
      <c r="A27" s="23" t="s">
        <v>265</v>
      </c>
      <c r="B27" s="24" t="s">
        <v>266</v>
      </c>
      <c r="C27" s="25" t="s">
        <v>234</v>
      </c>
      <c r="D27" s="26">
        <v>1.0</v>
      </c>
      <c r="E27" s="23">
        <v>2.0</v>
      </c>
      <c r="F27" s="23">
        <v>3.0</v>
      </c>
      <c r="G27" s="23">
        <v>4.0</v>
      </c>
      <c r="H27" s="23">
        <v>5.0</v>
      </c>
      <c r="I27" s="23"/>
      <c r="J27" s="23"/>
      <c r="K27" s="23"/>
      <c r="L27" s="23"/>
      <c r="M27" s="23"/>
    </row>
    <row r="28">
      <c r="A28" s="23" t="s">
        <v>267</v>
      </c>
      <c r="B28" s="24" t="s">
        <v>268</v>
      </c>
      <c r="C28" s="25" t="s">
        <v>234</v>
      </c>
      <c r="D28" s="26">
        <v>1.0</v>
      </c>
      <c r="E28" s="23">
        <v>2.0</v>
      </c>
      <c r="F28" s="23">
        <v>3.0</v>
      </c>
      <c r="G28" s="23">
        <v>4.0</v>
      </c>
      <c r="I28" s="23"/>
      <c r="J28" s="23"/>
      <c r="K28" s="23"/>
      <c r="L28" s="23"/>
      <c r="M28" s="23"/>
    </row>
    <row r="29">
      <c r="A29" s="23" t="s">
        <v>269</v>
      </c>
      <c r="B29" s="24" t="s">
        <v>270</v>
      </c>
      <c r="C29" s="25" t="s">
        <v>221</v>
      </c>
      <c r="D29" s="26">
        <v>1.0</v>
      </c>
      <c r="E29" s="23">
        <v>2.0</v>
      </c>
      <c r="F29" s="23">
        <v>3.0</v>
      </c>
      <c r="G29" s="23"/>
      <c r="H29" s="23"/>
      <c r="I29" s="23"/>
      <c r="J29" s="23"/>
      <c r="K29" s="23"/>
      <c r="L29" s="23"/>
      <c r="M29" s="23"/>
    </row>
    <row r="30">
      <c r="A30" s="23" t="s">
        <v>271</v>
      </c>
      <c r="B30" s="24" t="s">
        <v>272</v>
      </c>
      <c r="C30" s="25" t="s">
        <v>234</v>
      </c>
      <c r="D30" s="26">
        <v>1.0</v>
      </c>
      <c r="E30" s="23">
        <v>2.0</v>
      </c>
      <c r="F30" s="23">
        <v>3.0</v>
      </c>
      <c r="G30" s="23"/>
      <c r="H30" s="23"/>
      <c r="I30" s="23"/>
      <c r="J30" s="23"/>
      <c r="K30" s="23"/>
      <c r="L30" s="23"/>
      <c r="M30" s="23"/>
    </row>
    <row r="31">
      <c r="A31" s="23" t="s">
        <v>273</v>
      </c>
      <c r="B31" s="24" t="s">
        <v>274</v>
      </c>
      <c r="C31" s="25" t="s">
        <v>234</v>
      </c>
      <c r="D31" s="26">
        <v>1.0</v>
      </c>
      <c r="E31" s="23">
        <v>2.0</v>
      </c>
      <c r="F31" s="23">
        <v>3.0</v>
      </c>
      <c r="G31" s="23">
        <v>4.0</v>
      </c>
      <c r="H31" s="23">
        <v>5.0</v>
      </c>
      <c r="I31" s="23">
        <v>6.0</v>
      </c>
      <c r="J31" s="23">
        <v>7.0</v>
      </c>
      <c r="K31" s="23"/>
      <c r="L31" s="23"/>
      <c r="M31" s="23"/>
    </row>
    <row r="32">
      <c r="A32" s="23" t="s">
        <v>275</v>
      </c>
      <c r="B32" s="24" t="s">
        <v>276</v>
      </c>
      <c r="C32" s="25" t="s">
        <v>234</v>
      </c>
      <c r="D32" s="26">
        <v>1.0</v>
      </c>
      <c r="E32" s="23">
        <v>2.0</v>
      </c>
      <c r="F32" s="23">
        <v>3.0</v>
      </c>
      <c r="G32" s="23">
        <v>4.0</v>
      </c>
      <c r="H32" s="23">
        <v>5.0</v>
      </c>
      <c r="I32" s="23">
        <v>6.0</v>
      </c>
      <c r="J32" s="23">
        <v>7.0</v>
      </c>
      <c r="K32" s="23">
        <v>8.0</v>
      </c>
      <c r="L32" s="23">
        <v>9.0</v>
      </c>
      <c r="M32" s="23"/>
    </row>
    <row r="33">
      <c r="A33" s="23" t="s">
        <v>277</v>
      </c>
      <c r="B33" s="24" t="s">
        <v>278</v>
      </c>
      <c r="C33" s="25" t="s">
        <v>234</v>
      </c>
      <c r="D33" s="26">
        <v>1.0</v>
      </c>
      <c r="E33" s="23">
        <v>2.0</v>
      </c>
      <c r="F33" s="23">
        <v>3.0</v>
      </c>
      <c r="G33" s="23"/>
      <c r="H33" s="23"/>
      <c r="I33" s="23"/>
      <c r="J33" s="23"/>
      <c r="K33" s="23"/>
      <c r="L33" s="23"/>
      <c r="M33" s="23"/>
    </row>
  </sheetData>
  <mergeCells count="1">
    <mergeCell ref="D1:M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32.75"/>
    <col customWidth="1" min="3" max="12" width="9.5"/>
  </cols>
  <sheetData>
    <row r="1">
      <c r="A1" s="19" t="s">
        <v>206</v>
      </c>
      <c r="B1" s="20" t="s">
        <v>207</v>
      </c>
      <c r="C1" s="22" t="s">
        <v>209</v>
      </c>
    </row>
    <row r="2">
      <c r="A2" s="23" t="s">
        <v>210</v>
      </c>
      <c r="B2" s="24" t="s">
        <v>211</v>
      </c>
      <c r="C2" s="23" t="str">
        <f>IF(OR('Draft 2'!$A2="",'Draft 2'!D2="",'Draft 2'!$C2=""),"",CONCATENATE("R",ROW('Draft 2'!$A2)-1,".",'Draft 2'!D2,'Draft 2'!$C2))</f>
        <v>R1.1A</v>
      </c>
      <c r="D2" s="23" t="str">
        <f>IF(OR('Draft 2'!$A2="",'Draft 2'!E2="",'Draft 2'!$C2=""),"",CONCATENATE("R",ROW('Draft 2'!$A2)-1,".",'Draft 2'!E2,'Draft 2'!$C2))</f>
        <v>R1.2A</v>
      </c>
      <c r="E2" s="23" t="str">
        <f>IF(OR('Draft 2'!$A2="",'Draft 2'!F2="",'Draft 2'!$C2=""),"",CONCATENATE("R",ROW('Draft 2'!$A2)-1,".",'Draft 2'!F2,'Draft 2'!$C2))</f>
        <v>R1.3A</v>
      </c>
      <c r="F2" s="23" t="str">
        <f>IF(OR('Draft 2'!$A2="",'Draft 2'!G2="",'Draft 2'!$C2=""),"",CONCATENATE("R",ROW('Draft 2'!$A2)-1,".",'Draft 2'!G2,'Draft 2'!$C2))</f>
        <v>R1.4A</v>
      </c>
      <c r="G2" s="23" t="str">
        <f>IF(OR('Draft 2'!$A2="",'Draft 2'!H2="",'Draft 2'!$C2=""),"",CONCATENATE("R",ROW('Draft 2'!$A2)-1,".",'Draft 2'!H2,'Draft 2'!$C2))</f>
        <v>R1.5A</v>
      </c>
      <c r="H2" s="23" t="str">
        <f>IF(OR('Draft 2'!$A2="",'Draft 2'!I2="",'Draft 2'!$C2=""),"",CONCATENATE("R",ROW('Draft 2'!$A2)-1,".",'Draft 2'!I2,'Draft 2'!$C2))</f>
        <v/>
      </c>
      <c r="I2" s="23" t="str">
        <f>IF(OR('Draft 2'!$A2="",'Draft 2'!J2="",'Draft 2'!$C2=""),"",CONCATENATE("R",ROW('Draft 2'!$A2)-1,".",'Draft 2'!J2,'Draft 2'!$C2))</f>
        <v/>
      </c>
      <c r="J2" s="23" t="str">
        <f>IF(OR('Draft 2'!$A2="",'Draft 2'!K2="",'Draft 2'!$C2=""),"",CONCATENATE("R",ROW('Draft 2'!$A2)-1,".",'Draft 2'!K2,'Draft 2'!$C2))</f>
        <v/>
      </c>
      <c r="K2" s="23" t="str">
        <f>IF(OR('Draft 2'!$A2="",'Draft 2'!L2="",'Draft 2'!$C2=""),"",CONCATENATE("R",ROW('Draft 2'!$A2)-1,".",'Draft 2'!L2,'Draft 2'!$C2))</f>
        <v/>
      </c>
      <c r="L2" s="23" t="str">
        <f>IF(OR('Draft 2'!$A2="",'Draft 2'!M2="",'Draft 2'!$C2=""),"",CONCATENATE("R",ROW('Draft 2'!$A2)-1,".",'Draft 2'!M2,'Draft 2'!$C2))</f>
        <v/>
      </c>
    </row>
    <row r="3">
      <c r="A3" s="23" t="s">
        <v>213</v>
      </c>
      <c r="B3" s="24" t="s">
        <v>214</v>
      </c>
      <c r="C3" s="23" t="str">
        <f>IF(OR('Draft 2'!$A3="",'Draft 2'!D3="",'Draft 2'!$C3=""),"",CONCATENATE("R",ROW('Draft 2'!$A3)-1,".",'Draft 2'!D3,'Draft 2'!$C3))</f>
        <v>R2.1B</v>
      </c>
      <c r="D3" s="23" t="str">
        <f>IF(OR('Draft 2'!$A3="",'Draft 2'!E3="",'Draft 2'!$C3=""),"",CONCATENATE("R",ROW('Draft 2'!$A3)-1,".",'Draft 2'!E3,'Draft 2'!$C3))</f>
        <v>R2.2B</v>
      </c>
      <c r="E3" s="23" t="str">
        <f>IF(OR('Draft 2'!$A3="",'Draft 2'!F3="",'Draft 2'!$C3=""),"",CONCATENATE("R",ROW('Draft 2'!$A3)-1,".",'Draft 2'!F3,'Draft 2'!$C3))</f>
        <v>R2.3B</v>
      </c>
      <c r="F3" s="23" t="str">
        <f>IF(OR('Draft 2'!$A3="",'Draft 2'!G3="",'Draft 2'!$C3=""),"",CONCATENATE("R",ROW('Draft 2'!$A3)-1,".",'Draft 2'!G3,'Draft 2'!$C3))</f>
        <v>R2.4B</v>
      </c>
      <c r="G3" s="23" t="str">
        <f>IF(OR('Draft 2'!$A3="",'Draft 2'!H3="",'Draft 2'!$C3=""),"",CONCATENATE("R",ROW('Draft 2'!$A3)-1,".",'Draft 2'!H3,'Draft 2'!$C3))</f>
        <v>R2.5B</v>
      </c>
      <c r="H3" s="23" t="str">
        <f>IF(OR('Draft 2'!$A3="",'Draft 2'!I3="",'Draft 2'!$C3=""),"",CONCATENATE("R",ROW('Draft 2'!$A3)-1,".",'Draft 2'!I3,'Draft 2'!$C3))</f>
        <v/>
      </c>
      <c r="I3" s="23" t="str">
        <f>IF(OR('Draft 2'!$A3="",'Draft 2'!J3="",'Draft 2'!$C3=""),"",CONCATENATE("R",ROW('Draft 2'!$A3)-1,".",'Draft 2'!J3,'Draft 2'!$C3))</f>
        <v/>
      </c>
      <c r="J3" s="23" t="str">
        <f>IF(OR('Draft 2'!$A3="",'Draft 2'!K3="",'Draft 2'!$C3=""),"",CONCATENATE("R",ROW('Draft 2'!$A3)-1,".",'Draft 2'!K3,'Draft 2'!$C3))</f>
        <v/>
      </c>
      <c r="K3" s="23" t="str">
        <f>IF(OR('Draft 2'!$A3="",'Draft 2'!L3="",'Draft 2'!$C3=""),"",CONCATENATE("R",ROW('Draft 2'!$A3)-1,".",'Draft 2'!L3,'Draft 2'!$C3))</f>
        <v/>
      </c>
      <c r="L3" s="23" t="str">
        <f>IF(OR('Draft 2'!$A3="",'Draft 2'!M3="",'Draft 2'!$C3=""),"",CONCATENATE("R",ROW('Draft 2'!$A3)-1,".",'Draft 2'!M3,'Draft 2'!$C3))</f>
        <v/>
      </c>
    </row>
    <row r="4">
      <c r="A4" s="23" t="s">
        <v>216</v>
      </c>
      <c r="B4" s="24" t="s">
        <v>217</v>
      </c>
      <c r="C4" s="23" t="str">
        <f>IF(OR('Draft 2'!$A4="",'Draft 2'!D4="",'Draft 2'!$C4=""),"",CONCATENATE("R",ROW('Draft 2'!$A4)-1,".",'Draft 2'!D4,'Draft 2'!$C4))</f>
        <v>R3.1C</v>
      </c>
      <c r="D4" s="23" t="str">
        <f>IF(OR('Draft 2'!$A4="",'Draft 2'!E4="",'Draft 2'!$C4=""),"",CONCATENATE("R",ROW('Draft 2'!$A4)-1,".",'Draft 2'!E4,'Draft 2'!$C4))</f>
        <v>R3.2C</v>
      </c>
      <c r="E4" s="23" t="str">
        <f>IF(OR('Draft 2'!$A4="",'Draft 2'!F4="",'Draft 2'!$C4=""),"",CONCATENATE("R",ROW('Draft 2'!$A4)-1,".",'Draft 2'!F4,'Draft 2'!$C4))</f>
        <v>R3.3C</v>
      </c>
      <c r="F4" s="23" t="str">
        <f>IF(OR('Draft 2'!$A4="",'Draft 2'!G4="",'Draft 2'!$C4=""),"",CONCATENATE("R",ROW('Draft 2'!$A4)-1,".",'Draft 2'!G4,'Draft 2'!$C4))</f>
        <v>R3.4C</v>
      </c>
      <c r="G4" s="23" t="str">
        <f>IF(OR('Draft 2'!$A4="",'Draft 2'!H4="",'Draft 2'!$C4=""),"",CONCATENATE("R",ROW('Draft 2'!$A4)-1,".",'Draft 2'!H4,'Draft 2'!$C4))</f>
        <v>R3.5C</v>
      </c>
      <c r="H4" s="23" t="str">
        <f>IF(OR('Draft 2'!$A4="",'Draft 2'!I4="",'Draft 2'!$C4=""),"",CONCATENATE("R",ROW('Draft 2'!$A4)-1,".",'Draft 2'!I4,'Draft 2'!$C4))</f>
        <v/>
      </c>
      <c r="I4" s="23" t="str">
        <f>IF(OR('Draft 2'!$A4="",'Draft 2'!J4="",'Draft 2'!$C4=""),"",CONCATENATE("R",ROW('Draft 2'!$A4)-1,".",'Draft 2'!J4,'Draft 2'!$C4))</f>
        <v/>
      </c>
      <c r="J4" s="23" t="str">
        <f>IF(OR('Draft 2'!$A4="",'Draft 2'!K4="",'Draft 2'!$C4=""),"",CONCATENATE("R",ROW('Draft 2'!$A4)-1,".",'Draft 2'!K4,'Draft 2'!$C4))</f>
        <v/>
      </c>
      <c r="K4" s="23" t="str">
        <f>IF(OR('Draft 2'!$A4="",'Draft 2'!L4="",'Draft 2'!$C4=""),"",CONCATENATE("R",ROW('Draft 2'!$A4)-1,".",'Draft 2'!L4,'Draft 2'!$C4))</f>
        <v/>
      </c>
      <c r="L4" s="23" t="str">
        <f>IF(OR('Draft 2'!$A4="",'Draft 2'!M4="",'Draft 2'!$C4=""),"",CONCATENATE("R",ROW('Draft 2'!$A4)-1,".",'Draft 2'!M4,'Draft 2'!$C4))</f>
        <v/>
      </c>
    </row>
    <row r="5">
      <c r="A5" s="23" t="s">
        <v>219</v>
      </c>
      <c r="B5" s="24" t="s">
        <v>220</v>
      </c>
      <c r="C5" s="23" t="str">
        <f>IF(OR('Draft 2'!$A5="",'Draft 2'!D5="",'Draft 2'!$C5=""),"",CONCATENATE("R",ROW('Draft 2'!$A5)-1,".",'Draft 2'!D5,'Draft 2'!$C5))</f>
        <v>R4.1E</v>
      </c>
      <c r="D5" s="23" t="str">
        <f>IF(OR('Draft 2'!$A5="",'Draft 2'!E5="",'Draft 2'!$C5=""),"",CONCATENATE("R",ROW('Draft 2'!$A5)-1,".",'Draft 2'!E5,'Draft 2'!$C5))</f>
        <v>R4.2E</v>
      </c>
      <c r="E5" s="23" t="str">
        <f>IF(OR('Draft 2'!$A5="",'Draft 2'!F5="",'Draft 2'!$C5=""),"",CONCATENATE("R",ROW('Draft 2'!$A5)-1,".",'Draft 2'!F5,'Draft 2'!$C5))</f>
        <v>R4.3E</v>
      </c>
      <c r="F5" s="23" t="str">
        <f>IF(OR('Draft 2'!$A5="",'Draft 2'!G5="",'Draft 2'!$C5=""),"",CONCATENATE("R",ROW('Draft 2'!$A5)-1,".",'Draft 2'!G5,'Draft 2'!$C5))</f>
        <v>R4.4E</v>
      </c>
      <c r="G5" s="23" t="str">
        <f>IF(OR('Draft 2'!$A5="",'Draft 2'!H5="",'Draft 2'!$C5=""),"",CONCATENATE("R",ROW('Draft 2'!$A5)-1,".",'Draft 2'!H5,'Draft 2'!$C5))</f>
        <v>R4.5E</v>
      </c>
      <c r="H5" s="23" t="str">
        <f>IF(OR('Draft 2'!$A5="",'Draft 2'!I5="",'Draft 2'!$C5=""),"",CONCATENATE("R",ROW('Draft 2'!$A5)-1,".",'Draft 2'!I5,'Draft 2'!$C5))</f>
        <v/>
      </c>
      <c r="I5" s="23" t="str">
        <f>IF(OR('Draft 2'!$A5="",'Draft 2'!J5="",'Draft 2'!$C5=""),"",CONCATENATE("R",ROW('Draft 2'!$A5)-1,".",'Draft 2'!J5,'Draft 2'!$C5))</f>
        <v/>
      </c>
      <c r="J5" s="23" t="str">
        <f>IF(OR('Draft 2'!$A5="",'Draft 2'!K5="",'Draft 2'!$C5=""),"",CONCATENATE("R",ROW('Draft 2'!$A5)-1,".",'Draft 2'!K5,'Draft 2'!$C5))</f>
        <v/>
      </c>
      <c r="K5" s="23" t="str">
        <f>IF(OR('Draft 2'!$A5="",'Draft 2'!L5="",'Draft 2'!$C5=""),"",CONCATENATE("R",ROW('Draft 2'!$A5)-1,".",'Draft 2'!L5,'Draft 2'!$C5))</f>
        <v/>
      </c>
      <c r="L5" s="23" t="str">
        <f>IF(OR('Draft 2'!$A5="",'Draft 2'!M5="",'Draft 2'!$C5=""),"",CONCATENATE("R",ROW('Draft 2'!$A5)-1,".",'Draft 2'!M5,'Draft 2'!$C5))</f>
        <v/>
      </c>
    </row>
    <row r="6">
      <c r="A6" s="23" t="s">
        <v>222</v>
      </c>
      <c r="B6" s="24" t="s">
        <v>223</v>
      </c>
      <c r="C6" s="23" t="str">
        <f>IF(OR('Draft 2'!$A6="",'Draft 2'!D6="",'Draft 2'!$C6=""),"",CONCATENATE("R",ROW('Draft 2'!$A6)-1,".",'Draft 2'!D6,'Draft 2'!$C6))</f>
        <v>R5.1E</v>
      </c>
      <c r="D6" s="23" t="str">
        <f>IF(OR('Draft 2'!$A6="",'Draft 2'!E6="",'Draft 2'!$C6=""),"",CONCATENATE("R",ROW('Draft 2'!$A6)-1,".",'Draft 2'!E6,'Draft 2'!$C6))</f>
        <v>R5.2E</v>
      </c>
      <c r="E6" s="23" t="str">
        <f>IF(OR('Draft 2'!$A6="",'Draft 2'!F6="",'Draft 2'!$C6=""),"",CONCATENATE("R",ROW('Draft 2'!$A6)-1,".",'Draft 2'!F6,'Draft 2'!$C6))</f>
        <v>R5.3E</v>
      </c>
      <c r="F6" s="23" t="str">
        <f>IF(OR('Draft 2'!$A6="",'Draft 2'!G6="",'Draft 2'!$C6=""),"",CONCATENATE("R",ROW('Draft 2'!$A6)-1,".",'Draft 2'!G6,'Draft 2'!$C6))</f>
        <v>R5.4E</v>
      </c>
      <c r="G6" s="23" t="str">
        <f>IF(OR('Draft 2'!$A6="",'Draft 2'!H6="",'Draft 2'!$C6=""),"",CONCATENATE("R",ROW('Draft 2'!$A6)-1,".",'Draft 2'!H6,'Draft 2'!$C6))</f>
        <v>R5.5E</v>
      </c>
      <c r="H6" s="23" t="str">
        <f>IF(OR('Draft 2'!$A6="",'Draft 2'!I6="",'Draft 2'!$C6=""),"",CONCATENATE("R",ROW('Draft 2'!$A6)-1,".",'Draft 2'!I6,'Draft 2'!$C6))</f>
        <v/>
      </c>
      <c r="I6" s="23" t="str">
        <f>IF(OR('Draft 2'!$A6="",'Draft 2'!J6="",'Draft 2'!$C6=""),"",CONCATENATE("R",ROW('Draft 2'!$A6)-1,".",'Draft 2'!J6,'Draft 2'!$C6))</f>
        <v/>
      </c>
      <c r="J6" s="23" t="str">
        <f>IF(OR('Draft 2'!$A6="",'Draft 2'!K6="",'Draft 2'!$C6=""),"",CONCATENATE("R",ROW('Draft 2'!$A6)-1,".",'Draft 2'!K6,'Draft 2'!$C6))</f>
        <v/>
      </c>
      <c r="K6" s="23" t="str">
        <f>IF(OR('Draft 2'!$A6="",'Draft 2'!L6="",'Draft 2'!$C6=""),"",CONCATENATE("R",ROW('Draft 2'!$A6)-1,".",'Draft 2'!L6,'Draft 2'!$C6))</f>
        <v/>
      </c>
      <c r="L6" s="23" t="str">
        <f>IF(OR('Draft 2'!$A6="",'Draft 2'!M6="",'Draft 2'!$C6=""),"",CONCATENATE("R",ROW('Draft 2'!$A6)-1,".",'Draft 2'!M6,'Draft 2'!$C6))</f>
        <v/>
      </c>
    </row>
    <row r="7">
      <c r="A7" s="23" t="s">
        <v>224</v>
      </c>
      <c r="B7" s="24" t="s">
        <v>225</v>
      </c>
      <c r="C7" s="23" t="str">
        <f>IF(OR('Draft 2'!$A7="",'Draft 2'!D7="",'Draft 2'!$C7=""),"",CONCATENATE("R",ROW('Draft 2'!$A7)-1,".",'Draft 2'!D7,'Draft 2'!$C7))</f>
        <v>R6.1E</v>
      </c>
      <c r="D7" s="23" t="str">
        <f>IF(OR('Draft 2'!$A7="",'Draft 2'!E7="",'Draft 2'!$C7=""),"",CONCATENATE("R",ROW('Draft 2'!$A7)-1,".",'Draft 2'!E7,'Draft 2'!$C7))</f>
        <v>R6.2E</v>
      </c>
      <c r="E7" s="23" t="str">
        <f>IF(OR('Draft 2'!$A7="",'Draft 2'!F7="",'Draft 2'!$C7=""),"",CONCATENATE("R",ROW('Draft 2'!$A7)-1,".",'Draft 2'!F7,'Draft 2'!$C7))</f>
        <v>R6.3E</v>
      </c>
      <c r="F7" s="23" t="str">
        <f>IF(OR('Draft 2'!$A7="",'Draft 2'!G7="",'Draft 2'!$C7=""),"",CONCATENATE("R",ROW('Draft 2'!$A7)-1,".",'Draft 2'!G7,'Draft 2'!$C7))</f>
        <v>R6.4E</v>
      </c>
      <c r="G7" s="23" t="str">
        <f>IF(OR('Draft 2'!$A7="",'Draft 2'!H7="",'Draft 2'!$C7=""),"",CONCATENATE("R",ROW('Draft 2'!$A7)-1,".",'Draft 2'!H7,'Draft 2'!$C7))</f>
        <v>R6.5E</v>
      </c>
      <c r="H7" s="23" t="str">
        <f>IF(OR('Draft 2'!$A7="",'Draft 2'!I7="",'Draft 2'!$C7=""),"",CONCATENATE("R",ROW('Draft 2'!$A7)-1,".",'Draft 2'!I7,'Draft 2'!$C7))</f>
        <v/>
      </c>
      <c r="I7" s="23" t="str">
        <f>IF(OR('Draft 2'!$A7="",'Draft 2'!J7="",'Draft 2'!$C7=""),"",CONCATENATE("R",ROW('Draft 2'!$A7)-1,".",'Draft 2'!J7,'Draft 2'!$C7))</f>
        <v/>
      </c>
      <c r="J7" s="23" t="str">
        <f>IF(OR('Draft 2'!$A7="",'Draft 2'!K7="",'Draft 2'!$C7=""),"",CONCATENATE("R",ROW('Draft 2'!$A7)-1,".",'Draft 2'!K7,'Draft 2'!$C7))</f>
        <v/>
      </c>
      <c r="K7" s="23" t="str">
        <f>IF(OR('Draft 2'!$A7="",'Draft 2'!L7="",'Draft 2'!$C7=""),"",CONCATENATE("R",ROW('Draft 2'!$A7)-1,".",'Draft 2'!L7,'Draft 2'!$C7))</f>
        <v/>
      </c>
      <c r="L7" s="23" t="str">
        <f>IF(OR('Draft 2'!$A7="",'Draft 2'!M7="",'Draft 2'!$C7=""),"",CONCATENATE("R",ROW('Draft 2'!$A7)-1,".",'Draft 2'!M7,'Draft 2'!$C7))</f>
        <v/>
      </c>
    </row>
    <row r="8">
      <c r="A8" s="23" t="s">
        <v>226</v>
      </c>
      <c r="B8" s="24" t="s">
        <v>227</v>
      </c>
      <c r="C8" s="23" t="str">
        <f>IF(OR('Draft 2'!$A8="",'Draft 2'!D8="",'Draft 2'!$C8=""),"",CONCATENATE("R",ROW('Draft 2'!$A8)-1,".",'Draft 2'!D8,'Draft 2'!$C8))</f>
        <v>R7.1C</v>
      </c>
      <c r="D8" s="23" t="str">
        <f>IF(OR('Draft 2'!$A8="",'Draft 2'!E8="",'Draft 2'!$C8=""),"",CONCATENATE("R",ROW('Draft 2'!$A8)-1,".",'Draft 2'!E8,'Draft 2'!$C8))</f>
        <v>R7.2C</v>
      </c>
      <c r="E8" s="23" t="str">
        <f>IF(OR('Draft 2'!$A8="",'Draft 2'!F8="",'Draft 2'!$C8=""),"",CONCATENATE("R",ROW('Draft 2'!$A8)-1,".",'Draft 2'!F8,'Draft 2'!$C8))</f>
        <v>R7.3C</v>
      </c>
      <c r="F8" s="23" t="str">
        <f>IF(OR('Draft 2'!$A8="",'Draft 2'!G8="",'Draft 2'!$C8=""),"",CONCATENATE("R",ROW('Draft 2'!$A8)-1,".",'Draft 2'!G8,'Draft 2'!$C8))</f>
        <v>R7.4C</v>
      </c>
      <c r="G8" s="23" t="str">
        <f>IF(OR('Draft 2'!$A8="",'Draft 2'!H8="",'Draft 2'!$C8=""),"",CONCATENATE("R",ROW('Draft 2'!$A8)-1,".",'Draft 2'!H8,'Draft 2'!$C8))</f>
        <v>R7.5C</v>
      </c>
      <c r="H8" s="23" t="str">
        <f>IF(OR('Draft 2'!$A8="",'Draft 2'!I8="",'Draft 2'!$C8=""),"",CONCATENATE("R",ROW('Draft 2'!$A8)-1,".",'Draft 2'!I8,'Draft 2'!$C8))</f>
        <v/>
      </c>
      <c r="I8" s="23" t="str">
        <f>IF(OR('Draft 2'!$A8="",'Draft 2'!J8="",'Draft 2'!$C8=""),"",CONCATENATE("R",ROW('Draft 2'!$A8)-1,".",'Draft 2'!J8,'Draft 2'!$C8))</f>
        <v/>
      </c>
      <c r="J8" s="23" t="str">
        <f>IF(OR('Draft 2'!$A8="",'Draft 2'!K8="",'Draft 2'!$C8=""),"",CONCATENATE("R",ROW('Draft 2'!$A8)-1,".",'Draft 2'!K8,'Draft 2'!$C8))</f>
        <v/>
      </c>
      <c r="K8" s="23" t="str">
        <f>IF(OR('Draft 2'!$A8="",'Draft 2'!L8="",'Draft 2'!$C8=""),"",CONCATENATE("R",ROW('Draft 2'!$A8)-1,".",'Draft 2'!L8,'Draft 2'!$C8))</f>
        <v/>
      </c>
      <c r="L8" s="23" t="str">
        <f>IF(OR('Draft 2'!$A8="",'Draft 2'!M8="",'Draft 2'!$C8=""),"",CONCATENATE("R",ROW('Draft 2'!$A8)-1,".",'Draft 2'!M8,'Draft 2'!$C8))</f>
        <v/>
      </c>
    </row>
    <row r="9">
      <c r="A9" s="23" t="s">
        <v>228</v>
      </c>
      <c r="B9" s="24" t="s">
        <v>229</v>
      </c>
      <c r="C9" s="23" t="str">
        <f>IF(OR('Draft 2'!$A9="",'Draft 2'!D9="",'Draft 2'!$C9=""),"",CONCATENATE("R",ROW('Draft 2'!$A9)-1,".",'Draft 2'!D9,'Draft 2'!$C9))</f>
        <v>R8.1E</v>
      </c>
      <c r="D9" s="23" t="str">
        <f>IF(OR('Draft 2'!$A9="",'Draft 2'!E9="",'Draft 2'!$C9=""),"",CONCATENATE("R",ROW('Draft 2'!$A9)-1,".",'Draft 2'!E9,'Draft 2'!$C9))</f>
        <v>R8.2E</v>
      </c>
      <c r="E9" s="23" t="str">
        <f>IF(OR('Draft 2'!$A9="",'Draft 2'!F9="",'Draft 2'!$C9=""),"",CONCATENATE("R",ROW('Draft 2'!$A9)-1,".",'Draft 2'!F9,'Draft 2'!$C9))</f>
        <v>R8.3E</v>
      </c>
      <c r="F9" s="23" t="str">
        <f>IF(OR('Draft 2'!$A9="",'Draft 2'!G9="",'Draft 2'!$C9=""),"",CONCATENATE("R",ROW('Draft 2'!$A9)-1,".",'Draft 2'!G9,'Draft 2'!$C9))</f>
        <v>R8.4E</v>
      </c>
      <c r="G9" s="23" t="str">
        <f>IF(OR('Draft 2'!$A9="",'Draft 2'!H9="",'Draft 2'!$C9=""),"",CONCATENATE("R",ROW('Draft 2'!$A9)-1,".",'Draft 2'!H9,'Draft 2'!$C9))</f>
        <v>R8.5E</v>
      </c>
      <c r="H9" s="23" t="str">
        <f>IF(OR('Draft 2'!$A9="",'Draft 2'!I9="",'Draft 2'!$C9=""),"",CONCATENATE("R",ROW('Draft 2'!$A9)-1,".",'Draft 2'!I9,'Draft 2'!$C9))</f>
        <v/>
      </c>
      <c r="I9" s="23" t="str">
        <f>IF(OR('Draft 2'!$A9="",'Draft 2'!J9="",'Draft 2'!$C9=""),"",CONCATENATE("R",ROW('Draft 2'!$A9)-1,".",'Draft 2'!J9,'Draft 2'!$C9))</f>
        <v/>
      </c>
      <c r="J9" s="23" t="str">
        <f>IF(OR('Draft 2'!$A9="",'Draft 2'!K9="",'Draft 2'!$C9=""),"",CONCATENATE("R",ROW('Draft 2'!$A9)-1,".",'Draft 2'!K9,'Draft 2'!$C9))</f>
        <v/>
      </c>
      <c r="K9" s="23" t="str">
        <f>IF(OR('Draft 2'!$A9="",'Draft 2'!L9="",'Draft 2'!$C9=""),"",CONCATENATE("R",ROW('Draft 2'!$A9)-1,".",'Draft 2'!L9,'Draft 2'!$C9))</f>
        <v/>
      </c>
      <c r="L9" s="23" t="str">
        <f>IF(OR('Draft 2'!$A9="",'Draft 2'!M9="",'Draft 2'!$C9=""),"",CONCATENATE("R",ROW('Draft 2'!$A9)-1,".",'Draft 2'!M9,'Draft 2'!$C9))</f>
        <v/>
      </c>
    </row>
    <row r="10">
      <c r="A10" s="23" t="s">
        <v>230</v>
      </c>
      <c r="B10" s="24" t="s">
        <v>231</v>
      </c>
      <c r="C10" s="23" t="str">
        <f>IF(OR('Draft 2'!$A10="",'Draft 2'!D10="",'Draft 2'!$C10=""),"",CONCATENATE("R",ROW('Draft 2'!$A10)-1,".",'Draft 2'!D10,'Draft 2'!$C10))</f>
        <v>R9.1C</v>
      </c>
      <c r="D10" s="23" t="str">
        <f>IF(OR('Draft 2'!$A10="",'Draft 2'!E10="",'Draft 2'!$C10=""),"",CONCATENATE("R",ROW('Draft 2'!$A10)-1,".",'Draft 2'!E10,'Draft 2'!$C10))</f>
        <v>R9.2C</v>
      </c>
      <c r="E10" s="23" t="str">
        <f>IF(OR('Draft 2'!$A10="",'Draft 2'!F10="",'Draft 2'!$C10=""),"",CONCATENATE("R",ROW('Draft 2'!$A10)-1,".",'Draft 2'!F10,'Draft 2'!$C10))</f>
        <v>R9.3C</v>
      </c>
      <c r="F10" s="23" t="str">
        <f>IF(OR('Draft 2'!$A10="",'Draft 2'!G10="",'Draft 2'!$C10=""),"",CONCATENATE("R",ROW('Draft 2'!$A10)-1,".",'Draft 2'!G10,'Draft 2'!$C10))</f>
        <v>R9.4C</v>
      </c>
      <c r="G10" s="23" t="str">
        <f>IF(OR('Draft 2'!$A10="",'Draft 2'!H10="",'Draft 2'!$C10=""),"",CONCATENATE("R",ROW('Draft 2'!$A10)-1,".",'Draft 2'!H10,'Draft 2'!$C10))</f>
        <v>R9.5C</v>
      </c>
      <c r="H10" s="23" t="str">
        <f>IF(OR('Draft 2'!$A10="",'Draft 2'!I10="",'Draft 2'!$C10=""),"",CONCATENATE("R",ROW('Draft 2'!$A10)-1,".",'Draft 2'!I10,'Draft 2'!$C10))</f>
        <v/>
      </c>
      <c r="I10" s="23" t="str">
        <f>IF(OR('Draft 2'!$A10="",'Draft 2'!J10="",'Draft 2'!$C10=""),"",CONCATENATE("R",ROW('Draft 2'!$A10)-1,".",'Draft 2'!J10,'Draft 2'!$C10))</f>
        <v/>
      </c>
      <c r="J10" s="23" t="str">
        <f>IF(OR('Draft 2'!$A10="",'Draft 2'!K10="",'Draft 2'!$C10=""),"",CONCATENATE("R",ROW('Draft 2'!$A10)-1,".",'Draft 2'!K10,'Draft 2'!$C10))</f>
        <v/>
      </c>
      <c r="K10" s="23" t="str">
        <f>IF(OR('Draft 2'!$A10="",'Draft 2'!L10="",'Draft 2'!$C10=""),"",CONCATENATE("R",ROW('Draft 2'!$A10)-1,".",'Draft 2'!L10,'Draft 2'!$C10))</f>
        <v/>
      </c>
      <c r="L10" s="23" t="str">
        <f>IF(OR('Draft 2'!$A10="",'Draft 2'!M10="",'Draft 2'!$C10=""),"",CONCATENATE("R",ROW('Draft 2'!$A10)-1,".",'Draft 2'!M10,'Draft 2'!$C10))</f>
        <v/>
      </c>
    </row>
    <row r="11">
      <c r="A11" s="23" t="s">
        <v>232</v>
      </c>
      <c r="B11" s="24" t="s">
        <v>233</v>
      </c>
      <c r="C11" s="23" t="str">
        <f>IF(OR('Draft 2'!$A11="",'Draft 2'!D11="",'Draft 2'!$C11=""),"",CONCATENATE("R",ROW('Draft 2'!$A11)-1,".",'Draft 2'!D11,'Draft 2'!$C11))</f>
        <v>R10.1D</v>
      </c>
      <c r="D11" s="23" t="str">
        <f>IF(OR('Draft 2'!$A11="",'Draft 2'!E11="",'Draft 2'!$C11=""),"",CONCATENATE("R",ROW('Draft 2'!$A11)-1,".",'Draft 2'!E11,'Draft 2'!$C11))</f>
        <v>R10.2D</v>
      </c>
      <c r="E11" s="23" t="str">
        <f>IF(OR('Draft 2'!$A11="",'Draft 2'!F11="",'Draft 2'!$C11=""),"",CONCATENATE("R",ROW('Draft 2'!$A11)-1,".",'Draft 2'!F11,'Draft 2'!$C11))</f>
        <v>R10.3D</v>
      </c>
      <c r="F11" s="23" t="str">
        <f>IF(OR('Draft 2'!$A11="",'Draft 2'!G11="",'Draft 2'!$C11=""),"",CONCATENATE("R",ROW('Draft 2'!$A11)-1,".",'Draft 2'!G11,'Draft 2'!$C11))</f>
        <v>R10.4D</v>
      </c>
      <c r="G11" s="23" t="str">
        <f>IF(OR('Draft 2'!$A11="",'Draft 2'!H11="",'Draft 2'!$C11=""),"",CONCATENATE("R",ROW('Draft 2'!$A11)-1,".",'Draft 2'!H11,'Draft 2'!$C11))</f>
        <v>R10.5D</v>
      </c>
      <c r="H11" s="23" t="str">
        <f>IF(OR('Draft 2'!$A11="",'Draft 2'!I11="",'Draft 2'!$C11=""),"",CONCATENATE("R",ROW('Draft 2'!$A11)-1,".",'Draft 2'!I11,'Draft 2'!$C11))</f>
        <v/>
      </c>
      <c r="I11" s="23" t="str">
        <f>IF(OR('Draft 2'!$A11="",'Draft 2'!J11="",'Draft 2'!$C11=""),"",CONCATENATE("R",ROW('Draft 2'!$A11)-1,".",'Draft 2'!J11,'Draft 2'!$C11))</f>
        <v/>
      </c>
      <c r="J11" s="23" t="str">
        <f>IF(OR('Draft 2'!$A11="",'Draft 2'!K11="",'Draft 2'!$C11=""),"",CONCATENATE("R",ROW('Draft 2'!$A11)-1,".",'Draft 2'!K11,'Draft 2'!$C11))</f>
        <v/>
      </c>
      <c r="K11" s="23" t="str">
        <f>IF(OR('Draft 2'!$A11="",'Draft 2'!L11="",'Draft 2'!$C11=""),"",CONCATENATE("R",ROW('Draft 2'!$A11)-1,".",'Draft 2'!L11,'Draft 2'!$C11))</f>
        <v/>
      </c>
      <c r="L11" s="23" t="str">
        <f>IF(OR('Draft 2'!$A11="",'Draft 2'!M11="",'Draft 2'!$C11=""),"",CONCATENATE("R",ROW('Draft 2'!$A11)-1,".",'Draft 2'!M11,'Draft 2'!$C11))</f>
        <v/>
      </c>
    </row>
    <row r="12">
      <c r="A12" s="23" t="s">
        <v>235</v>
      </c>
      <c r="B12" s="24" t="s">
        <v>236</v>
      </c>
      <c r="C12" s="23" t="str">
        <f>IF(OR('Draft 2'!$A12="",'Draft 2'!D12="",'Draft 2'!$C12=""),"",CONCATENATE("R",ROW('Draft 2'!$A12)-1,".",'Draft 2'!D12,'Draft 2'!$C12))</f>
        <v>R11.1D</v>
      </c>
      <c r="D12" s="23" t="str">
        <f>IF(OR('Draft 2'!$A12="",'Draft 2'!E12="",'Draft 2'!$C12=""),"",CONCATENATE("R",ROW('Draft 2'!$A12)-1,".",'Draft 2'!E12,'Draft 2'!$C12))</f>
        <v>R11.2D</v>
      </c>
      <c r="E12" s="23" t="str">
        <f>IF(OR('Draft 2'!$A12="",'Draft 2'!F12="",'Draft 2'!$C12=""),"",CONCATENATE("R",ROW('Draft 2'!$A12)-1,".",'Draft 2'!F12,'Draft 2'!$C12))</f>
        <v>R11.3D</v>
      </c>
      <c r="F12" s="23" t="str">
        <f>IF(OR('Draft 2'!$A12="",'Draft 2'!G12="",'Draft 2'!$C12=""),"",CONCATENATE("R",ROW('Draft 2'!$A12)-1,".",'Draft 2'!G12,'Draft 2'!$C12))</f>
        <v>R11.4D</v>
      </c>
      <c r="G12" s="23" t="str">
        <f>IF(OR('Draft 2'!$A12="",'Draft 2'!H12="",'Draft 2'!$C12=""),"",CONCATENATE("R",ROW('Draft 2'!$A12)-1,".",'Draft 2'!H12,'Draft 2'!$C12))</f>
        <v>R11.5D</v>
      </c>
      <c r="H12" s="23" t="str">
        <f>IF(OR('Draft 2'!$A12="",'Draft 2'!I12="",'Draft 2'!$C12=""),"",CONCATENATE("R",ROW('Draft 2'!$A12)-1,".",'Draft 2'!I12,'Draft 2'!$C12))</f>
        <v/>
      </c>
      <c r="I12" s="23" t="str">
        <f>IF(OR('Draft 2'!$A12="",'Draft 2'!J12="",'Draft 2'!$C12=""),"",CONCATENATE("R",ROW('Draft 2'!$A12)-1,".",'Draft 2'!J12,'Draft 2'!$C12))</f>
        <v/>
      </c>
      <c r="J12" s="23" t="str">
        <f>IF(OR('Draft 2'!$A12="",'Draft 2'!K12="",'Draft 2'!$C12=""),"",CONCATENATE("R",ROW('Draft 2'!$A12)-1,".",'Draft 2'!K12,'Draft 2'!$C12))</f>
        <v/>
      </c>
      <c r="K12" s="23" t="str">
        <f>IF(OR('Draft 2'!$A12="",'Draft 2'!L12="",'Draft 2'!$C12=""),"",CONCATENATE("R",ROW('Draft 2'!$A12)-1,".",'Draft 2'!L12,'Draft 2'!$C12))</f>
        <v/>
      </c>
      <c r="L12" s="23" t="str">
        <f>IF(OR('Draft 2'!$A12="",'Draft 2'!M12="",'Draft 2'!$C12=""),"",CONCATENATE("R",ROW('Draft 2'!$A12)-1,".",'Draft 2'!M12,'Draft 2'!$C12))</f>
        <v/>
      </c>
    </row>
    <row r="13">
      <c r="A13" s="23" t="s">
        <v>237</v>
      </c>
      <c r="B13" s="24" t="s">
        <v>238</v>
      </c>
      <c r="C13" s="23" t="str">
        <f>IF(OR('Draft 2'!$A13="",'Draft 2'!D13="",'Draft 2'!$C13=""),"",CONCATENATE("R",ROW('Draft 2'!$A13)-1,".",'Draft 2'!D13,'Draft 2'!$C13))</f>
        <v>R12.1D</v>
      </c>
      <c r="D13" s="23" t="str">
        <f>IF(OR('Draft 2'!$A13="",'Draft 2'!E13="",'Draft 2'!$C13=""),"",CONCATENATE("R",ROW('Draft 2'!$A13)-1,".",'Draft 2'!E13,'Draft 2'!$C13))</f>
        <v>R12.2D</v>
      </c>
      <c r="E13" s="23" t="str">
        <f>IF(OR('Draft 2'!$A13="",'Draft 2'!F13="",'Draft 2'!$C13=""),"",CONCATENATE("R",ROW('Draft 2'!$A13)-1,".",'Draft 2'!F13,'Draft 2'!$C13))</f>
        <v>R12.3D</v>
      </c>
      <c r="F13" s="23" t="str">
        <f>IF(OR('Draft 2'!$A13="",'Draft 2'!G13="",'Draft 2'!$C13=""),"",CONCATENATE("R",ROW('Draft 2'!$A13)-1,".",'Draft 2'!G13,'Draft 2'!$C13))</f>
        <v>R12.4D</v>
      </c>
      <c r="G13" s="23" t="str">
        <f>IF(OR('Draft 2'!$A13="",'Draft 2'!H13="",'Draft 2'!$C13=""),"",CONCATENATE("R",ROW('Draft 2'!$A13)-1,".",'Draft 2'!H13,'Draft 2'!$C13))</f>
        <v>R12.5D</v>
      </c>
      <c r="H13" s="23" t="str">
        <f>IF(OR('Draft 2'!$A13="",'Draft 2'!I13="",'Draft 2'!$C13=""),"",CONCATENATE("R",ROW('Draft 2'!$A13)-1,".",'Draft 2'!I13,'Draft 2'!$C13))</f>
        <v/>
      </c>
      <c r="I13" s="23" t="str">
        <f>IF(OR('Draft 2'!$A13="",'Draft 2'!J13="",'Draft 2'!$C13=""),"",CONCATENATE("R",ROW('Draft 2'!$A13)-1,".",'Draft 2'!J13,'Draft 2'!$C13))</f>
        <v/>
      </c>
      <c r="J13" s="23" t="str">
        <f>IF(OR('Draft 2'!$A13="",'Draft 2'!K13="",'Draft 2'!$C13=""),"",CONCATENATE("R",ROW('Draft 2'!$A13)-1,".",'Draft 2'!K13,'Draft 2'!$C13))</f>
        <v/>
      </c>
      <c r="K13" s="23" t="str">
        <f>IF(OR('Draft 2'!$A13="",'Draft 2'!L13="",'Draft 2'!$C13=""),"",CONCATENATE("R",ROW('Draft 2'!$A13)-1,".",'Draft 2'!L13,'Draft 2'!$C13))</f>
        <v/>
      </c>
      <c r="L13" s="23" t="str">
        <f>IF(OR('Draft 2'!$A13="",'Draft 2'!M13="",'Draft 2'!$C13=""),"",CONCATENATE("R",ROW('Draft 2'!$A13)-1,".",'Draft 2'!M13,'Draft 2'!$C13))</f>
        <v/>
      </c>
    </row>
    <row r="14">
      <c r="A14" s="23" t="s">
        <v>239</v>
      </c>
      <c r="B14" s="24" t="s">
        <v>240</v>
      </c>
      <c r="C14" s="23" t="str">
        <f>IF(OR('Draft 2'!$A14="",'Draft 2'!D14="",'Draft 2'!$C14=""),"",CONCATENATE("R",ROW('Draft 2'!$A14)-1,".",'Draft 2'!D14,'Draft 2'!$C14))</f>
        <v>R13.1B</v>
      </c>
      <c r="D14" s="23" t="str">
        <f>IF(OR('Draft 2'!$A14="",'Draft 2'!E14="",'Draft 2'!$C14=""),"",CONCATENATE("R",ROW('Draft 2'!$A14)-1,".",'Draft 2'!E14,'Draft 2'!$C14))</f>
        <v>R13.2B</v>
      </c>
      <c r="E14" s="23" t="str">
        <f>IF(OR('Draft 2'!$A14="",'Draft 2'!F14="",'Draft 2'!$C14=""),"",CONCATENATE("R",ROW('Draft 2'!$A14)-1,".",'Draft 2'!F14,'Draft 2'!$C14))</f>
        <v>R13.3B</v>
      </c>
      <c r="F14" s="23" t="str">
        <f>IF(OR('Draft 2'!$A14="",'Draft 2'!G14="",'Draft 2'!$C14=""),"",CONCATENATE("R",ROW('Draft 2'!$A14)-1,".",'Draft 2'!G14,'Draft 2'!$C14))</f>
        <v>R13.4B</v>
      </c>
      <c r="G14" s="23" t="str">
        <f>IF(OR('Draft 2'!$A14="",'Draft 2'!H14="",'Draft 2'!$C14=""),"",CONCATENATE("R",ROW('Draft 2'!$A14)-1,".",'Draft 2'!H14,'Draft 2'!$C14))</f>
        <v>R13.5B</v>
      </c>
      <c r="H14" s="23" t="str">
        <f>IF(OR('Draft 2'!$A14="",'Draft 2'!I14="",'Draft 2'!$C14=""),"",CONCATENATE("R",ROW('Draft 2'!$A14)-1,".",'Draft 2'!I14,'Draft 2'!$C14))</f>
        <v>R13.6B</v>
      </c>
      <c r="I14" s="23" t="str">
        <f>IF(OR('Draft 2'!$A14="",'Draft 2'!J14="",'Draft 2'!$C14=""),"",CONCATENATE("R",ROW('Draft 2'!$A14)-1,".",'Draft 2'!J14,'Draft 2'!$C14))</f>
        <v>R13.7B</v>
      </c>
      <c r="J14" s="23" t="str">
        <f>IF(OR('Draft 2'!$A14="",'Draft 2'!K14="",'Draft 2'!$C14=""),"",CONCATENATE("R",ROW('Draft 2'!$A14)-1,".",'Draft 2'!K14,'Draft 2'!$C14))</f>
        <v>R13.8B</v>
      </c>
      <c r="K14" s="23" t="str">
        <f>IF(OR('Draft 2'!$A14="",'Draft 2'!L14="",'Draft 2'!$C14=""),"",CONCATENATE("R",ROW('Draft 2'!$A14)-1,".",'Draft 2'!L14,'Draft 2'!$C14))</f>
        <v/>
      </c>
      <c r="L14" s="23" t="str">
        <f>IF(OR('Draft 2'!$A14="",'Draft 2'!M14="",'Draft 2'!$C14=""),"",CONCATENATE("R",ROW('Draft 2'!$A14)-1,".",'Draft 2'!M14,'Draft 2'!$C14))</f>
        <v/>
      </c>
    </row>
    <row r="15">
      <c r="A15" s="23" t="s">
        <v>241</v>
      </c>
      <c r="B15" s="24" t="s">
        <v>242</v>
      </c>
      <c r="C15" s="23" t="str">
        <f>IF(OR('Draft 2'!$A15="",'Draft 2'!D15="",'Draft 2'!$C15=""),"",CONCATENATE("R",ROW('Draft 2'!$A15)-1,".",'Draft 2'!D15,'Draft 2'!$C15))</f>
        <v>R14.1D</v>
      </c>
      <c r="D15" s="23" t="str">
        <f>IF(OR('Draft 2'!$A15="",'Draft 2'!E15="",'Draft 2'!$C15=""),"",CONCATENATE("R",ROW('Draft 2'!$A15)-1,".",'Draft 2'!E15,'Draft 2'!$C15))</f>
        <v>R14.2D</v>
      </c>
      <c r="E15" s="23" t="str">
        <f>IF(OR('Draft 2'!$A15="",'Draft 2'!F15="",'Draft 2'!$C15=""),"",CONCATENATE("R",ROW('Draft 2'!$A15)-1,".",'Draft 2'!F15,'Draft 2'!$C15))</f>
        <v>R14.3D</v>
      </c>
      <c r="F15" s="23" t="str">
        <f>IF(OR('Draft 2'!$A15="",'Draft 2'!G15="",'Draft 2'!$C15=""),"",CONCATENATE("R",ROW('Draft 2'!$A15)-1,".",'Draft 2'!G15,'Draft 2'!$C15))</f>
        <v>R14.4D</v>
      </c>
      <c r="G15" s="23" t="str">
        <f>IF(OR('Draft 2'!$A15="",'Draft 2'!H15="",'Draft 2'!$C15=""),"",CONCATENATE("R",ROW('Draft 2'!$A15)-1,".",'Draft 2'!H15,'Draft 2'!$C15))</f>
        <v>R14.5D</v>
      </c>
      <c r="H15" s="23" t="str">
        <f>IF(OR('Draft 2'!$A15="",'Draft 2'!I15="",'Draft 2'!$C15=""),"",CONCATENATE("R",ROW('Draft 2'!$A15)-1,".",'Draft 2'!I15,'Draft 2'!$C15))</f>
        <v>R14.6D</v>
      </c>
      <c r="I15" s="23" t="str">
        <f>IF(OR('Draft 2'!$A15="",'Draft 2'!J15="",'Draft 2'!$C15=""),"",CONCATENATE("R",ROW('Draft 2'!$A15)-1,".",'Draft 2'!J15,'Draft 2'!$C15))</f>
        <v>R14.7D</v>
      </c>
      <c r="J15" s="23" t="str">
        <f>IF(OR('Draft 2'!$A15="",'Draft 2'!K15="",'Draft 2'!$C15=""),"",CONCATENATE("R",ROW('Draft 2'!$A15)-1,".",'Draft 2'!K15,'Draft 2'!$C15))</f>
        <v>R14.8D</v>
      </c>
      <c r="K15" s="23" t="str">
        <f>IF(OR('Draft 2'!$A15="",'Draft 2'!L15="",'Draft 2'!$C15=""),"",CONCATENATE("R",ROW('Draft 2'!$A15)-1,".",'Draft 2'!L15,'Draft 2'!$C15))</f>
        <v/>
      </c>
      <c r="L15" s="23" t="str">
        <f>IF(OR('Draft 2'!$A15="",'Draft 2'!M15="",'Draft 2'!$C15=""),"",CONCATENATE("R",ROW('Draft 2'!$A15)-1,".",'Draft 2'!M15,'Draft 2'!$C15))</f>
        <v/>
      </c>
    </row>
    <row r="16">
      <c r="A16" s="23" t="s">
        <v>243</v>
      </c>
      <c r="B16" s="24" t="s">
        <v>244</v>
      </c>
      <c r="C16" s="23" t="str">
        <f>IF(OR('Draft 2'!$A16="",'Draft 2'!D16="",'Draft 2'!$C16=""),"",CONCATENATE("R",ROW('Draft 2'!$A16)-1,".",'Draft 2'!D16,'Draft 2'!$C16))</f>
        <v>R15.1E</v>
      </c>
      <c r="D16" s="23" t="str">
        <f>IF(OR('Draft 2'!$A16="",'Draft 2'!E16="",'Draft 2'!$C16=""),"",CONCATENATE("R",ROW('Draft 2'!$A16)-1,".",'Draft 2'!E16,'Draft 2'!$C16))</f>
        <v>R15.2E</v>
      </c>
      <c r="E16" s="23" t="str">
        <f>IF(OR('Draft 2'!$A16="",'Draft 2'!F16="",'Draft 2'!$C16=""),"",CONCATENATE("R",ROW('Draft 2'!$A16)-1,".",'Draft 2'!F16,'Draft 2'!$C16))</f>
        <v>R15.3E</v>
      </c>
      <c r="F16" s="23" t="str">
        <f>IF(OR('Draft 2'!$A16="",'Draft 2'!G16="",'Draft 2'!$C16=""),"",CONCATENATE("R",ROW('Draft 2'!$A16)-1,".",'Draft 2'!G16,'Draft 2'!$C16))</f>
        <v>R15.4E</v>
      </c>
      <c r="G16" s="23" t="str">
        <f>IF(OR('Draft 2'!$A16="",'Draft 2'!H16="",'Draft 2'!$C16=""),"",CONCATENATE("R",ROW('Draft 2'!$A16)-1,".",'Draft 2'!H16,'Draft 2'!$C16))</f>
        <v>R15.5E</v>
      </c>
      <c r="H16" s="23" t="str">
        <f>IF(OR('Draft 2'!$A16="",'Draft 2'!I16="",'Draft 2'!$C16=""),"",CONCATENATE("R",ROW('Draft 2'!$A16)-1,".",'Draft 2'!I16,'Draft 2'!$C16))</f>
        <v>R15.6E</v>
      </c>
      <c r="I16" s="23" t="str">
        <f>IF(OR('Draft 2'!$A16="",'Draft 2'!J16="",'Draft 2'!$C16=""),"",CONCATENATE("R",ROW('Draft 2'!$A16)-1,".",'Draft 2'!J16,'Draft 2'!$C16))</f>
        <v>R15.7E</v>
      </c>
      <c r="J16" s="23" t="str">
        <f>IF(OR('Draft 2'!$A16="",'Draft 2'!K16="",'Draft 2'!$C16=""),"",CONCATENATE("R",ROW('Draft 2'!$A16)-1,".",'Draft 2'!K16,'Draft 2'!$C16))</f>
        <v>R15.8E</v>
      </c>
      <c r="K16" s="23" t="str">
        <f>IF(OR('Draft 2'!$A16="",'Draft 2'!L16="",'Draft 2'!$C16=""),"",CONCATENATE("R",ROW('Draft 2'!$A16)-1,".",'Draft 2'!L16,'Draft 2'!$C16))</f>
        <v/>
      </c>
      <c r="L16" s="23" t="str">
        <f>IF(OR('Draft 2'!$A16="",'Draft 2'!M16="",'Draft 2'!$C16=""),"",CONCATENATE("R",ROW('Draft 2'!$A16)-1,".",'Draft 2'!M16,'Draft 2'!$C16))</f>
        <v/>
      </c>
    </row>
    <row r="17">
      <c r="A17" s="23" t="s">
        <v>245</v>
      </c>
      <c r="B17" s="24" t="s">
        <v>246</v>
      </c>
      <c r="C17" s="23" t="str">
        <f>IF(OR('Draft 2'!$A17="",'Draft 2'!D17="",'Draft 2'!$C17=""),"",CONCATENATE("R",ROW('Draft 2'!$A17)-1,".",'Draft 2'!D17,'Draft 2'!$C17))</f>
        <v>R16.1C</v>
      </c>
      <c r="D17" s="23" t="str">
        <f>IF(OR('Draft 2'!$A17="",'Draft 2'!E17="",'Draft 2'!$C17=""),"",CONCATENATE("R",ROW('Draft 2'!$A17)-1,".",'Draft 2'!E17,'Draft 2'!$C17))</f>
        <v>R16.2C</v>
      </c>
      <c r="E17" s="23" t="str">
        <f>IF(OR('Draft 2'!$A17="",'Draft 2'!F17="",'Draft 2'!$C17=""),"",CONCATENATE("R",ROW('Draft 2'!$A17)-1,".",'Draft 2'!F17,'Draft 2'!$C17))</f>
        <v>R16.3C</v>
      </c>
      <c r="F17" s="23" t="str">
        <f>IF(OR('Draft 2'!$A17="",'Draft 2'!G17="",'Draft 2'!$C17=""),"",CONCATENATE("R",ROW('Draft 2'!$A17)-1,".",'Draft 2'!G17,'Draft 2'!$C17))</f>
        <v>R16.4C</v>
      </c>
      <c r="G17" s="23" t="str">
        <f>IF(OR('Draft 2'!$A17="",'Draft 2'!H17="",'Draft 2'!$C17=""),"",CONCATENATE("R",ROW('Draft 2'!$A17)-1,".",'Draft 2'!H17,'Draft 2'!$C17))</f>
        <v>R16.5C</v>
      </c>
      <c r="H17" s="23" t="str">
        <f>IF(OR('Draft 2'!$A17="",'Draft 2'!I17="",'Draft 2'!$C17=""),"",CONCATENATE("R",ROW('Draft 2'!$A17)-1,".",'Draft 2'!I17,'Draft 2'!$C17))</f>
        <v/>
      </c>
      <c r="I17" s="23" t="str">
        <f>IF(OR('Draft 2'!$A17="",'Draft 2'!J17="",'Draft 2'!$C17=""),"",CONCATENATE("R",ROW('Draft 2'!$A17)-1,".",'Draft 2'!J17,'Draft 2'!$C17))</f>
        <v/>
      </c>
      <c r="J17" s="23" t="str">
        <f>IF(OR('Draft 2'!$A17="",'Draft 2'!K17="",'Draft 2'!$C17=""),"",CONCATENATE("R",ROW('Draft 2'!$A17)-1,".",'Draft 2'!K17,'Draft 2'!$C17))</f>
        <v/>
      </c>
      <c r="K17" s="23" t="str">
        <f>IF(OR('Draft 2'!$A17="",'Draft 2'!L17="",'Draft 2'!$C17=""),"",CONCATENATE("R",ROW('Draft 2'!$A17)-1,".",'Draft 2'!L17,'Draft 2'!$C17))</f>
        <v/>
      </c>
      <c r="L17" s="23" t="str">
        <f>IF(OR('Draft 2'!$A17="",'Draft 2'!M17="",'Draft 2'!$C17=""),"",CONCATENATE("R",ROW('Draft 2'!$A17)-1,".",'Draft 2'!M17,'Draft 2'!$C17))</f>
        <v/>
      </c>
    </row>
    <row r="18">
      <c r="A18" s="23" t="s">
        <v>247</v>
      </c>
      <c r="B18" s="24" t="s">
        <v>248</v>
      </c>
      <c r="C18" s="23" t="str">
        <f>IF(OR('Draft 2'!$A18="",'Draft 2'!D18="",'Draft 2'!$C18=""),"",CONCATENATE("R",ROW('Draft 2'!$A18)-1,".",'Draft 2'!D18,'Draft 2'!$C18))</f>
        <v>R17.1E</v>
      </c>
      <c r="D18" s="23" t="str">
        <f>IF(OR('Draft 2'!$A18="",'Draft 2'!E18="",'Draft 2'!$C18=""),"",CONCATENATE("R",ROW('Draft 2'!$A18)-1,".",'Draft 2'!E18,'Draft 2'!$C18))</f>
        <v>R17.2E</v>
      </c>
      <c r="E18" s="23" t="str">
        <f>IF(OR('Draft 2'!$A18="",'Draft 2'!F18="",'Draft 2'!$C18=""),"",CONCATENATE("R",ROW('Draft 2'!$A18)-1,".",'Draft 2'!F18,'Draft 2'!$C18))</f>
        <v>R17.3E</v>
      </c>
      <c r="F18" s="23" t="str">
        <f>IF(OR('Draft 2'!$A18="",'Draft 2'!G18="",'Draft 2'!$C18=""),"",CONCATENATE("R",ROW('Draft 2'!$A18)-1,".",'Draft 2'!G18,'Draft 2'!$C18))</f>
        <v>R17.4E</v>
      </c>
      <c r="G18" s="23" t="str">
        <f>IF(OR('Draft 2'!$A18="",'Draft 2'!H18="",'Draft 2'!$C18=""),"",CONCATENATE("R",ROW('Draft 2'!$A18)-1,".",'Draft 2'!H18,'Draft 2'!$C18))</f>
        <v>R17.5E</v>
      </c>
      <c r="H18" s="23" t="str">
        <f>IF(OR('Draft 2'!$A18="",'Draft 2'!I18="",'Draft 2'!$C18=""),"",CONCATENATE("R",ROW('Draft 2'!$A18)-1,".",'Draft 2'!I18,'Draft 2'!$C18))</f>
        <v/>
      </c>
      <c r="I18" s="23" t="str">
        <f>IF(OR('Draft 2'!$A18="",'Draft 2'!J18="",'Draft 2'!$C18=""),"",CONCATENATE("R",ROW('Draft 2'!$A18)-1,".",'Draft 2'!J18,'Draft 2'!$C18))</f>
        <v/>
      </c>
      <c r="J18" s="23" t="str">
        <f>IF(OR('Draft 2'!$A18="",'Draft 2'!K18="",'Draft 2'!$C18=""),"",CONCATENATE("R",ROW('Draft 2'!$A18)-1,".",'Draft 2'!K18,'Draft 2'!$C18))</f>
        <v/>
      </c>
      <c r="K18" s="23" t="str">
        <f>IF(OR('Draft 2'!$A18="",'Draft 2'!L18="",'Draft 2'!$C18=""),"",CONCATENATE("R",ROW('Draft 2'!$A18)-1,".",'Draft 2'!L18,'Draft 2'!$C18))</f>
        <v/>
      </c>
      <c r="L18" s="23" t="str">
        <f>IF(OR('Draft 2'!$A18="",'Draft 2'!M18="",'Draft 2'!$C18=""),"",CONCATENATE("R",ROW('Draft 2'!$A18)-1,".",'Draft 2'!M18,'Draft 2'!$C18))</f>
        <v/>
      </c>
    </row>
    <row r="19">
      <c r="A19" s="23" t="s">
        <v>249</v>
      </c>
      <c r="B19" s="24" t="s">
        <v>250</v>
      </c>
      <c r="C19" s="23" t="str">
        <f>IF(OR('Draft 2'!$A19="",'Draft 2'!D19="",'Draft 2'!$C19=""),"",CONCATENATE("R",ROW('Draft 2'!$A19)-1,".",'Draft 2'!D19,'Draft 2'!$C19))</f>
        <v>R18.1C</v>
      </c>
      <c r="D19" s="23" t="str">
        <f>IF(OR('Draft 2'!$A19="",'Draft 2'!E19="",'Draft 2'!$C19=""),"",CONCATENATE("R",ROW('Draft 2'!$A19)-1,".",'Draft 2'!E19,'Draft 2'!$C19))</f>
        <v>R18.2C</v>
      </c>
      <c r="E19" s="23" t="str">
        <f>IF(OR('Draft 2'!$A19="",'Draft 2'!F19="",'Draft 2'!$C19=""),"",CONCATENATE("R",ROW('Draft 2'!$A19)-1,".",'Draft 2'!F19,'Draft 2'!$C19))</f>
        <v>R18.3C</v>
      </c>
      <c r="F19" s="23" t="str">
        <f>IF(OR('Draft 2'!$A19="",'Draft 2'!G19="",'Draft 2'!$C19=""),"",CONCATENATE("R",ROW('Draft 2'!$A19)-1,".",'Draft 2'!G19,'Draft 2'!$C19))</f>
        <v>R18.4C</v>
      </c>
      <c r="G19" s="23" t="str">
        <f>IF(OR('Draft 2'!$A19="",'Draft 2'!H19="",'Draft 2'!$C19=""),"",CONCATENATE("R",ROW('Draft 2'!$A19)-1,".",'Draft 2'!H19,'Draft 2'!$C19))</f>
        <v>R18.5C</v>
      </c>
      <c r="H19" s="23" t="str">
        <f>IF(OR('Draft 2'!$A19="",'Draft 2'!I19="",'Draft 2'!$C19=""),"",CONCATENATE("R",ROW('Draft 2'!$A19)-1,".",'Draft 2'!I19,'Draft 2'!$C19))</f>
        <v/>
      </c>
      <c r="I19" s="23" t="str">
        <f>IF(OR('Draft 2'!$A19="",'Draft 2'!J19="",'Draft 2'!$C19=""),"",CONCATENATE("R",ROW('Draft 2'!$A19)-1,".",'Draft 2'!J19,'Draft 2'!$C19))</f>
        <v/>
      </c>
      <c r="J19" s="23" t="str">
        <f>IF(OR('Draft 2'!$A19="",'Draft 2'!K19="",'Draft 2'!$C19=""),"",CONCATENATE("R",ROW('Draft 2'!$A19)-1,".",'Draft 2'!K19,'Draft 2'!$C19))</f>
        <v/>
      </c>
      <c r="K19" s="23" t="str">
        <f>IF(OR('Draft 2'!$A19="",'Draft 2'!L19="",'Draft 2'!$C19=""),"",CONCATENATE("R",ROW('Draft 2'!$A19)-1,".",'Draft 2'!L19,'Draft 2'!$C19))</f>
        <v/>
      </c>
      <c r="L19" s="23" t="str">
        <f>IF(OR('Draft 2'!$A19="",'Draft 2'!M19="",'Draft 2'!$C19=""),"",CONCATENATE("R",ROW('Draft 2'!$A19)-1,".",'Draft 2'!M19,'Draft 2'!$C19))</f>
        <v/>
      </c>
    </row>
    <row r="20">
      <c r="A20" s="23" t="s">
        <v>251</v>
      </c>
      <c r="B20" s="24" t="s">
        <v>252</v>
      </c>
      <c r="C20" s="23" t="str">
        <f>IF(OR('Draft 2'!$A20="",'Draft 2'!D20="",'Draft 2'!$C20=""),"",CONCATENATE("R",ROW('Draft 2'!$A20)-1,".",'Draft 2'!D20,'Draft 2'!$C20))</f>
        <v>R19.1C</v>
      </c>
      <c r="D20" s="23" t="str">
        <f>IF(OR('Draft 2'!$A20="",'Draft 2'!E20="",'Draft 2'!$C20=""),"",CONCATENATE("R",ROW('Draft 2'!$A20)-1,".",'Draft 2'!E20,'Draft 2'!$C20))</f>
        <v>R19.2C</v>
      </c>
      <c r="E20" s="23" t="str">
        <f>IF(OR('Draft 2'!$A20="",'Draft 2'!F20="",'Draft 2'!$C20=""),"",CONCATENATE("R",ROW('Draft 2'!$A20)-1,".",'Draft 2'!F20,'Draft 2'!$C20))</f>
        <v>R19.3C</v>
      </c>
      <c r="F20" s="23" t="str">
        <f>IF(OR('Draft 2'!$A20="",'Draft 2'!G20="",'Draft 2'!$C20=""),"",CONCATENATE("R",ROW('Draft 2'!$A20)-1,".",'Draft 2'!G20,'Draft 2'!$C20))</f>
        <v>R19.4C</v>
      </c>
      <c r="G20" s="23" t="str">
        <f>IF(OR('Draft 2'!$A20="",'Draft 2'!H20="",'Draft 2'!$C20=""),"",CONCATENATE("R",ROW('Draft 2'!$A20)-1,".",'Draft 2'!H20,'Draft 2'!$C20))</f>
        <v>R19.5C</v>
      </c>
      <c r="H20" s="23" t="str">
        <f>IF(OR('Draft 2'!$A20="",'Draft 2'!I20="",'Draft 2'!$C20=""),"",CONCATENATE("R",ROW('Draft 2'!$A20)-1,".",'Draft 2'!I20,'Draft 2'!$C20))</f>
        <v/>
      </c>
      <c r="I20" s="23" t="str">
        <f>IF(OR('Draft 2'!$A20="",'Draft 2'!J20="",'Draft 2'!$C20=""),"",CONCATENATE("R",ROW('Draft 2'!$A20)-1,".",'Draft 2'!J20,'Draft 2'!$C20))</f>
        <v/>
      </c>
      <c r="J20" s="23" t="str">
        <f>IF(OR('Draft 2'!$A20="",'Draft 2'!K20="",'Draft 2'!$C20=""),"",CONCATENATE("R",ROW('Draft 2'!$A20)-1,".",'Draft 2'!K20,'Draft 2'!$C20))</f>
        <v/>
      </c>
      <c r="K20" s="23" t="str">
        <f>IF(OR('Draft 2'!$A20="",'Draft 2'!L20="",'Draft 2'!$C20=""),"",CONCATENATE("R",ROW('Draft 2'!$A20)-1,".",'Draft 2'!L20,'Draft 2'!$C20))</f>
        <v/>
      </c>
      <c r="L20" s="23" t="str">
        <f>IF(OR('Draft 2'!$A20="",'Draft 2'!M20="",'Draft 2'!$C20=""),"",CONCATENATE("R",ROW('Draft 2'!$A20)-1,".",'Draft 2'!M20,'Draft 2'!$C20))</f>
        <v/>
      </c>
    </row>
    <row r="21">
      <c r="A21" s="23" t="s">
        <v>253</v>
      </c>
      <c r="B21" s="24" t="s">
        <v>254</v>
      </c>
      <c r="C21" s="23" t="str">
        <f>IF(OR('Draft 2'!$A21="",'Draft 2'!D21="",'Draft 2'!$C21=""),"",CONCATENATE("R",ROW('Draft 2'!$A21)-1,".",'Draft 2'!D21,'Draft 2'!$C21))</f>
        <v>R20.1D</v>
      </c>
      <c r="D21" s="23" t="str">
        <f>IF(OR('Draft 2'!$A21="",'Draft 2'!E21="",'Draft 2'!$C21=""),"",CONCATENATE("R",ROW('Draft 2'!$A21)-1,".",'Draft 2'!E21,'Draft 2'!$C21))</f>
        <v>R20.2D</v>
      </c>
      <c r="E21" s="23" t="str">
        <f>IF(OR('Draft 2'!$A21="",'Draft 2'!F21="",'Draft 2'!$C21=""),"",CONCATENATE("R",ROW('Draft 2'!$A21)-1,".",'Draft 2'!F21,'Draft 2'!$C21))</f>
        <v>R20.3D</v>
      </c>
      <c r="F21" s="23" t="str">
        <f>IF(OR('Draft 2'!$A21="",'Draft 2'!G21="",'Draft 2'!$C21=""),"",CONCATENATE("R",ROW('Draft 2'!$A21)-1,".",'Draft 2'!G21,'Draft 2'!$C21))</f>
        <v/>
      </c>
      <c r="G21" s="23" t="str">
        <f>IF(OR('Draft 2'!$A21="",'Draft 2'!H21="",'Draft 2'!$C21=""),"",CONCATENATE("R",ROW('Draft 2'!$A21)-1,".",'Draft 2'!H21,'Draft 2'!$C21))</f>
        <v/>
      </c>
      <c r="H21" s="23" t="str">
        <f>IF(OR('Draft 2'!$A21="",'Draft 2'!I21="",'Draft 2'!$C21=""),"",CONCATENATE("R",ROW('Draft 2'!$A21)-1,".",'Draft 2'!I21,'Draft 2'!$C21))</f>
        <v/>
      </c>
      <c r="I21" s="23" t="str">
        <f>IF(OR('Draft 2'!$A21="",'Draft 2'!J21="",'Draft 2'!$C21=""),"",CONCATENATE("R",ROW('Draft 2'!$A21)-1,".",'Draft 2'!J21,'Draft 2'!$C21))</f>
        <v/>
      </c>
      <c r="J21" s="23" t="str">
        <f>IF(OR('Draft 2'!$A21="",'Draft 2'!K21="",'Draft 2'!$C21=""),"",CONCATENATE("R",ROW('Draft 2'!$A21)-1,".",'Draft 2'!K21,'Draft 2'!$C21))</f>
        <v/>
      </c>
      <c r="K21" s="23" t="str">
        <f>IF(OR('Draft 2'!$A21="",'Draft 2'!L21="",'Draft 2'!$C21=""),"",CONCATENATE("R",ROW('Draft 2'!$A21)-1,".",'Draft 2'!L21,'Draft 2'!$C21))</f>
        <v/>
      </c>
      <c r="L21" s="23" t="str">
        <f>IF(OR('Draft 2'!$A21="",'Draft 2'!M21="",'Draft 2'!$C21=""),"",CONCATENATE("R",ROW('Draft 2'!$A21)-1,".",'Draft 2'!M21,'Draft 2'!$C21))</f>
        <v/>
      </c>
    </row>
    <row r="22">
      <c r="A22" s="23" t="s">
        <v>255</v>
      </c>
      <c r="B22" s="24" t="s">
        <v>256</v>
      </c>
      <c r="C22" s="23" t="str">
        <f>IF(OR('Draft 2'!$A22="",'Draft 2'!D22="",'Draft 2'!$C22=""),"",CONCATENATE("R",ROW('Draft 2'!$A22)-1,".",'Draft 2'!D22,'Draft 2'!$C22))</f>
        <v>R21.1D</v>
      </c>
      <c r="D22" s="23" t="str">
        <f>IF(OR('Draft 2'!$A22="",'Draft 2'!E22="",'Draft 2'!$C22=""),"",CONCATENATE("R",ROW('Draft 2'!$A22)-1,".",'Draft 2'!E22,'Draft 2'!$C22))</f>
        <v>R21.2D</v>
      </c>
      <c r="E22" s="23" t="str">
        <f>IF(OR('Draft 2'!$A22="",'Draft 2'!F22="",'Draft 2'!$C22=""),"",CONCATENATE("R",ROW('Draft 2'!$A22)-1,".",'Draft 2'!F22,'Draft 2'!$C22))</f>
        <v>R21.3D</v>
      </c>
      <c r="F22" s="23" t="str">
        <f>IF(OR('Draft 2'!$A22="",'Draft 2'!G22="",'Draft 2'!$C22=""),"",CONCATENATE("R",ROW('Draft 2'!$A22)-1,".",'Draft 2'!G22,'Draft 2'!$C22))</f>
        <v/>
      </c>
      <c r="G22" s="23" t="str">
        <f>IF(OR('Draft 2'!$A22="",'Draft 2'!H22="",'Draft 2'!$C22=""),"",CONCATENATE("R",ROW('Draft 2'!$A22)-1,".",'Draft 2'!H22,'Draft 2'!$C22))</f>
        <v/>
      </c>
      <c r="H22" s="23" t="str">
        <f>IF(OR('Draft 2'!$A22="",'Draft 2'!I22="",'Draft 2'!$C22=""),"",CONCATENATE("R",ROW('Draft 2'!$A22)-1,".",'Draft 2'!I22,'Draft 2'!$C22))</f>
        <v/>
      </c>
      <c r="I22" s="23" t="str">
        <f>IF(OR('Draft 2'!$A22="",'Draft 2'!J22="",'Draft 2'!$C22=""),"",CONCATENATE("R",ROW('Draft 2'!$A22)-1,".",'Draft 2'!J22,'Draft 2'!$C22))</f>
        <v/>
      </c>
      <c r="J22" s="23" t="str">
        <f>IF(OR('Draft 2'!$A22="",'Draft 2'!K22="",'Draft 2'!$C22=""),"",CONCATENATE("R",ROW('Draft 2'!$A22)-1,".",'Draft 2'!K22,'Draft 2'!$C22))</f>
        <v/>
      </c>
      <c r="K22" s="23" t="str">
        <f>IF(OR('Draft 2'!$A22="",'Draft 2'!L22="",'Draft 2'!$C22=""),"",CONCATENATE("R",ROW('Draft 2'!$A22)-1,".",'Draft 2'!L22,'Draft 2'!$C22))</f>
        <v/>
      </c>
      <c r="L22" s="23" t="str">
        <f>IF(OR('Draft 2'!$A22="",'Draft 2'!M22="",'Draft 2'!$C22=""),"",CONCATENATE("R",ROW('Draft 2'!$A22)-1,".",'Draft 2'!M22,'Draft 2'!$C22))</f>
        <v/>
      </c>
    </row>
    <row r="23">
      <c r="A23" s="23" t="s">
        <v>257</v>
      </c>
      <c r="B23" s="24" t="s">
        <v>258</v>
      </c>
      <c r="C23" s="23" t="str">
        <f>IF(OR('Draft 2'!$A23="",'Draft 2'!D23="",'Draft 2'!$C23=""),"",CONCATENATE("R",ROW('Draft 2'!$A23)-1,".",'Draft 2'!D23,'Draft 2'!$C23))</f>
        <v>R22.1D</v>
      </c>
      <c r="D23" s="23" t="str">
        <f>IF(OR('Draft 2'!$A23="",'Draft 2'!E23="",'Draft 2'!$C23=""),"",CONCATENATE("R",ROW('Draft 2'!$A23)-1,".",'Draft 2'!E23,'Draft 2'!$C23))</f>
        <v>R22.2D</v>
      </c>
      <c r="E23" s="23" t="str">
        <f>IF(OR('Draft 2'!$A23="",'Draft 2'!F23="",'Draft 2'!$C23=""),"",CONCATENATE("R",ROW('Draft 2'!$A23)-1,".",'Draft 2'!F23,'Draft 2'!$C23))</f>
        <v>R22.3D</v>
      </c>
      <c r="F23" s="23" t="str">
        <f>IF(OR('Draft 2'!$A23="",'Draft 2'!G23="",'Draft 2'!$C23=""),"",CONCATENATE("R",ROW('Draft 2'!$A23)-1,".",'Draft 2'!G23,'Draft 2'!$C23))</f>
        <v>R22.4D</v>
      </c>
      <c r="G23" s="23" t="str">
        <f>IF(OR('Draft 2'!$A23="",'Draft 2'!H23="",'Draft 2'!$C23=""),"",CONCATENATE("R",ROW('Draft 2'!$A23)-1,".",'Draft 2'!H23,'Draft 2'!$C23))</f>
        <v>R22.5D</v>
      </c>
      <c r="H23" s="23" t="str">
        <f>IF(OR('Draft 2'!$A23="",'Draft 2'!I23="",'Draft 2'!$C23=""),"",CONCATENATE("R",ROW('Draft 2'!$A23)-1,".",'Draft 2'!I23,'Draft 2'!$C23))</f>
        <v>R22.6D</v>
      </c>
      <c r="I23" s="23" t="str">
        <f>IF(OR('Draft 2'!$A23="",'Draft 2'!J23="",'Draft 2'!$C23=""),"",CONCATENATE("R",ROW('Draft 2'!$A23)-1,".",'Draft 2'!J23,'Draft 2'!$C23))</f>
        <v>R22.7D</v>
      </c>
      <c r="J23" s="23" t="str">
        <f>IF(OR('Draft 2'!$A23="",'Draft 2'!K23="",'Draft 2'!$C23=""),"",CONCATENATE("R",ROW('Draft 2'!$A23)-1,".",'Draft 2'!K23,'Draft 2'!$C23))</f>
        <v/>
      </c>
      <c r="K23" s="23" t="str">
        <f>IF(OR('Draft 2'!$A23="",'Draft 2'!L23="",'Draft 2'!$C23=""),"",CONCATENATE("R",ROW('Draft 2'!$A23)-1,".",'Draft 2'!L23,'Draft 2'!$C23))</f>
        <v/>
      </c>
      <c r="L23" s="23" t="str">
        <f>IF(OR('Draft 2'!$A23="",'Draft 2'!M23="",'Draft 2'!$C23=""),"",CONCATENATE("R",ROW('Draft 2'!$A23)-1,".",'Draft 2'!M23,'Draft 2'!$C23))</f>
        <v/>
      </c>
    </row>
    <row r="24">
      <c r="A24" s="23" t="s">
        <v>259</v>
      </c>
      <c r="B24" s="24" t="s">
        <v>260</v>
      </c>
      <c r="C24" s="23" t="str">
        <f>IF(OR('Draft 2'!$A24="",'Draft 2'!D24="",'Draft 2'!$C24=""),"",CONCATENATE("R",ROW('Draft 2'!$A24)-1,".",'Draft 2'!D24,'Draft 2'!$C24))</f>
        <v>R23.1D</v>
      </c>
      <c r="D24" s="23" t="str">
        <f>IF(OR('Draft 2'!$A24="",'Draft 2'!E24="",'Draft 2'!$C24=""),"",CONCATENATE("R",ROW('Draft 2'!$A24)-1,".",'Draft 2'!E24,'Draft 2'!$C24))</f>
        <v>R23.2D</v>
      </c>
      <c r="E24" s="23" t="str">
        <f>IF(OR('Draft 2'!$A24="",'Draft 2'!F24="",'Draft 2'!$C24=""),"",CONCATENATE("R",ROW('Draft 2'!$A24)-1,".",'Draft 2'!F24,'Draft 2'!$C24))</f>
        <v>R23.3D</v>
      </c>
      <c r="F24" s="23" t="str">
        <f>IF(OR('Draft 2'!$A24="",'Draft 2'!G24="",'Draft 2'!$C24=""),"",CONCATENATE("R",ROW('Draft 2'!$A24)-1,".",'Draft 2'!G24,'Draft 2'!$C24))</f>
        <v>R23.4D</v>
      </c>
      <c r="G24" s="23" t="str">
        <f>IF(OR('Draft 2'!$A24="",'Draft 2'!H24="",'Draft 2'!$C24=""),"",CONCATENATE("R",ROW('Draft 2'!$A24)-1,".",'Draft 2'!H24,'Draft 2'!$C24))</f>
        <v>R23.5D</v>
      </c>
      <c r="H24" s="23" t="str">
        <f>IF(OR('Draft 2'!$A24="",'Draft 2'!I24="",'Draft 2'!$C24=""),"",CONCATENATE("R",ROW('Draft 2'!$A24)-1,".",'Draft 2'!I24,'Draft 2'!$C24))</f>
        <v/>
      </c>
      <c r="I24" s="23" t="str">
        <f>IF(OR('Draft 2'!$A24="",'Draft 2'!J24="",'Draft 2'!$C24=""),"",CONCATENATE("R",ROW('Draft 2'!$A24)-1,".",'Draft 2'!J24,'Draft 2'!$C24))</f>
        <v/>
      </c>
      <c r="J24" s="23" t="str">
        <f>IF(OR('Draft 2'!$A24="",'Draft 2'!K24="",'Draft 2'!$C24=""),"",CONCATENATE("R",ROW('Draft 2'!$A24)-1,".",'Draft 2'!K24,'Draft 2'!$C24))</f>
        <v/>
      </c>
      <c r="K24" s="23" t="str">
        <f>IF(OR('Draft 2'!$A24="",'Draft 2'!L24="",'Draft 2'!$C24=""),"",CONCATENATE("R",ROW('Draft 2'!$A24)-1,".",'Draft 2'!L24,'Draft 2'!$C24))</f>
        <v/>
      </c>
      <c r="L24" s="23" t="str">
        <f>IF(OR('Draft 2'!$A24="",'Draft 2'!M24="",'Draft 2'!$C24=""),"",CONCATENATE("R",ROW('Draft 2'!$A24)-1,".",'Draft 2'!M24,'Draft 2'!$C24))</f>
        <v/>
      </c>
    </row>
    <row r="25">
      <c r="A25" s="23" t="s">
        <v>261</v>
      </c>
      <c r="B25" s="24" t="s">
        <v>262</v>
      </c>
      <c r="C25" s="23" t="str">
        <f>IF(OR('Draft 2'!$A25="",'Draft 2'!D25="",'Draft 2'!$C25=""),"",CONCATENATE("R",ROW('Draft 2'!$A25)-1,".",'Draft 2'!D25,'Draft 2'!$C25))</f>
        <v>R24.1D</v>
      </c>
      <c r="D25" s="23" t="str">
        <f>IF(OR('Draft 2'!$A25="",'Draft 2'!E25="",'Draft 2'!$C25=""),"",CONCATENATE("R",ROW('Draft 2'!$A25)-1,".",'Draft 2'!E25,'Draft 2'!$C25))</f>
        <v>R24.2D</v>
      </c>
      <c r="E25" s="23" t="str">
        <f>IF(OR('Draft 2'!$A25="",'Draft 2'!F25="",'Draft 2'!$C25=""),"",CONCATENATE("R",ROW('Draft 2'!$A25)-1,".",'Draft 2'!F25,'Draft 2'!$C25))</f>
        <v>R24.3D</v>
      </c>
      <c r="F25" s="23" t="str">
        <f>IF(OR('Draft 2'!$A25="",'Draft 2'!G25="",'Draft 2'!$C25=""),"",CONCATENATE("R",ROW('Draft 2'!$A25)-1,".",'Draft 2'!G25,'Draft 2'!$C25))</f>
        <v>R24.4D</v>
      </c>
      <c r="G25" s="23" t="str">
        <f>IF(OR('Draft 2'!$A25="",'Draft 2'!H25="",'Draft 2'!$C25=""),"",CONCATENATE("R",ROW('Draft 2'!$A25)-1,".",'Draft 2'!H25,'Draft 2'!$C25))</f>
        <v>R24.5D</v>
      </c>
      <c r="H25" s="23" t="str">
        <f>IF(OR('Draft 2'!$A25="",'Draft 2'!I25="",'Draft 2'!$C25=""),"",CONCATENATE("R",ROW('Draft 2'!$A25)-1,".",'Draft 2'!I25,'Draft 2'!$C25))</f>
        <v/>
      </c>
      <c r="I25" s="23" t="str">
        <f>IF(OR('Draft 2'!$A25="",'Draft 2'!J25="",'Draft 2'!$C25=""),"",CONCATENATE("R",ROW('Draft 2'!$A25)-1,".",'Draft 2'!J25,'Draft 2'!$C25))</f>
        <v/>
      </c>
      <c r="J25" s="23" t="str">
        <f>IF(OR('Draft 2'!$A25="",'Draft 2'!K25="",'Draft 2'!$C25=""),"",CONCATENATE("R",ROW('Draft 2'!$A25)-1,".",'Draft 2'!K25,'Draft 2'!$C25))</f>
        <v/>
      </c>
      <c r="K25" s="23" t="str">
        <f>IF(OR('Draft 2'!$A25="",'Draft 2'!L25="",'Draft 2'!$C25=""),"",CONCATENATE("R",ROW('Draft 2'!$A25)-1,".",'Draft 2'!L25,'Draft 2'!$C25))</f>
        <v/>
      </c>
      <c r="L25" s="23" t="str">
        <f>IF(OR('Draft 2'!$A25="",'Draft 2'!M25="",'Draft 2'!$C25=""),"",CONCATENATE("R",ROW('Draft 2'!$A25)-1,".",'Draft 2'!M25,'Draft 2'!$C25))</f>
        <v/>
      </c>
    </row>
    <row r="26">
      <c r="A26" s="23" t="s">
        <v>263</v>
      </c>
      <c r="B26" s="24" t="s">
        <v>264</v>
      </c>
      <c r="C26" s="23" t="str">
        <f>IF(OR('Draft 2'!$A26="",'Draft 2'!D26="",'Draft 2'!$C26=""),"",CONCATENATE("R",ROW('Draft 2'!$A26)-1,".",'Draft 2'!D26,'Draft 2'!$C26))</f>
        <v>R25.1D</v>
      </c>
      <c r="D26" s="23" t="str">
        <f>IF(OR('Draft 2'!$A26="",'Draft 2'!E26="",'Draft 2'!$C26=""),"",CONCATENATE("R",ROW('Draft 2'!$A26)-1,".",'Draft 2'!E26,'Draft 2'!$C26))</f>
        <v>R25.2D</v>
      </c>
      <c r="E26" s="23" t="str">
        <f>IF(OR('Draft 2'!$A26="",'Draft 2'!F26="",'Draft 2'!$C26=""),"",CONCATENATE("R",ROW('Draft 2'!$A26)-1,".",'Draft 2'!F26,'Draft 2'!$C26))</f>
        <v>R25.3D</v>
      </c>
      <c r="F26" s="23" t="str">
        <f>IF(OR('Draft 2'!$A26="",'Draft 2'!G26="",'Draft 2'!$C26=""),"",CONCATENATE("R",ROW('Draft 2'!$A26)-1,".",'Draft 2'!G26,'Draft 2'!$C26))</f>
        <v>R25.4D</v>
      </c>
      <c r="G26" s="23" t="str">
        <f>IF(OR('Draft 2'!$A26="",'Draft 2'!H26="",'Draft 2'!$C26=""),"",CONCATENATE("R",ROW('Draft 2'!$A26)-1,".",'Draft 2'!H26,'Draft 2'!$C26))</f>
        <v>R25.5D</v>
      </c>
      <c r="H26" s="23" t="str">
        <f>IF(OR('Draft 2'!$A26="",'Draft 2'!I26="",'Draft 2'!$C26=""),"",CONCATENATE("R",ROW('Draft 2'!$A26)-1,".",'Draft 2'!I26,'Draft 2'!$C26))</f>
        <v/>
      </c>
      <c r="I26" s="23" t="str">
        <f>IF(OR('Draft 2'!$A26="",'Draft 2'!J26="",'Draft 2'!$C26=""),"",CONCATENATE("R",ROW('Draft 2'!$A26)-1,".",'Draft 2'!J26,'Draft 2'!$C26))</f>
        <v/>
      </c>
      <c r="J26" s="23" t="str">
        <f>IF(OR('Draft 2'!$A26="",'Draft 2'!K26="",'Draft 2'!$C26=""),"",CONCATENATE("R",ROW('Draft 2'!$A26)-1,".",'Draft 2'!K26,'Draft 2'!$C26))</f>
        <v/>
      </c>
      <c r="K26" s="23" t="str">
        <f>IF(OR('Draft 2'!$A26="",'Draft 2'!L26="",'Draft 2'!$C26=""),"",CONCATENATE("R",ROW('Draft 2'!$A26)-1,".",'Draft 2'!L26,'Draft 2'!$C26))</f>
        <v/>
      </c>
      <c r="L26" s="23" t="str">
        <f>IF(OR('Draft 2'!$A26="",'Draft 2'!M26="",'Draft 2'!$C26=""),"",CONCATENATE("R",ROW('Draft 2'!$A26)-1,".",'Draft 2'!M26,'Draft 2'!$C26))</f>
        <v/>
      </c>
    </row>
    <row r="27">
      <c r="A27" s="23" t="s">
        <v>265</v>
      </c>
      <c r="B27" s="24" t="s">
        <v>266</v>
      </c>
      <c r="C27" s="23" t="str">
        <f>IF(OR('Draft 2'!$A27="",'Draft 2'!D27="",'Draft 2'!$C27=""),"",CONCATENATE("R",ROW('Draft 2'!$A27)-1,".",'Draft 2'!D27,'Draft 2'!$C27))</f>
        <v>R26.1D</v>
      </c>
      <c r="D27" s="23" t="str">
        <f>IF(OR('Draft 2'!$A27="",'Draft 2'!E27="",'Draft 2'!$C27=""),"",CONCATENATE("R",ROW('Draft 2'!$A27)-1,".",'Draft 2'!E27,'Draft 2'!$C27))</f>
        <v>R26.2D</v>
      </c>
      <c r="E27" s="23" t="str">
        <f>IF(OR('Draft 2'!$A27="",'Draft 2'!F27="",'Draft 2'!$C27=""),"",CONCATENATE("R",ROW('Draft 2'!$A27)-1,".",'Draft 2'!F27,'Draft 2'!$C27))</f>
        <v>R26.3D</v>
      </c>
      <c r="F27" s="23" t="str">
        <f>IF(OR('Draft 2'!$A27="",'Draft 2'!G27="",'Draft 2'!$C27=""),"",CONCATENATE("R",ROW('Draft 2'!$A27)-1,".",'Draft 2'!G27,'Draft 2'!$C27))</f>
        <v>R26.4D</v>
      </c>
      <c r="G27" s="23" t="str">
        <f>IF(OR('Draft 2'!$A27="",'Draft 2'!H27="",'Draft 2'!$C27=""),"",CONCATENATE("R",ROW('Draft 2'!$A27)-1,".",'Draft 2'!H27,'Draft 2'!$C27))</f>
        <v>R26.5D</v>
      </c>
      <c r="H27" s="23" t="str">
        <f>IF(OR('Draft 2'!$A27="",'Draft 2'!I27="",'Draft 2'!$C27=""),"",CONCATENATE("R",ROW('Draft 2'!$A27)-1,".",'Draft 2'!I27,'Draft 2'!$C27))</f>
        <v/>
      </c>
      <c r="I27" s="23" t="str">
        <f>IF(OR('Draft 2'!$A27="",'Draft 2'!J27="",'Draft 2'!$C27=""),"",CONCATENATE("R",ROW('Draft 2'!$A27)-1,".",'Draft 2'!J27,'Draft 2'!$C27))</f>
        <v/>
      </c>
      <c r="J27" s="23" t="str">
        <f>IF(OR('Draft 2'!$A27="",'Draft 2'!K27="",'Draft 2'!$C27=""),"",CONCATENATE("R",ROW('Draft 2'!$A27)-1,".",'Draft 2'!K27,'Draft 2'!$C27))</f>
        <v/>
      </c>
      <c r="K27" s="23" t="str">
        <f>IF(OR('Draft 2'!$A27="",'Draft 2'!L27="",'Draft 2'!$C27=""),"",CONCATENATE("R",ROW('Draft 2'!$A27)-1,".",'Draft 2'!L27,'Draft 2'!$C27))</f>
        <v/>
      </c>
      <c r="L27" s="23" t="str">
        <f>IF(OR('Draft 2'!$A27="",'Draft 2'!M27="",'Draft 2'!$C27=""),"",CONCATENATE("R",ROW('Draft 2'!$A27)-1,".",'Draft 2'!M27,'Draft 2'!$C27))</f>
        <v/>
      </c>
    </row>
    <row r="28">
      <c r="A28" s="23" t="s">
        <v>267</v>
      </c>
      <c r="B28" s="24" t="s">
        <v>268</v>
      </c>
      <c r="C28" s="23" t="str">
        <f>IF(OR('Draft 2'!$A28="",'Draft 2'!D28="",'Draft 2'!$C28=""),"",CONCATENATE("R",ROW('Draft 2'!$A28)-1,".",'Draft 2'!D28,'Draft 2'!$C28))</f>
        <v>R27.1D</v>
      </c>
      <c r="D28" s="23" t="str">
        <f>IF(OR('Draft 2'!$A28="",'Draft 2'!E28="",'Draft 2'!$C28=""),"",CONCATENATE("R",ROW('Draft 2'!$A28)-1,".",'Draft 2'!E28,'Draft 2'!$C28))</f>
        <v>R27.2D</v>
      </c>
      <c r="E28" s="23" t="str">
        <f>IF(OR('Draft 2'!$A28="",'Draft 2'!F28="",'Draft 2'!$C28=""),"",CONCATENATE("R",ROW('Draft 2'!$A28)-1,".",'Draft 2'!F28,'Draft 2'!$C28))</f>
        <v>R27.3D</v>
      </c>
      <c r="F28" s="23" t="str">
        <f>IF(OR('Draft 2'!$A28="",'Draft 2'!G28="",'Draft 2'!$C28=""),"",CONCATENATE("R",ROW('Draft 2'!$A28)-1,".",'Draft 2'!G28,'Draft 2'!$C28))</f>
        <v>R27.4D</v>
      </c>
      <c r="G28" s="23" t="str">
        <f>IF(OR('Draft 2'!$A28="",'Draft 2'!H28="",'Draft 2'!$C28=""),"",CONCATENATE("R",ROW('Draft 2'!$A28)-1,".",'Draft 2'!H28,'Draft 2'!$C28))</f>
        <v/>
      </c>
      <c r="H28" s="23" t="str">
        <f>IF(OR('Draft 2'!$A28="",'Draft 2'!I28="",'Draft 2'!$C28=""),"",CONCATENATE("R",ROW('Draft 2'!$A28)-1,".",'Draft 2'!I28,'Draft 2'!$C28))</f>
        <v/>
      </c>
      <c r="I28" s="23" t="str">
        <f>IF(OR('Draft 2'!$A28="",'Draft 2'!J28="",'Draft 2'!$C28=""),"",CONCATENATE("R",ROW('Draft 2'!$A28)-1,".",'Draft 2'!J28,'Draft 2'!$C28))</f>
        <v/>
      </c>
      <c r="J28" s="23" t="str">
        <f>IF(OR('Draft 2'!$A28="",'Draft 2'!K28="",'Draft 2'!$C28=""),"",CONCATENATE("R",ROW('Draft 2'!$A28)-1,".",'Draft 2'!K28,'Draft 2'!$C28))</f>
        <v/>
      </c>
      <c r="K28" s="23" t="str">
        <f>IF(OR('Draft 2'!$A28="",'Draft 2'!L28="",'Draft 2'!$C28=""),"",CONCATENATE("R",ROW('Draft 2'!$A28)-1,".",'Draft 2'!L28,'Draft 2'!$C28))</f>
        <v/>
      </c>
      <c r="L28" s="23" t="str">
        <f>IF(OR('Draft 2'!$A28="",'Draft 2'!M28="",'Draft 2'!$C28=""),"",CONCATENATE("R",ROW('Draft 2'!$A28)-1,".",'Draft 2'!M28,'Draft 2'!$C28))</f>
        <v/>
      </c>
    </row>
    <row r="29">
      <c r="A29" s="23" t="s">
        <v>269</v>
      </c>
      <c r="B29" s="24" t="s">
        <v>270</v>
      </c>
      <c r="C29" s="23" t="str">
        <f>IF(OR('Draft 2'!$A29="",'Draft 2'!D29="",'Draft 2'!$C29=""),"",CONCATENATE("R",ROW('Draft 2'!$A29)-1,".",'Draft 2'!D29,'Draft 2'!$C29))</f>
        <v>R28.1E</v>
      </c>
      <c r="D29" s="23" t="str">
        <f>IF(OR('Draft 2'!$A29="",'Draft 2'!E29="",'Draft 2'!$C29=""),"",CONCATENATE("R",ROW('Draft 2'!$A29)-1,".",'Draft 2'!E29,'Draft 2'!$C29))</f>
        <v>R28.2E</v>
      </c>
      <c r="E29" s="23" t="str">
        <f>IF(OR('Draft 2'!$A29="",'Draft 2'!F29="",'Draft 2'!$C29=""),"",CONCATENATE("R",ROW('Draft 2'!$A29)-1,".",'Draft 2'!F29,'Draft 2'!$C29))</f>
        <v>R28.3E</v>
      </c>
      <c r="F29" s="23" t="str">
        <f>IF(OR('Draft 2'!$A29="",'Draft 2'!G29="",'Draft 2'!$C29=""),"",CONCATENATE("R",ROW('Draft 2'!$A29)-1,".",'Draft 2'!G29,'Draft 2'!$C29))</f>
        <v/>
      </c>
      <c r="G29" s="23" t="str">
        <f>IF(OR('Draft 2'!$A29="",'Draft 2'!H29="",'Draft 2'!$C29=""),"",CONCATENATE("R",ROW('Draft 2'!$A29)-1,".",'Draft 2'!H29,'Draft 2'!$C29))</f>
        <v/>
      </c>
      <c r="H29" s="23" t="str">
        <f>IF(OR('Draft 2'!$A29="",'Draft 2'!I29="",'Draft 2'!$C29=""),"",CONCATENATE("R",ROW('Draft 2'!$A29)-1,".",'Draft 2'!I29,'Draft 2'!$C29))</f>
        <v/>
      </c>
      <c r="I29" s="23" t="str">
        <f>IF(OR('Draft 2'!$A29="",'Draft 2'!J29="",'Draft 2'!$C29=""),"",CONCATENATE("R",ROW('Draft 2'!$A29)-1,".",'Draft 2'!J29,'Draft 2'!$C29))</f>
        <v/>
      </c>
      <c r="J29" s="23" t="str">
        <f>IF(OR('Draft 2'!$A29="",'Draft 2'!K29="",'Draft 2'!$C29=""),"",CONCATENATE("R",ROW('Draft 2'!$A29)-1,".",'Draft 2'!K29,'Draft 2'!$C29))</f>
        <v/>
      </c>
      <c r="K29" s="23" t="str">
        <f>IF(OR('Draft 2'!$A29="",'Draft 2'!L29="",'Draft 2'!$C29=""),"",CONCATENATE("R",ROW('Draft 2'!$A29)-1,".",'Draft 2'!L29,'Draft 2'!$C29))</f>
        <v/>
      </c>
      <c r="L29" s="23" t="str">
        <f>IF(OR('Draft 2'!$A29="",'Draft 2'!M29="",'Draft 2'!$C29=""),"",CONCATENATE("R",ROW('Draft 2'!$A29)-1,".",'Draft 2'!M29,'Draft 2'!$C29))</f>
        <v/>
      </c>
    </row>
    <row r="30">
      <c r="A30" s="23" t="s">
        <v>271</v>
      </c>
      <c r="B30" s="24" t="s">
        <v>272</v>
      </c>
      <c r="C30" s="23" t="str">
        <f>IF(OR('Draft 2'!$A30="",'Draft 2'!D30="",'Draft 2'!$C30=""),"",CONCATENATE("R",ROW('Draft 2'!$A30)-1,".",'Draft 2'!D30,'Draft 2'!$C30))</f>
        <v>R29.1D</v>
      </c>
      <c r="D30" s="23" t="str">
        <f>IF(OR('Draft 2'!$A30="",'Draft 2'!E30="",'Draft 2'!$C30=""),"",CONCATENATE("R",ROW('Draft 2'!$A30)-1,".",'Draft 2'!E30,'Draft 2'!$C30))</f>
        <v>R29.2D</v>
      </c>
      <c r="E30" s="23" t="str">
        <f>IF(OR('Draft 2'!$A30="",'Draft 2'!F30="",'Draft 2'!$C30=""),"",CONCATENATE("R",ROW('Draft 2'!$A30)-1,".",'Draft 2'!F30,'Draft 2'!$C30))</f>
        <v>R29.3D</v>
      </c>
      <c r="F30" s="23" t="str">
        <f>IF(OR('Draft 2'!$A30="",'Draft 2'!G30="",'Draft 2'!$C30=""),"",CONCATENATE("R",ROW('Draft 2'!$A30)-1,".",'Draft 2'!G30,'Draft 2'!$C30))</f>
        <v/>
      </c>
      <c r="G30" s="23" t="str">
        <f>IF(OR('Draft 2'!$A30="",'Draft 2'!H30="",'Draft 2'!$C30=""),"",CONCATENATE("R",ROW('Draft 2'!$A30)-1,".",'Draft 2'!H30,'Draft 2'!$C30))</f>
        <v/>
      </c>
      <c r="H30" s="23" t="str">
        <f>IF(OR('Draft 2'!$A30="",'Draft 2'!I30="",'Draft 2'!$C30=""),"",CONCATENATE("R",ROW('Draft 2'!$A30)-1,".",'Draft 2'!I30,'Draft 2'!$C30))</f>
        <v/>
      </c>
      <c r="I30" s="23" t="str">
        <f>IF(OR('Draft 2'!$A30="",'Draft 2'!J30="",'Draft 2'!$C30=""),"",CONCATENATE("R",ROW('Draft 2'!$A30)-1,".",'Draft 2'!J30,'Draft 2'!$C30))</f>
        <v/>
      </c>
      <c r="J30" s="23" t="str">
        <f>IF(OR('Draft 2'!$A30="",'Draft 2'!K30="",'Draft 2'!$C30=""),"",CONCATENATE("R",ROW('Draft 2'!$A30)-1,".",'Draft 2'!K30,'Draft 2'!$C30))</f>
        <v/>
      </c>
      <c r="K30" s="23" t="str">
        <f>IF(OR('Draft 2'!$A30="",'Draft 2'!L30="",'Draft 2'!$C30=""),"",CONCATENATE("R",ROW('Draft 2'!$A30)-1,".",'Draft 2'!L30,'Draft 2'!$C30))</f>
        <v/>
      </c>
      <c r="L30" s="23" t="str">
        <f>IF(OR('Draft 2'!$A30="",'Draft 2'!M30="",'Draft 2'!$C30=""),"",CONCATENATE("R",ROW('Draft 2'!$A30)-1,".",'Draft 2'!M30,'Draft 2'!$C30))</f>
        <v/>
      </c>
    </row>
    <row r="31">
      <c r="A31" s="23" t="s">
        <v>273</v>
      </c>
      <c r="B31" s="24" t="s">
        <v>274</v>
      </c>
      <c r="C31" s="23" t="str">
        <f>IF(OR('Draft 2'!$A31="",'Draft 2'!D31="",'Draft 2'!$C31=""),"",CONCATENATE("R",ROW('Draft 2'!$A31)-1,".",'Draft 2'!D31,'Draft 2'!$C31))</f>
        <v>R30.1D</v>
      </c>
      <c r="D31" s="23" t="str">
        <f>IF(OR('Draft 2'!$A31="",'Draft 2'!E31="",'Draft 2'!$C31=""),"",CONCATENATE("R",ROW('Draft 2'!$A31)-1,".",'Draft 2'!E31,'Draft 2'!$C31))</f>
        <v>R30.2D</v>
      </c>
      <c r="E31" s="23" t="str">
        <f>IF(OR('Draft 2'!$A31="",'Draft 2'!F31="",'Draft 2'!$C31=""),"",CONCATENATE("R",ROW('Draft 2'!$A31)-1,".",'Draft 2'!F31,'Draft 2'!$C31))</f>
        <v>R30.3D</v>
      </c>
      <c r="F31" s="23" t="str">
        <f>IF(OR('Draft 2'!$A31="",'Draft 2'!G31="",'Draft 2'!$C31=""),"",CONCATENATE("R",ROW('Draft 2'!$A31)-1,".",'Draft 2'!G31,'Draft 2'!$C31))</f>
        <v>R30.4D</v>
      </c>
      <c r="G31" s="23" t="str">
        <f>IF(OR('Draft 2'!$A31="",'Draft 2'!H31="",'Draft 2'!$C31=""),"",CONCATENATE("R",ROW('Draft 2'!$A31)-1,".",'Draft 2'!H31,'Draft 2'!$C31))</f>
        <v>R30.5D</v>
      </c>
      <c r="H31" s="23" t="str">
        <f>IF(OR('Draft 2'!$A31="",'Draft 2'!I31="",'Draft 2'!$C31=""),"",CONCATENATE("R",ROW('Draft 2'!$A31)-1,".",'Draft 2'!I31,'Draft 2'!$C31))</f>
        <v>R30.6D</v>
      </c>
      <c r="I31" s="23" t="str">
        <f>IF(OR('Draft 2'!$A31="",'Draft 2'!J31="",'Draft 2'!$C31=""),"",CONCATENATE("R",ROW('Draft 2'!$A31)-1,".",'Draft 2'!J31,'Draft 2'!$C31))</f>
        <v>R30.7D</v>
      </c>
      <c r="J31" s="23" t="str">
        <f>IF(OR('Draft 2'!$A31="",'Draft 2'!K31="",'Draft 2'!$C31=""),"",CONCATENATE("R",ROW('Draft 2'!$A31)-1,".",'Draft 2'!K31,'Draft 2'!$C31))</f>
        <v/>
      </c>
      <c r="K31" s="23" t="str">
        <f>IF(OR('Draft 2'!$A31="",'Draft 2'!L31="",'Draft 2'!$C31=""),"",CONCATENATE("R",ROW('Draft 2'!$A31)-1,".",'Draft 2'!L31,'Draft 2'!$C31))</f>
        <v/>
      </c>
      <c r="L31" s="23" t="str">
        <f>IF(OR('Draft 2'!$A31="",'Draft 2'!M31="",'Draft 2'!$C31=""),"",CONCATENATE("R",ROW('Draft 2'!$A31)-1,".",'Draft 2'!M31,'Draft 2'!$C31))</f>
        <v/>
      </c>
    </row>
    <row r="32">
      <c r="A32" s="23" t="s">
        <v>275</v>
      </c>
      <c r="B32" s="24" t="s">
        <v>276</v>
      </c>
      <c r="C32" s="23" t="str">
        <f>IF(OR('Draft 2'!$A32="",'Draft 2'!D32="",'Draft 2'!$C32=""),"",CONCATENATE("R",ROW('Draft 2'!$A32)-1,".",'Draft 2'!D32,'Draft 2'!$C32))</f>
        <v>R31.1D</v>
      </c>
      <c r="D32" s="23" t="str">
        <f>IF(OR('Draft 2'!$A32="",'Draft 2'!E32="",'Draft 2'!$C32=""),"",CONCATENATE("R",ROW('Draft 2'!$A32)-1,".",'Draft 2'!E32,'Draft 2'!$C32))</f>
        <v>R31.2D</v>
      </c>
      <c r="E32" s="23" t="str">
        <f>IF(OR('Draft 2'!$A32="",'Draft 2'!F32="",'Draft 2'!$C32=""),"",CONCATENATE("R",ROW('Draft 2'!$A32)-1,".",'Draft 2'!F32,'Draft 2'!$C32))</f>
        <v>R31.3D</v>
      </c>
      <c r="F32" s="23" t="str">
        <f>IF(OR('Draft 2'!$A32="",'Draft 2'!G32="",'Draft 2'!$C32=""),"",CONCATENATE("R",ROW('Draft 2'!$A32)-1,".",'Draft 2'!G32,'Draft 2'!$C32))</f>
        <v>R31.4D</v>
      </c>
      <c r="G32" s="23" t="str">
        <f>IF(OR('Draft 2'!$A32="",'Draft 2'!H32="",'Draft 2'!$C32=""),"",CONCATENATE("R",ROW('Draft 2'!$A32)-1,".",'Draft 2'!H32,'Draft 2'!$C32))</f>
        <v>R31.5D</v>
      </c>
      <c r="H32" s="23" t="str">
        <f>IF(OR('Draft 2'!$A32="",'Draft 2'!I32="",'Draft 2'!$C32=""),"",CONCATENATE("R",ROW('Draft 2'!$A32)-1,".",'Draft 2'!I32,'Draft 2'!$C32))</f>
        <v>R31.6D</v>
      </c>
      <c r="I32" s="23" t="str">
        <f>IF(OR('Draft 2'!$A32="",'Draft 2'!J32="",'Draft 2'!$C32=""),"",CONCATENATE("R",ROW('Draft 2'!$A32)-1,".",'Draft 2'!J32,'Draft 2'!$C32))</f>
        <v>R31.7D</v>
      </c>
      <c r="J32" s="23" t="str">
        <f>IF(OR('Draft 2'!$A32="",'Draft 2'!K32="",'Draft 2'!$C32=""),"",CONCATENATE("R",ROW('Draft 2'!$A32)-1,".",'Draft 2'!K32,'Draft 2'!$C32))</f>
        <v>R31.8D</v>
      </c>
      <c r="K32" s="23" t="str">
        <f>IF(OR('Draft 2'!$A32="",'Draft 2'!L32="",'Draft 2'!$C32=""),"",CONCATENATE("R",ROW('Draft 2'!$A32)-1,".",'Draft 2'!L32,'Draft 2'!$C32))</f>
        <v>R31.9D</v>
      </c>
      <c r="L32" s="23" t="str">
        <f>IF(OR('Draft 2'!$A32="",'Draft 2'!M32="",'Draft 2'!$C32=""),"",CONCATENATE("R",ROW('Draft 2'!$A32)-1,".",'Draft 2'!M32,'Draft 2'!$C32))</f>
        <v/>
      </c>
    </row>
    <row r="33">
      <c r="A33" s="23" t="s">
        <v>277</v>
      </c>
      <c r="B33" s="24" t="s">
        <v>278</v>
      </c>
      <c r="C33" s="23" t="str">
        <f>IF(OR('Draft 2'!$A33="",'Draft 2'!D33="",'Draft 2'!$C33=""),"",CONCATENATE("R",ROW('Draft 2'!$A33)-1,".",'Draft 2'!D33,'Draft 2'!$C33))</f>
        <v>R32.1D</v>
      </c>
      <c r="D33" s="23" t="str">
        <f>IF(OR('Draft 2'!$A33="",'Draft 2'!E33="",'Draft 2'!$C33=""),"",CONCATENATE("R",ROW('Draft 2'!$A33)-1,".",'Draft 2'!E33,'Draft 2'!$C33))</f>
        <v>R32.2D</v>
      </c>
      <c r="E33" s="23" t="str">
        <f>IF(OR('Draft 2'!$A33="",'Draft 2'!F33="",'Draft 2'!$C33=""),"",CONCATENATE("R",ROW('Draft 2'!$A33)-1,".",'Draft 2'!F33,'Draft 2'!$C33))</f>
        <v>R32.3D</v>
      </c>
      <c r="F33" s="23" t="str">
        <f>IF(OR('Draft 2'!$A33="",'Draft 2'!G33="",'Draft 2'!$C33=""),"",CONCATENATE("R",ROW('Draft 2'!$A33)-1,".",'Draft 2'!G33,'Draft 2'!$C33))</f>
        <v/>
      </c>
      <c r="G33" s="23" t="str">
        <f>IF(OR('Draft 2'!$A33="",'Draft 2'!H33="",'Draft 2'!$C33=""),"",CONCATENATE("R",ROW('Draft 2'!$A33)-1,".",'Draft 2'!H33,'Draft 2'!$C33))</f>
        <v/>
      </c>
      <c r="H33" s="23" t="str">
        <f>IF(OR('Draft 2'!$A33="",'Draft 2'!I33="",'Draft 2'!$C33=""),"",CONCATENATE("R",ROW('Draft 2'!$A33)-1,".",'Draft 2'!I33,'Draft 2'!$C33))</f>
        <v/>
      </c>
      <c r="I33" s="23" t="str">
        <f>IF(OR('Draft 2'!$A33="",'Draft 2'!J33="",'Draft 2'!$C33=""),"",CONCATENATE("R",ROW('Draft 2'!$A33)-1,".",'Draft 2'!J33,'Draft 2'!$C33))</f>
        <v/>
      </c>
      <c r="J33" s="23" t="str">
        <f>IF(OR('Draft 2'!$A33="",'Draft 2'!K33="",'Draft 2'!$C33=""),"",CONCATENATE("R",ROW('Draft 2'!$A33)-1,".",'Draft 2'!K33,'Draft 2'!$C33))</f>
        <v/>
      </c>
      <c r="K33" s="23" t="str">
        <f>IF(OR('Draft 2'!$A33="",'Draft 2'!L33="",'Draft 2'!$C33=""),"",CONCATENATE("R",ROW('Draft 2'!$A33)-1,".",'Draft 2'!L33,'Draft 2'!$C33))</f>
        <v/>
      </c>
      <c r="L33" s="23" t="str">
        <f>IF(OR('Draft 2'!$A33="",'Draft 2'!M33="",'Draft 2'!$C33=""),"",CONCATENATE("R",ROW('Draft 2'!$A33)-1,".",'Draft 2'!M33,'Draft 2'!$C33))</f>
        <v/>
      </c>
    </row>
  </sheetData>
  <mergeCells count="1">
    <mergeCell ref="C1:L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32.75"/>
    <col customWidth="1" min="3" max="12" width="9.5"/>
  </cols>
  <sheetData>
    <row r="1">
      <c r="A1" s="19" t="s">
        <v>206</v>
      </c>
      <c r="B1" s="20" t="s">
        <v>207</v>
      </c>
      <c r="C1" s="22" t="s">
        <v>209</v>
      </c>
    </row>
    <row r="2">
      <c r="A2" s="23" t="s">
        <v>210</v>
      </c>
      <c r="B2" s="24" t="s">
        <v>211</v>
      </c>
      <c r="C2" s="23" t="s">
        <v>279</v>
      </c>
      <c r="D2" s="23" t="s">
        <v>280</v>
      </c>
      <c r="E2" s="23" t="s">
        <v>281</v>
      </c>
      <c r="F2" s="23" t="s">
        <v>282</v>
      </c>
      <c r="G2" s="23" t="s">
        <v>283</v>
      </c>
      <c r="H2" s="23" t="s">
        <v>284</v>
      </c>
      <c r="I2" s="23" t="s">
        <v>284</v>
      </c>
      <c r="J2" s="23" t="s">
        <v>284</v>
      </c>
      <c r="K2" s="23" t="s">
        <v>284</v>
      </c>
      <c r="L2" s="23" t="s">
        <v>284</v>
      </c>
    </row>
    <row r="3">
      <c r="A3" s="23" t="s">
        <v>213</v>
      </c>
      <c r="B3" s="24" t="s">
        <v>214</v>
      </c>
      <c r="C3" s="23" t="s">
        <v>285</v>
      </c>
      <c r="D3" s="23" t="s">
        <v>286</v>
      </c>
      <c r="E3" s="23" t="s">
        <v>287</v>
      </c>
      <c r="F3" s="23" t="s">
        <v>288</v>
      </c>
      <c r="G3" s="23" t="s">
        <v>289</v>
      </c>
      <c r="H3" s="23" t="s">
        <v>284</v>
      </c>
      <c r="I3" s="23" t="s">
        <v>284</v>
      </c>
      <c r="J3" s="23" t="s">
        <v>284</v>
      </c>
      <c r="K3" s="23" t="s">
        <v>284</v>
      </c>
      <c r="L3" s="23" t="s">
        <v>284</v>
      </c>
    </row>
    <row r="4">
      <c r="A4" s="23" t="s">
        <v>216</v>
      </c>
      <c r="B4" s="24" t="s">
        <v>217</v>
      </c>
      <c r="C4" s="23" t="s">
        <v>290</v>
      </c>
      <c r="D4" s="23" t="s">
        <v>291</v>
      </c>
      <c r="E4" s="23" t="s">
        <v>292</v>
      </c>
      <c r="F4" s="23" t="s">
        <v>293</v>
      </c>
      <c r="G4" s="23" t="s">
        <v>294</v>
      </c>
      <c r="H4" s="23" t="s">
        <v>284</v>
      </c>
      <c r="I4" s="23" t="s">
        <v>284</v>
      </c>
      <c r="J4" s="23" t="s">
        <v>284</v>
      </c>
      <c r="K4" s="23" t="s">
        <v>284</v>
      </c>
      <c r="L4" s="23" t="s">
        <v>284</v>
      </c>
    </row>
    <row r="5">
      <c r="A5" s="23" t="s">
        <v>219</v>
      </c>
      <c r="B5" s="24" t="s">
        <v>220</v>
      </c>
      <c r="C5" s="23" t="s">
        <v>295</v>
      </c>
      <c r="D5" s="23" t="s">
        <v>296</v>
      </c>
      <c r="E5" s="23" t="s">
        <v>297</v>
      </c>
      <c r="F5" s="23" t="s">
        <v>298</v>
      </c>
      <c r="G5" s="23" t="s">
        <v>299</v>
      </c>
      <c r="H5" s="23" t="s">
        <v>284</v>
      </c>
      <c r="I5" s="23" t="s">
        <v>284</v>
      </c>
      <c r="J5" s="23" t="s">
        <v>284</v>
      </c>
      <c r="K5" s="23" t="s">
        <v>284</v>
      </c>
      <c r="L5" s="23" t="s">
        <v>284</v>
      </c>
    </row>
    <row r="6">
      <c r="A6" s="23" t="s">
        <v>222</v>
      </c>
      <c r="B6" s="24" t="s">
        <v>223</v>
      </c>
      <c r="C6" s="23" t="s">
        <v>300</v>
      </c>
      <c r="D6" s="23" t="s">
        <v>301</v>
      </c>
      <c r="E6" s="23" t="s">
        <v>302</v>
      </c>
      <c r="F6" s="23" t="s">
        <v>303</v>
      </c>
      <c r="G6" s="23" t="s">
        <v>304</v>
      </c>
      <c r="H6" s="23" t="s">
        <v>284</v>
      </c>
      <c r="I6" s="23" t="s">
        <v>284</v>
      </c>
      <c r="J6" s="23" t="s">
        <v>284</v>
      </c>
      <c r="K6" s="23" t="s">
        <v>284</v>
      </c>
      <c r="L6" s="23" t="s">
        <v>284</v>
      </c>
    </row>
    <row r="7">
      <c r="A7" s="23" t="s">
        <v>224</v>
      </c>
      <c r="B7" s="24" t="s">
        <v>225</v>
      </c>
      <c r="C7" s="23" t="s">
        <v>305</v>
      </c>
      <c r="D7" s="23" t="s">
        <v>306</v>
      </c>
      <c r="E7" s="23" t="s">
        <v>307</v>
      </c>
      <c r="F7" s="23" t="s">
        <v>308</v>
      </c>
      <c r="G7" s="23" t="s">
        <v>309</v>
      </c>
      <c r="H7" s="23" t="s">
        <v>284</v>
      </c>
      <c r="I7" s="23" t="s">
        <v>284</v>
      </c>
      <c r="J7" s="23" t="s">
        <v>284</v>
      </c>
      <c r="K7" s="23" t="s">
        <v>284</v>
      </c>
      <c r="L7" s="23" t="s">
        <v>284</v>
      </c>
    </row>
    <row r="8">
      <c r="A8" s="23" t="s">
        <v>226</v>
      </c>
      <c r="B8" s="24" t="s">
        <v>227</v>
      </c>
      <c r="C8" s="23" t="s">
        <v>310</v>
      </c>
      <c r="D8" s="23" t="s">
        <v>311</v>
      </c>
      <c r="E8" s="23" t="s">
        <v>312</v>
      </c>
      <c r="F8" s="23" t="s">
        <v>313</v>
      </c>
      <c r="G8" s="23" t="s">
        <v>314</v>
      </c>
      <c r="H8" s="23" t="s">
        <v>284</v>
      </c>
      <c r="I8" s="23" t="s">
        <v>284</v>
      </c>
      <c r="J8" s="23" t="s">
        <v>284</v>
      </c>
      <c r="K8" s="23" t="s">
        <v>284</v>
      </c>
      <c r="L8" s="23" t="s">
        <v>284</v>
      </c>
    </row>
    <row r="9">
      <c r="A9" s="23" t="s">
        <v>228</v>
      </c>
      <c r="B9" s="24" t="s">
        <v>229</v>
      </c>
      <c r="C9" s="23" t="s">
        <v>315</v>
      </c>
      <c r="D9" s="23" t="s">
        <v>316</v>
      </c>
      <c r="E9" s="23" t="s">
        <v>317</v>
      </c>
      <c r="F9" s="23" t="s">
        <v>318</v>
      </c>
      <c r="G9" s="23" t="s">
        <v>319</v>
      </c>
      <c r="H9" s="23" t="s">
        <v>284</v>
      </c>
      <c r="I9" s="23" t="s">
        <v>284</v>
      </c>
      <c r="J9" s="23" t="s">
        <v>284</v>
      </c>
      <c r="K9" s="23" t="s">
        <v>284</v>
      </c>
      <c r="L9" s="23" t="s">
        <v>284</v>
      </c>
    </row>
    <row r="10">
      <c r="A10" s="23" t="s">
        <v>230</v>
      </c>
      <c r="B10" s="24" t="s">
        <v>231</v>
      </c>
      <c r="C10" s="23" t="s">
        <v>320</v>
      </c>
      <c r="D10" s="23" t="s">
        <v>321</v>
      </c>
      <c r="E10" s="23" t="s">
        <v>322</v>
      </c>
      <c r="F10" s="23" t="s">
        <v>323</v>
      </c>
      <c r="G10" s="23" t="s">
        <v>324</v>
      </c>
      <c r="H10" s="23" t="s">
        <v>284</v>
      </c>
      <c r="I10" s="23" t="s">
        <v>284</v>
      </c>
      <c r="J10" s="23" t="s">
        <v>284</v>
      </c>
      <c r="K10" s="23" t="s">
        <v>284</v>
      </c>
      <c r="L10" s="23" t="s">
        <v>284</v>
      </c>
    </row>
    <row r="11">
      <c r="A11" s="23" t="s">
        <v>232</v>
      </c>
      <c r="B11" s="24" t="s">
        <v>233</v>
      </c>
      <c r="C11" s="23" t="s">
        <v>325</v>
      </c>
      <c r="D11" s="23" t="s">
        <v>326</v>
      </c>
      <c r="E11" s="23" t="s">
        <v>327</v>
      </c>
      <c r="F11" s="23" t="s">
        <v>328</v>
      </c>
      <c r="G11" s="23" t="s">
        <v>329</v>
      </c>
      <c r="H11" s="23" t="s">
        <v>284</v>
      </c>
      <c r="I11" s="23" t="s">
        <v>284</v>
      </c>
      <c r="J11" s="23" t="s">
        <v>284</v>
      </c>
      <c r="K11" s="23" t="s">
        <v>284</v>
      </c>
      <c r="L11" s="23" t="s">
        <v>284</v>
      </c>
    </row>
    <row r="12">
      <c r="A12" s="23" t="s">
        <v>235</v>
      </c>
      <c r="B12" s="24" t="s">
        <v>236</v>
      </c>
      <c r="C12" s="23" t="s">
        <v>330</v>
      </c>
      <c r="D12" s="23" t="s">
        <v>331</v>
      </c>
      <c r="E12" s="23" t="s">
        <v>332</v>
      </c>
      <c r="F12" s="23" t="s">
        <v>333</v>
      </c>
      <c r="G12" s="23" t="s">
        <v>334</v>
      </c>
      <c r="H12" s="23" t="s">
        <v>284</v>
      </c>
      <c r="I12" s="23" t="s">
        <v>284</v>
      </c>
      <c r="J12" s="23" t="s">
        <v>284</v>
      </c>
      <c r="K12" s="23" t="s">
        <v>284</v>
      </c>
      <c r="L12" s="23" t="s">
        <v>284</v>
      </c>
    </row>
    <row r="13">
      <c r="A13" s="23" t="s">
        <v>237</v>
      </c>
      <c r="B13" s="24" t="s">
        <v>238</v>
      </c>
      <c r="C13" s="23" t="s">
        <v>335</v>
      </c>
      <c r="D13" s="23" t="s">
        <v>336</v>
      </c>
      <c r="E13" s="23" t="s">
        <v>337</v>
      </c>
      <c r="F13" s="23" t="s">
        <v>338</v>
      </c>
      <c r="G13" s="23" t="s">
        <v>339</v>
      </c>
      <c r="H13" s="23" t="s">
        <v>284</v>
      </c>
      <c r="I13" s="23" t="s">
        <v>284</v>
      </c>
      <c r="J13" s="23" t="s">
        <v>284</v>
      </c>
      <c r="K13" s="23" t="s">
        <v>284</v>
      </c>
      <c r="L13" s="23" t="s">
        <v>284</v>
      </c>
    </row>
    <row r="14">
      <c r="A14" s="23" t="s">
        <v>239</v>
      </c>
      <c r="B14" s="24" t="s">
        <v>240</v>
      </c>
      <c r="C14" s="23" t="s">
        <v>340</v>
      </c>
      <c r="D14" s="23" t="s">
        <v>341</v>
      </c>
      <c r="E14" s="23" t="s">
        <v>342</v>
      </c>
      <c r="F14" s="23" t="s">
        <v>343</v>
      </c>
      <c r="G14" s="23" t="s">
        <v>344</v>
      </c>
      <c r="H14" s="23" t="s">
        <v>345</v>
      </c>
      <c r="I14" s="23" t="s">
        <v>346</v>
      </c>
      <c r="J14" s="23" t="s">
        <v>347</v>
      </c>
      <c r="K14" s="23" t="s">
        <v>284</v>
      </c>
      <c r="L14" s="23" t="s">
        <v>284</v>
      </c>
    </row>
    <row r="15">
      <c r="A15" s="23" t="s">
        <v>241</v>
      </c>
      <c r="B15" s="24" t="s">
        <v>242</v>
      </c>
      <c r="C15" s="23" t="s">
        <v>348</v>
      </c>
      <c r="D15" s="23" t="s">
        <v>349</v>
      </c>
      <c r="E15" s="23" t="s">
        <v>350</v>
      </c>
      <c r="F15" s="23" t="s">
        <v>351</v>
      </c>
      <c r="G15" s="23" t="s">
        <v>352</v>
      </c>
      <c r="H15" s="23" t="s">
        <v>353</v>
      </c>
      <c r="I15" s="23" t="s">
        <v>354</v>
      </c>
      <c r="J15" s="23" t="s">
        <v>355</v>
      </c>
      <c r="K15" s="23" t="s">
        <v>284</v>
      </c>
      <c r="L15" s="23" t="s">
        <v>284</v>
      </c>
    </row>
    <row r="16">
      <c r="A16" s="23" t="s">
        <v>243</v>
      </c>
      <c r="B16" s="24" t="s">
        <v>244</v>
      </c>
      <c r="C16" s="23" t="s">
        <v>356</v>
      </c>
      <c r="D16" s="23" t="s">
        <v>357</v>
      </c>
      <c r="E16" s="23" t="s">
        <v>358</v>
      </c>
      <c r="F16" s="23" t="s">
        <v>359</v>
      </c>
      <c r="G16" s="23" t="s">
        <v>360</v>
      </c>
      <c r="H16" s="23" t="s">
        <v>361</v>
      </c>
      <c r="I16" s="23" t="s">
        <v>362</v>
      </c>
      <c r="J16" s="23" t="s">
        <v>363</v>
      </c>
      <c r="K16" s="23" t="s">
        <v>284</v>
      </c>
      <c r="L16" s="23" t="s">
        <v>284</v>
      </c>
    </row>
    <row r="17">
      <c r="A17" s="23" t="s">
        <v>245</v>
      </c>
      <c r="B17" s="24" t="s">
        <v>246</v>
      </c>
      <c r="C17" s="23" t="s">
        <v>364</v>
      </c>
      <c r="D17" s="23" t="s">
        <v>365</v>
      </c>
      <c r="E17" s="23" t="s">
        <v>366</v>
      </c>
      <c r="F17" s="23" t="s">
        <v>367</v>
      </c>
      <c r="G17" s="23" t="s">
        <v>368</v>
      </c>
      <c r="H17" s="23" t="s">
        <v>284</v>
      </c>
      <c r="I17" s="23" t="s">
        <v>284</v>
      </c>
      <c r="J17" s="23" t="s">
        <v>284</v>
      </c>
      <c r="K17" s="23" t="s">
        <v>284</v>
      </c>
      <c r="L17" s="23" t="s">
        <v>284</v>
      </c>
    </row>
    <row r="18">
      <c r="A18" s="23" t="s">
        <v>247</v>
      </c>
      <c r="B18" s="24" t="s">
        <v>248</v>
      </c>
      <c r="C18" s="23" t="s">
        <v>369</v>
      </c>
      <c r="D18" s="23" t="s">
        <v>370</v>
      </c>
      <c r="E18" s="23" t="s">
        <v>371</v>
      </c>
      <c r="F18" s="23" t="s">
        <v>372</v>
      </c>
      <c r="G18" s="23" t="s">
        <v>373</v>
      </c>
      <c r="H18" s="23" t="s">
        <v>284</v>
      </c>
      <c r="I18" s="23" t="s">
        <v>284</v>
      </c>
      <c r="J18" s="23" t="s">
        <v>284</v>
      </c>
      <c r="K18" s="23" t="s">
        <v>284</v>
      </c>
      <c r="L18" s="23" t="s">
        <v>284</v>
      </c>
    </row>
    <row r="19">
      <c r="A19" s="23" t="s">
        <v>249</v>
      </c>
      <c r="B19" s="24" t="s">
        <v>250</v>
      </c>
      <c r="C19" s="23" t="s">
        <v>374</v>
      </c>
      <c r="D19" s="23" t="s">
        <v>375</v>
      </c>
      <c r="E19" s="23" t="s">
        <v>376</v>
      </c>
      <c r="F19" s="23" t="s">
        <v>377</v>
      </c>
      <c r="G19" s="23" t="s">
        <v>378</v>
      </c>
      <c r="H19" s="23" t="s">
        <v>284</v>
      </c>
      <c r="I19" s="23" t="s">
        <v>284</v>
      </c>
      <c r="J19" s="23" t="s">
        <v>284</v>
      </c>
      <c r="K19" s="23" t="s">
        <v>284</v>
      </c>
      <c r="L19" s="23" t="s">
        <v>284</v>
      </c>
    </row>
    <row r="20">
      <c r="A20" s="23" t="s">
        <v>251</v>
      </c>
      <c r="B20" s="24" t="s">
        <v>252</v>
      </c>
      <c r="C20" s="23" t="s">
        <v>379</v>
      </c>
      <c r="D20" s="23" t="s">
        <v>380</v>
      </c>
      <c r="E20" s="23" t="s">
        <v>381</v>
      </c>
      <c r="F20" s="23" t="s">
        <v>382</v>
      </c>
      <c r="G20" s="23" t="s">
        <v>383</v>
      </c>
      <c r="H20" s="23" t="s">
        <v>284</v>
      </c>
      <c r="I20" s="23" t="s">
        <v>284</v>
      </c>
      <c r="J20" s="23" t="s">
        <v>284</v>
      </c>
      <c r="K20" s="23" t="s">
        <v>284</v>
      </c>
      <c r="L20" s="23" t="s">
        <v>284</v>
      </c>
    </row>
    <row r="21">
      <c r="A21" s="23" t="s">
        <v>253</v>
      </c>
      <c r="B21" s="24" t="s">
        <v>254</v>
      </c>
      <c r="C21" s="23" t="s">
        <v>384</v>
      </c>
      <c r="D21" s="23" t="s">
        <v>385</v>
      </c>
      <c r="E21" s="23" t="s">
        <v>386</v>
      </c>
      <c r="F21" s="23" t="s">
        <v>284</v>
      </c>
      <c r="G21" s="23" t="s">
        <v>284</v>
      </c>
      <c r="H21" s="23" t="s">
        <v>284</v>
      </c>
      <c r="I21" s="23" t="s">
        <v>284</v>
      </c>
      <c r="J21" s="23" t="s">
        <v>284</v>
      </c>
      <c r="K21" s="23" t="s">
        <v>284</v>
      </c>
      <c r="L21" s="23" t="s">
        <v>284</v>
      </c>
    </row>
    <row r="22">
      <c r="A22" s="23" t="s">
        <v>255</v>
      </c>
      <c r="B22" s="24" t="s">
        <v>256</v>
      </c>
      <c r="C22" s="23" t="s">
        <v>387</v>
      </c>
      <c r="D22" s="23" t="s">
        <v>388</v>
      </c>
      <c r="E22" s="23" t="s">
        <v>389</v>
      </c>
      <c r="F22" s="23" t="s">
        <v>284</v>
      </c>
      <c r="G22" s="23" t="s">
        <v>284</v>
      </c>
      <c r="H22" s="23" t="s">
        <v>284</v>
      </c>
      <c r="I22" s="23" t="s">
        <v>284</v>
      </c>
      <c r="J22" s="23" t="s">
        <v>284</v>
      </c>
      <c r="K22" s="23" t="s">
        <v>284</v>
      </c>
      <c r="L22" s="23" t="s">
        <v>284</v>
      </c>
    </row>
    <row r="23">
      <c r="A23" s="23" t="s">
        <v>257</v>
      </c>
      <c r="B23" s="24" t="s">
        <v>258</v>
      </c>
      <c r="C23" s="23" t="s">
        <v>390</v>
      </c>
      <c r="D23" s="23" t="s">
        <v>391</v>
      </c>
      <c r="E23" s="23" t="s">
        <v>392</v>
      </c>
      <c r="F23" s="23" t="s">
        <v>393</v>
      </c>
      <c r="G23" s="23" t="s">
        <v>394</v>
      </c>
      <c r="H23" s="23" t="s">
        <v>395</v>
      </c>
      <c r="I23" s="23" t="s">
        <v>396</v>
      </c>
      <c r="J23" s="23" t="s">
        <v>284</v>
      </c>
      <c r="K23" s="23" t="s">
        <v>284</v>
      </c>
      <c r="L23" s="23" t="s">
        <v>284</v>
      </c>
    </row>
    <row r="24">
      <c r="A24" s="23" t="s">
        <v>259</v>
      </c>
      <c r="B24" s="24" t="s">
        <v>260</v>
      </c>
      <c r="C24" s="23" t="s">
        <v>397</v>
      </c>
      <c r="D24" s="23" t="s">
        <v>398</v>
      </c>
      <c r="E24" s="23" t="s">
        <v>399</v>
      </c>
      <c r="F24" s="23" t="s">
        <v>400</v>
      </c>
      <c r="G24" s="23" t="s">
        <v>401</v>
      </c>
      <c r="H24" s="23" t="s">
        <v>284</v>
      </c>
      <c r="I24" s="23" t="s">
        <v>284</v>
      </c>
      <c r="J24" s="23" t="s">
        <v>284</v>
      </c>
      <c r="K24" s="23" t="s">
        <v>284</v>
      </c>
      <c r="L24" s="23" t="s">
        <v>284</v>
      </c>
    </row>
    <row r="25">
      <c r="A25" s="23" t="s">
        <v>261</v>
      </c>
      <c r="B25" s="24" t="s">
        <v>262</v>
      </c>
      <c r="C25" s="23" t="s">
        <v>402</v>
      </c>
      <c r="D25" s="23" t="s">
        <v>403</v>
      </c>
      <c r="E25" s="23" t="s">
        <v>404</v>
      </c>
      <c r="F25" s="23" t="s">
        <v>405</v>
      </c>
      <c r="G25" s="23" t="s">
        <v>406</v>
      </c>
      <c r="H25" s="23" t="s">
        <v>284</v>
      </c>
      <c r="I25" s="23" t="s">
        <v>284</v>
      </c>
      <c r="J25" s="23" t="s">
        <v>284</v>
      </c>
      <c r="K25" s="23" t="s">
        <v>284</v>
      </c>
      <c r="L25" s="23" t="s">
        <v>284</v>
      </c>
    </row>
    <row r="26">
      <c r="A26" s="23" t="s">
        <v>263</v>
      </c>
      <c r="B26" s="24" t="s">
        <v>264</v>
      </c>
      <c r="C26" s="23" t="s">
        <v>407</v>
      </c>
      <c r="D26" s="23" t="s">
        <v>408</v>
      </c>
      <c r="E26" s="23" t="s">
        <v>409</v>
      </c>
      <c r="F26" s="23" t="s">
        <v>410</v>
      </c>
      <c r="G26" s="23" t="s">
        <v>411</v>
      </c>
      <c r="H26" s="23" t="s">
        <v>284</v>
      </c>
      <c r="I26" s="23" t="s">
        <v>284</v>
      </c>
      <c r="J26" s="23" t="s">
        <v>284</v>
      </c>
      <c r="K26" s="23" t="s">
        <v>284</v>
      </c>
      <c r="L26" s="23" t="s">
        <v>284</v>
      </c>
    </row>
    <row r="27">
      <c r="A27" s="23" t="s">
        <v>265</v>
      </c>
      <c r="B27" s="24" t="s">
        <v>266</v>
      </c>
      <c r="C27" s="23" t="s">
        <v>412</v>
      </c>
      <c r="D27" s="23" t="s">
        <v>413</v>
      </c>
      <c r="E27" s="23" t="s">
        <v>414</v>
      </c>
      <c r="F27" s="23" t="s">
        <v>415</v>
      </c>
      <c r="G27" s="23" t="s">
        <v>416</v>
      </c>
      <c r="H27" s="23" t="s">
        <v>284</v>
      </c>
      <c r="I27" s="23" t="s">
        <v>284</v>
      </c>
      <c r="J27" s="23" t="s">
        <v>284</v>
      </c>
      <c r="K27" s="23" t="s">
        <v>284</v>
      </c>
      <c r="L27" s="23" t="s">
        <v>284</v>
      </c>
    </row>
    <row r="28">
      <c r="A28" s="23" t="s">
        <v>267</v>
      </c>
      <c r="B28" s="24" t="s">
        <v>268</v>
      </c>
      <c r="C28" s="23" t="s">
        <v>417</v>
      </c>
      <c r="D28" s="23" t="s">
        <v>418</v>
      </c>
      <c r="E28" s="23" t="s">
        <v>419</v>
      </c>
      <c r="F28" s="23" t="s">
        <v>420</v>
      </c>
      <c r="G28" s="23" t="s">
        <v>284</v>
      </c>
      <c r="H28" s="23" t="s">
        <v>284</v>
      </c>
      <c r="I28" s="23" t="s">
        <v>284</v>
      </c>
      <c r="J28" s="23" t="s">
        <v>284</v>
      </c>
      <c r="K28" s="23" t="s">
        <v>284</v>
      </c>
      <c r="L28" s="23" t="s">
        <v>284</v>
      </c>
    </row>
    <row r="29">
      <c r="A29" s="23" t="s">
        <v>269</v>
      </c>
      <c r="B29" s="24" t="s">
        <v>270</v>
      </c>
      <c r="C29" s="23" t="s">
        <v>421</v>
      </c>
      <c r="D29" s="23" t="s">
        <v>422</v>
      </c>
      <c r="E29" s="23" t="s">
        <v>423</v>
      </c>
      <c r="F29" s="23" t="s">
        <v>284</v>
      </c>
      <c r="G29" s="23" t="s">
        <v>284</v>
      </c>
      <c r="H29" s="23" t="s">
        <v>284</v>
      </c>
      <c r="I29" s="23" t="s">
        <v>284</v>
      </c>
      <c r="J29" s="23" t="s">
        <v>284</v>
      </c>
      <c r="K29" s="23" t="s">
        <v>284</v>
      </c>
      <c r="L29" s="23" t="s">
        <v>284</v>
      </c>
    </row>
    <row r="30">
      <c r="A30" s="23" t="s">
        <v>271</v>
      </c>
      <c r="B30" s="24" t="s">
        <v>272</v>
      </c>
      <c r="C30" s="23" t="s">
        <v>424</v>
      </c>
      <c r="D30" s="23" t="s">
        <v>425</v>
      </c>
      <c r="E30" s="23" t="s">
        <v>426</v>
      </c>
      <c r="F30" s="23" t="s">
        <v>284</v>
      </c>
      <c r="G30" s="23" t="s">
        <v>284</v>
      </c>
      <c r="H30" s="23" t="s">
        <v>284</v>
      </c>
      <c r="I30" s="23" t="s">
        <v>284</v>
      </c>
      <c r="J30" s="23" t="s">
        <v>284</v>
      </c>
      <c r="K30" s="23" t="s">
        <v>284</v>
      </c>
      <c r="L30" s="23" t="s">
        <v>284</v>
      </c>
    </row>
    <row r="31">
      <c r="A31" s="23" t="s">
        <v>273</v>
      </c>
      <c r="B31" s="24" t="s">
        <v>274</v>
      </c>
      <c r="C31" s="23" t="s">
        <v>427</v>
      </c>
      <c r="D31" s="23" t="s">
        <v>428</v>
      </c>
      <c r="E31" s="23" t="s">
        <v>429</v>
      </c>
      <c r="F31" s="23" t="s">
        <v>430</v>
      </c>
      <c r="G31" s="23" t="s">
        <v>431</v>
      </c>
      <c r="H31" s="23" t="s">
        <v>432</v>
      </c>
      <c r="I31" s="23" t="s">
        <v>433</v>
      </c>
      <c r="J31" s="23" t="s">
        <v>284</v>
      </c>
      <c r="K31" s="23" t="s">
        <v>284</v>
      </c>
      <c r="L31" s="23" t="s">
        <v>284</v>
      </c>
    </row>
    <row r="32">
      <c r="A32" s="23" t="s">
        <v>275</v>
      </c>
      <c r="B32" s="24" t="s">
        <v>276</v>
      </c>
      <c r="C32" s="23" t="s">
        <v>434</v>
      </c>
      <c r="D32" s="23" t="s">
        <v>435</v>
      </c>
      <c r="E32" s="23" t="s">
        <v>436</v>
      </c>
      <c r="F32" s="23" t="s">
        <v>437</v>
      </c>
      <c r="G32" s="23" t="s">
        <v>438</v>
      </c>
      <c r="H32" s="23" t="s">
        <v>439</v>
      </c>
      <c r="I32" s="23" t="s">
        <v>440</v>
      </c>
      <c r="J32" s="23" t="s">
        <v>441</v>
      </c>
      <c r="K32" s="23" t="s">
        <v>442</v>
      </c>
      <c r="L32" s="23" t="s">
        <v>284</v>
      </c>
    </row>
    <row r="33">
      <c r="A33" s="23" t="s">
        <v>277</v>
      </c>
      <c r="B33" s="24" t="s">
        <v>278</v>
      </c>
      <c r="C33" s="23" t="s">
        <v>443</v>
      </c>
      <c r="D33" s="23" t="s">
        <v>444</v>
      </c>
      <c r="E33" s="23" t="s">
        <v>445</v>
      </c>
      <c r="F33" s="23" t="s">
        <v>284</v>
      </c>
      <c r="G33" s="23" t="s">
        <v>284</v>
      </c>
      <c r="H33" s="23" t="s">
        <v>284</v>
      </c>
      <c r="I33" s="23" t="s">
        <v>284</v>
      </c>
      <c r="J33" s="23" t="s">
        <v>284</v>
      </c>
      <c r="K33" s="23" t="s">
        <v>284</v>
      </c>
      <c r="L33" s="23" t="s">
        <v>284</v>
      </c>
    </row>
  </sheetData>
  <mergeCells count="1">
    <mergeCell ref="C1:L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5"/>
  </cols>
  <sheetData>
    <row r="1">
      <c r="A1" s="20" t="s">
        <v>446</v>
      </c>
      <c r="B1" s="19" t="s">
        <v>1</v>
      </c>
    </row>
    <row r="2">
      <c r="A2" s="27" t="s">
        <v>166</v>
      </c>
      <c r="B2" s="28" t="str">
        <f t="array" ref="B2:B6">TRANSPOSE('Test Results (Txt)'!C2:G2)</f>
        <v>R1.1A</v>
      </c>
    </row>
    <row r="3">
      <c r="A3" s="27" t="s">
        <v>169</v>
      </c>
      <c r="B3" s="28" t="s">
        <v>280</v>
      </c>
    </row>
    <row r="4">
      <c r="A4" s="27" t="s">
        <v>447</v>
      </c>
      <c r="B4" s="28" t="s">
        <v>281</v>
      </c>
    </row>
    <row r="5">
      <c r="A5" s="27" t="s">
        <v>161</v>
      </c>
      <c r="B5" s="28" t="s">
        <v>282</v>
      </c>
    </row>
    <row r="6">
      <c r="A6" s="27" t="s">
        <v>158</v>
      </c>
      <c r="B6" s="28" t="s">
        <v>283</v>
      </c>
    </row>
    <row r="7">
      <c r="A7" s="27" t="s">
        <v>167</v>
      </c>
      <c r="B7" s="28" t="str">
        <f t="array" ref="B7:B11">TRANSPOSE('Test Results (Txt)'!C3:G3)</f>
        <v>R2.1B</v>
      </c>
    </row>
    <row r="8">
      <c r="A8" s="27" t="s">
        <v>170</v>
      </c>
      <c r="B8" s="28" t="s">
        <v>286</v>
      </c>
    </row>
    <row r="9">
      <c r="A9" s="27" t="s">
        <v>448</v>
      </c>
      <c r="B9" s="28" t="s">
        <v>287</v>
      </c>
    </row>
    <row r="10">
      <c r="A10" s="27" t="s">
        <v>162</v>
      </c>
      <c r="B10" s="28" t="s">
        <v>288</v>
      </c>
    </row>
    <row r="11">
      <c r="A11" s="27" t="s">
        <v>159</v>
      </c>
      <c r="B11" s="28" t="s">
        <v>289</v>
      </c>
    </row>
    <row r="12">
      <c r="A12" s="27" t="s">
        <v>168</v>
      </c>
      <c r="B12" s="28" t="str">
        <f t="array" ref="B12:B16">TRANSPOSE('Test Results (Txt)'!C4:G4)</f>
        <v>R3.1C</v>
      </c>
    </row>
    <row r="13">
      <c r="A13" s="27" t="s">
        <v>171</v>
      </c>
      <c r="B13" s="28" t="s">
        <v>291</v>
      </c>
    </row>
    <row r="14">
      <c r="A14" s="27" t="s">
        <v>449</v>
      </c>
      <c r="B14" s="28" t="s">
        <v>292</v>
      </c>
    </row>
    <row r="15">
      <c r="A15" s="27" t="s">
        <v>163</v>
      </c>
      <c r="B15" s="28" t="s">
        <v>293</v>
      </c>
    </row>
    <row r="16">
      <c r="A16" s="27" t="s">
        <v>160</v>
      </c>
      <c r="B16" s="28" t="s">
        <v>294</v>
      </c>
    </row>
    <row r="17">
      <c r="A17" s="27" t="s">
        <v>172</v>
      </c>
      <c r="B17" s="28" t="str">
        <f t="array" ref="B17:B21">TRANSPOSE('Test Results (Txt)'!C5:G5)</f>
        <v>R4.1E</v>
      </c>
    </row>
    <row r="18">
      <c r="A18" s="27" t="s">
        <v>173</v>
      </c>
      <c r="B18" s="28" t="s">
        <v>296</v>
      </c>
    </row>
    <row r="19">
      <c r="A19" s="27" t="s">
        <v>450</v>
      </c>
      <c r="B19" s="28" t="s">
        <v>297</v>
      </c>
    </row>
    <row r="20">
      <c r="A20" s="27" t="s">
        <v>165</v>
      </c>
      <c r="B20" s="28" t="s">
        <v>298</v>
      </c>
    </row>
    <row r="21">
      <c r="A21" s="27" t="s">
        <v>164</v>
      </c>
      <c r="B21" s="28" t="s">
        <v>299</v>
      </c>
    </row>
    <row r="22">
      <c r="A22" s="27" t="s">
        <v>194</v>
      </c>
      <c r="B22" s="28" t="str">
        <f t="array" ref="B22:B26">TRANSPOSE('Test Results (Txt)'!C6:G6)</f>
        <v>R5.1E</v>
      </c>
    </row>
    <row r="23">
      <c r="A23" s="27" t="s">
        <v>196</v>
      </c>
      <c r="B23" s="28" t="s">
        <v>301</v>
      </c>
    </row>
    <row r="24">
      <c r="A24" s="27" t="s">
        <v>451</v>
      </c>
      <c r="B24" s="28" t="s">
        <v>302</v>
      </c>
    </row>
    <row r="25">
      <c r="A25" s="27" t="s">
        <v>452</v>
      </c>
      <c r="B25" s="28" t="s">
        <v>303</v>
      </c>
    </row>
    <row r="26">
      <c r="A26" s="27" t="s">
        <v>453</v>
      </c>
      <c r="B26" s="28" t="s">
        <v>304</v>
      </c>
    </row>
    <row r="27">
      <c r="A27" s="27" t="s">
        <v>195</v>
      </c>
      <c r="B27" s="28" t="str">
        <f t="array" ref="B27:B31">TRANSPOSE('Test Results (Txt)'!C7:G7)</f>
        <v>R6.1E</v>
      </c>
    </row>
    <row r="28">
      <c r="A28" s="27" t="s">
        <v>197</v>
      </c>
      <c r="B28" s="28" t="s">
        <v>306</v>
      </c>
    </row>
    <row r="29">
      <c r="A29" s="27" t="s">
        <v>454</v>
      </c>
      <c r="B29" s="28" t="s">
        <v>307</v>
      </c>
    </row>
    <row r="30">
      <c r="A30" s="27" t="s">
        <v>455</v>
      </c>
      <c r="B30" s="28" t="s">
        <v>308</v>
      </c>
    </row>
    <row r="31">
      <c r="A31" s="27" t="s">
        <v>456</v>
      </c>
      <c r="B31" s="28" t="s">
        <v>309</v>
      </c>
    </row>
    <row r="32">
      <c r="A32" s="27" t="s">
        <v>126</v>
      </c>
      <c r="B32" s="28" t="str">
        <f t="array" ref="B32:B36">TRANSPOSE('Test Results (Txt)'!C8:G8)</f>
        <v>R7.1C</v>
      </c>
    </row>
    <row r="33">
      <c r="A33" s="27" t="s">
        <v>134</v>
      </c>
      <c r="B33" s="28" t="s">
        <v>311</v>
      </c>
    </row>
    <row r="34">
      <c r="A34" s="27" t="s">
        <v>457</v>
      </c>
      <c r="B34" s="28" t="s">
        <v>312</v>
      </c>
    </row>
    <row r="35">
      <c r="A35" s="27" t="s">
        <v>138</v>
      </c>
      <c r="B35" s="28" t="s">
        <v>313</v>
      </c>
    </row>
    <row r="36">
      <c r="A36" s="27" t="s">
        <v>145</v>
      </c>
      <c r="B36" s="28" t="s">
        <v>314</v>
      </c>
    </row>
    <row r="37">
      <c r="A37" s="27" t="s">
        <v>458</v>
      </c>
      <c r="B37" s="28" t="str">
        <f t="array" ref="B37:B41">TRANSPOSE('Test Results (Txt)'!C9:G9)</f>
        <v>R8.1E</v>
      </c>
    </row>
    <row r="38">
      <c r="A38" s="27" t="s">
        <v>459</v>
      </c>
      <c r="B38" s="28" t="s">
        <v>316</v>
      </c>
    </row>
    <row r="39">
      <c r="A39" s="27" t="s">
        <v>460</v>
      </c>
      <c r="B39" s="28" t="s">
        <v>317</v>
      </c>
    </row>
    <row r="40">
      <c r="A40" s="27" t="s">
        <v>461</v>
      </c>
      <c r="B40" s="28" t="s">
        <v>318</v>
      </c>
    </row>
    <row r="41">
      <c r="A41" s="27" t="s">
        <v>462</v>
      </c>
      <c r="B41" s="28" t="s">
        <v>319</v>
      </c>
    </row>
    <row r="42">
      <c r="A42" s="27" t="s">
        <v>125</v>
      </c>
      <c r="B42" s="28" t="str">
        <f t="array" ref="B42:B46">TRANSPOSE('Test Results (Txt)'!C10:G10)</f>
        <v>R9.1C</v>
      </c>
    </row>
    <row r="43">
      <c r="A43" s="27" t="s">
        <v>133</v>
      </c>
      <c r="B43" s="28" t="s">
        <v>321</v>
      </c>
    </row>
    <row r="44">
      <c r="A44" s="27" t="s">
        <v>463</v>
      </c>
      <c r="B44" s="28" t="s">
        <v>322</v>
      </c>
    </row>
    <row r="45">
      <c r="A45" s="27" t="s">
        <v>137</v>
      </c>
      <c r="B45" s="28" t="s">
        <v>323</v>
      </c>
    </row>
    <row r="46">
      <c r="A46" s="27" t="s">
        <v>144</v>
      </c>
      <c r="B46" s="28" t="s">
        <v>324</v>
      </c>
    </row>
    <row r="47">
      <c r="A47" s="27" t="s">
        <v>146</v>
      </c>
      <c r="B47" s="28" t="str">
        <f t="array" ref="B47:B51">TRANSPOSE('Test Results (Txt)'!C11:G11)</f>
        <v>R10.1D</v>
      </c>
    </row>
    <row r="48">
      <c r="A48" s="27" t="s">
        <v>139</v>
      </c>
      <c r="B48" s="28" t="s">
        <v>326</v>
      </c>
    </row>
    <row r="49">
      <c r="A49" s="27" t="s">
        <v>464</v>
      </c>
      <c r="B49" s="28" t="s">
        <v>327</v>
      </c>
    </row>
    <row r="50">
      <c r="A50" s="27" t="s">
        <v>135</v>
      </c>
      <c r="B50" s="28" t="s">
        <v>328</v>
      </c>
    </row>
    <row r="51">
      <c r="A51" s="27" t="s">
        <v>127</v>
      </c>
      <c r="B51" s="28" t="s">
        <v>329</v>
      </c>
    </row>
    <row r="52">
      <c r="A52" s="27" t="s">
        <v>147</v>
      </c>
      <c r="B52" s="28" t="str">
        <f t="array" ref="B52:B56">TRANSPOSE('Test Results (Txt)'!C12:G12)</f>
        <v>R11.1D</v>
      </c>
    </row>
    <row r="53">
      <c r="A53" s="27" t="s">
        <v>140</v>
      </c>
      <c r="B53" s="28" t="s">
        <v>331</v>
      </c>
    </row>
    <row r="54">
      <c r="A54" s="27" t="s">
        <v>465</v>
      </c>
      <c r="B54" s="28" t="s">
        <v>332</v>
      </c>
    </row>
    <row r="55">
      <c r="A55" s="27" t="s">
        <v>136</v>
      </c>
      <c r="B55" s="28" t="s">
        <v>333</v>
      </c>
    </row>
    <row r="56">
      <c r="A56" s="27" t="s">
        <v>128</v>
      </c>
      <c r="B56" s="28" t="s">
        <v>334</v>
      </c>
    </row>
    <row r="57">
      <c r="A57" s="27" t="s">
        <v>88</v>
      </c>
      <c r="B57" s="28" t="str">
        <f t="array" ref="B57:B61">TRANSPOSE('Test Results (Txt)'!C13:G13)</f>
        <v>R12.1D</v>
      </c>
    </row>
    <row r="58">
      <c r="A58" s="27" t="s">
        <v>90</v>
      </c>
      <c r="B58" s="28" t="s">
        <v>336</v>
      </c>
    </row>
    <row r="59">
      <c r="A59" s="27" t="s">
        <v>466</v>
      </c>
      <c r="B59" s="28" t="s">
        <v>337</v>
      </c>
    </row>
    <row r="60">
      <c r="A60" s="27" t="s">
        <v>183</v>
      </c>
      <c r="B60" s="28" t="s">
        <v>338</v>
      </c>
    </row>
    <row r="61">
      <c r="A61" s="27" t="s">
        <v>108</v>
      </c>
      <c r="B61" s="28" t="s">
        <v>339</v>
      </c>
    </row>
    <row r="62">
      <c r="A62" s="27" t="s">
        <v>179</v>
      </c>
      <c r="B62" s="28" t="str">
        <f t="array" ref="B62:B69">TRANSPOSE('Test Results (Txt)'!C14:J14)</f>
        <v>R13.1B</v>
      </c>
    </row>
    <row r="63">
      <c r="A63" s="27" t="s">
        <v>180</v>
      </c>
      <c r="B63" s="28" t="s">
        <v>341</v>
      </c>
    </row>
    <row r="64">
      <c r="A64" s="27" t="s">
        <v>182</v>
      </c>
      <c r="B64" s="28" t="s">
        <v>342</v>
      </c>
    </row>
    <row r="65">
      <c r="A65" s="27" t="s">
        <v>467</v>
      </c>
      <c r="B65" s="28" t="s">
        <v>343</v>
      </c>
    </row>
    <row r="66">
      <c r="A66" s="27" t="s">
        <v>468</v>
      </c>
      <c r="B66" s="28" t="s">
        <v>344</v>
      </c>
    </row>
    <row r="67">
      <c r="A67" s="27" t="s">
        <v>469</v>
      </c>
      <c r="B67" s="28" t="s">
        <v>345</v>
      </c>
    </row>
    <row r="68">
      <c r="A68" s="27" t="s">
        <v>470</v>
      </c>
      <c r="B68" s="28" t="s">
        <v>346</v>
      </c>
    </row>
    <row r="69">
      <c r="A69" s="27" t="s">
        <v>205</v>
      </c>
      <c r="B69" s="28" t="s">
        <v>347</v>
      </c>
    </row>
    <row r="70">
      <c r="A70" s="27" t="s">
        <v>109</v>
      </c>
      <c r="B70" s="28" t="str">
        <f t="array" ref="B70:B77">TRANSPOSE('Test Results (Txt)'!C15:J15)</f>
        <v>R14.1D</v>
      </c>
    </row>
    <row r="71">
      <c r="A71" s="27" t="s">
        <v>110</v>
      </c>
      <c r="B71" s="28" t="s">
        <v>349</v>
      </c>
    </row>
    <row r="72">
      <c r="A72" s="27" t="s">
        <v>111</v>
      </c>
      <c r="B72" s="28" t="s">
        <v>350</v>
      </c>
    </row>
    <row r="73">
      <c r="A73" s="27" t="s">
        <v>112</v>
      </c>
      <c r="B73" s="28" t="s">
        <v>351</v>
      </c>
    </row>
    <row r="74">
      <c r="A74" s="27" t="s">
        <v>114</v>
      </c>
      <c r="B74" s="28" t="s">
        <v>352</v>
      </c>
    </row>
    <row r="75">
      <c r="A75" s="27" t="s">
        <v>471</v>
      </c>
      <c r="B75" s="28" t="s">
        <v>353</v>
      </c>
    </row>
    <row r="76">
      <c r="A76" s="27" t="s">
        <v>91</v>
      </c>
      <c r="B76" s="28" t="s">
        <v>354</v>
      </c>
    </row>
    <row r="77">
      <c r="A77" s="27" t="s">
        <v>89</v>
      </c>
      <c r="B77" s="28" t="s">
        <v>355</v>
      </c>
    </row>
    <row r="78">
      <c r="A78" s="27" t="s">
        <v>177</v>
      </c>
      <c r="B78" s="28" t="str">
        <f t="array" ref="B78:B85">TRANSPOSE('Test Results (Txt)'!C16:J16)</f>
        <v>R15.1E</v>
      </c>
    </row>
    <row r="79">
      <c r="A79" s="27" t="s">
        <v>178</v>
      </c>
      <c r="B79" s="28" t="s">
        <v>357</v>
      </c>
    </row>
    <row r="80">
      <c r="A80" s="27" t="s">
        <v>181</v>
      </c>
      <c r="B80" s="28" t="s">
        <v>358</v>
      </c>
    </row>
    <row r="81">
      <c r="A81" s="27" t="s">
        <v>117</v>
      </c>
      <c r="B81" s="28" t="s">
        <v>359</v>
      </c>
    </row>
    <row r="82">
      <c r="A82" s="27" t="s">
        <v>118</v>
      </c>
      <c r="B82" s="28" t="s">
        <v>360</v>
      </c>
    </row>
    <row r="83">
      <c r="A83" s="27" t="s">
        <v>472</v>
      </c>
      <c r="B83" s="28" t="s">
        <v>361</v>
      </c>
    </row>
    <row r="84">
      <c r="A84" s="27" t="s">
        <v>473</v>
      </c>
      <c r="B84" s="28" t="s">
        <v>362</v>
      </c>
    </row>
    <row r="85">
      <c r="A85" s="27" t="s">
        <v>204</v>
      </c>
      <c r="B85" s="28" t="s">
        <v>363</v>
      </c>
    </row>
    <row r="86">
      <c r="A86" s="27" t="s">
        <v>185</v>
      </c>
      <c r="B86" s="28" t="str">
        <f t="array" ref="B86:B90">TRANSPOSE('Test Results (Txt)'!C17:G17)</f>
        <v>R16.1C</v>
      </c>
    </row>
    <row r="87">
      <c r="A87" s="27" t="s">
        <v>186</v>
      </c>
      <c r="B87" s="28" t="s">
        <v>365</v>
      </c>
    </row>
    <row r="88">
      <c r="A88" s="27" t="s">
        <v>474</v>
      </c>
      <c r="B88" s="28" t="s">
        <v>366</v>
      </c>
    </row>
    <row r="89">
      <c r="A89" s="27" t="s">
        <v>190</v>
      </c>
      <c r="B89" s="28" t="s">
        <v>367</v>
      </c>
    </row>
    <row r="90">
      <c r="A90" s="27" t="s">
        <v>189</v>
      </c>
      <c r="B90" s="28" t="s">
        <v>368</v>
      </c>
    </row>
    <row r="91">
      <c r="A91" s="27" t="s">
        <v>187</v>
      </c>
      <c r="B91" s="28" t="str">
        <f t="array" ref="B91:B95">TRANSPOSE('Test Results (Txt)'!C18:G18)</f>
        <v>R17.1E</v>
      </c>
    </row>
    <row r="92">
      <c r="A92" s="27" t="s">
        <v>124</v>
      </c>
      <c r="B92" s="28" t="s">
        <v>370</v>
      </c>
    </row>
    <row r="93">
      <c r="A93" s="27" t="s">
        <v>475</v>
      </c>
      <c r="B93" s="28" t="s">
        <v>371</v>
      </c>
    </row>
    <row r="94">
      <c r="A94" s="27" t="s">
        <v>476</v>
      </c>
      <c r="B94" s="28" t="s">
        <v>372</v>
      </c>
    </row>
    <row r="95">
      <c r="A95" s="27" t="s">
        <v>477</v>
      </c>
      <c r="B95" s="28" t="s">
        <v>373</v>
      </c>
    </row>
    <row r="96">
      <c r="A96" s="27" t="s">
        <v>200</v>
      </c>
      <c r="B96" s="28" t="str">
        <f t="array" ref="B96:B100">TRANSPOSE('Test Results (Txt)'!C19:G19)</f>
        <v>R18.1C</v>
      </c>
    </row>
    <row r="97">
      <c r="A97" s="27" t="s">
        <v>201</v>
      </c>
      <c r="B97" s="28" t="s">
        <v>375</v>
      </c>
    </row>
    <row r="98">
      <c r="A98" s="27" t="s">
        <v>478</v>
      </c>
      <c r="B98" s="28" t="s">
        <v>376</v>
      </c>
    </row>
    <row r="99">
      <c r="A99" s="27" t="s">
        <v>203</v>
      </c>
      <c r="B99" s="28" t="s">
        <v>377</v>
      </c>
    </row>
    <row r="100">
      <c r="A100" s="27" t="s">
        <v>202</v>
      </c>
      <c r="B100" s="28" t="s">
        <v>378</v>
      </c>
    </row>
    <row r="101">
      <c r="A101" s="27" t="s">
        <v>154</v>
      </c>
      <c r="B101" s="28" t="str">
        <f t="array" ref="B101:B105">TRANSPOSE('Test Results (Txt)'!C20:G20)</f>
        <v>R19.1C</v>
      </c>
    </row>
    <row r="102">
      <c r="A102" s="27" t="s">
        <v>155</v>
      </c>
      <c r="B102" s="28" t="s">
        <v>380</v>
      </c>
    </row>
    <row r="103">
      <c r="A103" s="27" t="s">
        <v>479</v>
      </c>
      <c r="B103" s="28" t="s">
        <v>381</v>
      </c>
    </row>
    <row r="104">
      <c r="A104" s="27" t="s">
        <v>480</v>
      </c>
      <c r="B104" s="28" t="s">
        <v>382</v>
      </c>
    </row>
    <row r="105">
      <c r="A105" s="27" t="s">
        <v>481</v>
      </c>
      <c r="B105" s="28" t="s">
        <v>383</v>
      </c>
    </row>
    <row r="106">
      <c r="A106" s="27" t="s">
        <v>119</v>
      </c>
      <c r="B106" s="28" t="str">
        <f t="array" ref="B106:B108">TRANSPOSE('Test Results (Txt)'!C21:E21)</f>
        <v>R20.1D</v>
      </c>
    </row>
    <row r="107">
      <c r="A107" s="27" t="s">
        <v>482</v>
      </c>
      <c r="B107" s="28" t="s">
        <v>385</v>
      </c>
    </row>
    <row r="108">
      <c r="A108" s="27" t="s">
        <v>174</v>
      </c>
      <c r="B108" s="28" t="s">
        <v>386</v>
      </c>
    </row>
    <row r="109">
      <c r="A109" s="27" t="s">
        <v>483</v>
      </c>
      <c r="B109" s="28" t="str">
        <f t="array" ref="B109:B111">TRANSPOSE('Test Results (Txt)'!C22:E22)</f>
        <v>R21.1D</v>
      </c>
    </row>
    <row r="110">
      <c r="A110" s="27" t="s">
        <v>484</v>
      </c>
      <c r="B110" s="28" t="s">
        <v>388</v>
      </c>
    </row>
    <row r="111">
      <c r="A111" s="27" t="s">
        <v>176</v>
      </c>
      <c r="B111" s="28" t="s">
        <v>389</v>
      </c>
    </row>
    <row r="112">
      <c r="A112" s="27" t="s">
        <v>485</v>
      </c>
      <c r="B112" s="28" t="str">
        <f t="array" ref="B112:B118">TRANSPOSE('Test Results (Txt)'!C23:I23)</f>
        <v>R22.1D</v>
      </c>
    </row>
    <row r="113">
      <c r="A113" s="27" t="s">
        <v>148</v>
      </c>
      <c r="B113" s="28" t="s">
        <v>391</v>
      </c>
    </row>
    <row r="114">
      <c r="A114" s="27" t="s">
        <v>94</v>
      </c>
      <c r="B114" s="28" t="s">
        <v>392</v>
      </c>
    </row>
    <row r="115">
      <c r="A115" s="27" t="s">
        <v>131</v>
      </c>
      <c r="B115" s="28" t="s">
        <v>393</v>
      </c>
    </row>
    <row r="116">
      <c r="A116" s="27" t="s">
        <v>143</v>
      </c>
      <c r="B116" s="28" t="s">
        <v>394</v>
      </c>
    </row>
    <row r="117">
      <c r="A117" s="27" t="s">
        <v>116</v>
      </c>
      <c r="B117" s="28" t="s">
        <v>395</v>
      </c>
    </row>
    <row r="118">
      <c r="A118" s="27" t="s">
        <v>199</v>
      </c>
      <c r="B118" s="28" t="s">
        <v>396</v>
      </c>
    </row>
    <row r="119">
      <c r="A119" s="27" t="s">
        <v>121</v>
      </c>
      <c r="B119" s="28" t="str">
        <f t="array" ref="B119:B123">TRANSPOSE('Test Results (Txt)'!C24:G24)</f>
        <v>R23.1D</v>
      </c>
    </row>
    <row r="120">
      <c r="A120" s="27" t="s">
        <v>123</v>
      </c>
      <c r="B120" s="28" t="s">
        <v>398</v>
      </c>
    </row>
    <row r="121">
      <c r="A121" s="27" t="s">
        <v>486</v>
      </c>
      <c r="B121" s="28" t="s">
        <v>399</v>
      </c>
    </row>
    <row r="122">
      <c r="A122" s="27" t="s">
        <v>152</v>
      </c>
      <c r="B122" s="28" t="s">
        <v>400</v>
      </c>
    </row>
    <row r="123">
      <c r="A123" s="27" t="s">
        <v>150</v>
      </c>
      <c r="B123" s="28" t="s">
        <v>401</v>
      </c>
    </row>
    <row r="124">
      <c r="A124" s="27" t="s">
        <v>120</v>
      </c>
      <c r="B124" s="28" t="str">
        <f t="array" ref="B124:B128">TRANSPOSE('Test Results (Txt)'!C25:G25)</f>
        <v>R24.1D</v>
      </c>
    </row>
    <row r="125">
      <c r="A125" s="27" t="s">
        <v>122</v>
      </c>
      <c r="B125" s="28" t="s">
        <v>403</v>
      </c>
    </row>
    <row r="126">
      <c r="A126" s="27" t="s">
        <v>487</v>
      </c>
      <c r="B126" s="28" t="s">
        <v>404</v>
      </c>
    </row>
    <row r="127">
      <c r="A127" s="27" t="s">
        <v>153</v>
      </c>
      <c r="B127" s="28" t="s">
        <v>405</v>
      </c>
    </row>
    <row r="128">
      <c r="A128" s="27" t="s">
        <v>151</v>
      </c>
      <c r="B128" s="28" t="s">
        <v>406</v>
      </c>
    </row>
    <row r="129">
      <c r="A129" s="27" t="s">
        <v>105</v>
      </c>
      <c r="B129" s="28" t="str">
        <f t="array" ref="B129:B133">TRANSPOSE('Test Results (Txt)'!C26:G26)</f>
        <v>R25.1D</v>
      </c>
    </row>
    <row r="130">
      <c r="A130" s="27" t="s">
        <v>107</v>
      </c>
      <c r="B130" s="28" t="s">
        <v>408</v>
      </c>
    </row>
    <row r="131">
      <c r="A131" s="27" t="s">
        <v>488</v>
      </c>
      <c r="B131" s="28" t="s">
        <v>409</v>
      </c>
    </row>
    <row r="132">
      <c r="A132" s="27" t="s">
        <v>97</v>
      </c>
      <c r="B132" s="28" t="s">
        <v>410</v>
      </c>
    </row>
    <row r="133">
      <c r="A133" s="27" t="s">
        <v>100</v>
      </c>
      <c r="B133" s="28" t="s">
        <v>411</v>
      </c>
    </row>
    <row r="134">
      <c r="A134" s="27" t="s">
        <v>104</v>
      </c>
      <c r="B134" s="28" t="str">
        <f t="array" ref="B134:B138">TRANSPOSE('Test Results (Txt)'!C27:G27)</f>
        <v>R26.1D</v>
      </c>
    </row>
    <row r="135">
      <c r="A135" s="27" t="s">
        <v>106</v>
      </c>
      <c r="B135" s="28" t="s">
        <v>413</v>
      </c>
    </row>
    <row r="136">
      <c r="A136" s="27" t="s">
        <v>489</v>
      </c>
      <c r="B136" s="28" t="s">
        <v>414</v>
      </c>
    </row>
    <row r="137">
      <c r="A137" s="27" t="s">
        <v>96</v>
      </c>
      <c r="B137" s="28" t="s">
        <v>415</v>
      </c>
    </row>
    <row r="138">
      <c r="A138" s="27" t="s">
        <v>99</v>
      </c>
      <c r="B138" s="28" t="s">
        <v>416</v>
      </c>
    </row>
    <row r="139">
      <c r="A139" s="27" t="s">
        <v>188</v>
      </c>
      <c r="B139" s="28" t="str">
        <f t="array" ref="B139:B142">TRANSPOSE('Test Results (Txt)'!C28:F28)</f>
        <v>R27.1D</v>
      </c>
    </row>
    <row r="140">
      <c r="A140" s="27" t="s">
        <v>490</v>
      </c>
      <c r="B140" s="28" t="s">
        <v>418</v>
      </c>
    </row>
    <row r="141">
      <c r="A141" s="27" t="s">
        <v>491</v>
      </c>
      <c r="B141" s="28" t="s">
        <v>419</v>
      </c>
    </row>
    <row r="142">
      <c r="A142" s="27" t="s">
        <v>492</v>
      </c>
      <c r="B142" s="28" t="s">
        <v>420</v>
      </c>
    </row>
    <row r="143">
      <c r="A143" s="27" t="s">
        <v>192</v>
      </c>
      <c r="B143" s="28" t="str">
        <f t="array" ref="B143:B145">TRANSPOSE('Test Results (Txt)'!C29:E29)</f>
        <v>R28.1E</v>
      </c>
    </row>
    <row r="144">
      <c r="A144" s="27" t="s">
        <v>493</v>
      </c>
      <c r="B144" s="28" t="s">
        <v>422</v>
      </c>
    </row>
    <row r="145">
      <c r="A145" s="27" t="s">
        <v>193</v>
      </c>
      <c r="B145" s="28" t="s">
        <v>423</v>
      </c>
    </row>
    <row r="146">
      <c r="A146" s="27" t="s">
        <v>494</v>
      </c>
      <c r="B146" s="28" t="str">
        <f t="array" ref="B146:B148">TRANSPOSE('Test Results (Txt)'!C30:E30)</f>
        <v>R29.1D</v>
      </c>
    </row>
    <row r="147">
      <c r="A147" s="27" t="s">
        <v>115</v>
      </c>
      <c r="B147" s="28" t="s">
        <v>425</v>
      </c>
    </row>
    <row r="148">
      <c r="A148" s="27" t="s">
        <v>92</v>
      </c>
      <c r="B148" s="28" t="s">
        <v>426</v>
      </c>
    </row>
    <row r="149">
      <c r="A149" s="27" t="s">
        <v>495</v>
      </c>
      <c r="B149" s="28" t="str">
        <f t="array" ref="B149:B155">TRANSPOSE('Test Results (Txt)'!C31:I31)</f>
        <v>R30.1D</v>
      </c>
    </row>
    <row r="150">
      <c r="A150" s="27" t="s">
        <v>132</v>
      </c>
      <c r="B150" s="28" t="s">
        <v>428</v>
      </c>
    </row>
    <row r="151">
      <c r="A151" s="27" t="s">
        <v>142</v>
      </c>
      <c r="B151" s="28" t="s">
        <v>429</v>
      </c>
    </row>
    <row r="152">
      <c r="A152" s="27" t="s">
        <v>149</v>
      </c>
      <c r="B152" s="28" t="s">
        <v>430</v>
      </c>
    </row>
    <row r="153">
      <c r="A153" s="27" t="s">
        <v>103</v>
      </c>
      <c r="B153" s="28" t="s">
        <v>431</v>
      </c>
    </row>
    <row r="154">
      <c r="A154" s="27" t="s">
        <v>102</v>
      </c>
      <c r="B154" s="28" t="s">
        <v>432</v>
      </c>
    </row>
    <row r="155">
      <c r="A155" s="27" t="s">
        <v>101</v>
      </c>
      <c r="B155" s="28" t="s">
        <v>433</v>
      </c>
    </row>
    <row r="156">
      <c r="A156" s="27" t="s">
        <v>113</v>
      </c>
      <c r="B156" s="28" t="str">
        <f t="array" ref="B156:B164">TRANSPOSE('Test Results (Txt)'!C32:K32)</f>
        <v>R31.1D</v>
      </c>
    </row>
    <row r="157">
      <c r="A157" s="27" t="s">
        <v>141</v>
      </c>
      <c r="B157" s="28" t="s">
        <v>435</v>
      </c>
    </row>
    <row r="158">
      <c r="A158" s="27" t="s">
        <v>184</v>
      </c>
      <c r="B158" s="28" t="s">
        <v>436</v>
      </c>
    </row>
    <row r="159">
      <c r="A159" s="27" t="s">
        <v>198</v>
      </c>
      <c r="B159" s="28" t="s">
        <v>437</v>
      </c>
    </row>
    <row r="160">
      <c r="A160" s="27" t="s">
        <v>175</v>
      </c>
      <c r="B160" s="28" t="s">
        <v>438</v>
      </c>
    </row>
    <row r="161">
      <c r="A161" s="27" t="s">
        <v>191</v>
      </c>
      <c r="B161" s="28" t="s">
        <v>439</v>
      </c>
    </row>
    <row r="162">
      <c r="A162" s="27" t="s">
        <v>156</v>
      </c>
      <c r="B162" s="28" t="s">
        <v>440</v>
      </c>
    </row>
    <row r="163">
      <c r="A163" s="27" t="s">
        <v>93</v>
      </c>
      <c r="B163" s="28" t="s">
        <v>441</v>
      </c>
    </row>
    <row r="164">
      <c r="A164" s="27" t="s">
        <v>496</v>
      </c>
      <c r="B164" s="28" t="s">
        <v>442</v>
      </c>
    </row>
    <row r="165">
      <c r="A165" s="27" t="s">
        <v>497</v>
      </c>
      <c r="B165" s="28" t="str">
        <f t="array" ref="B165:B167">TRANSPOSE('Test Results (Txt)'!C33:E33)</f>
        <v>R32.1D</v>
      </c>
    </row>
    <row r="166">
      <c r="A166" s="27" t="s">
        <v>130</v>
      </c>
      <c r="B166" s="28" t="s">
        <v>444</v>
      </c>
    </row>
    <row r="167">
      <c r="A167" s="27" t="s">
        <v>157</v>
      </c>
      <c r="B167" s="28" t="s">
        <v>445</v>
      </c>
    </row>
  </sheetData>
  <drawing r:id="rId1"/>
</worksheet>
</file>